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93.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7.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22.xml" ContentType="application/vnd.openxmlformats-officedocument.spreadsheetml.revisionLog+xml"/>
  <Override PartName="/xl/revisions/revisionLog26.xml" ContentType="application/vnd.openxmlformats-officedocument.spreadsheetml.revisionLog+xml"/>
  <Override PartName="/xl/revisions/revisionLog31.xml" ContentType="application/vnd.openxmlformats-officedocument.spreadsheetml.revisionLog+xml"/>
  <Override PartName="/xl/revisions/revisionLog39.xml" ContentType="application/vnd.openxmlformats-officedocument.spreadsheetml.revisionLog+xml"/>
  <Override PartName="/xl/revisions/revisionLog53.xml" ContentType="application/vnd.openxmlformats-officedocument.spreadsheetml.revisionLog+xml"/>
  <Override PartName="/xl/revisions/revisionLog61.xml" ContentType="application/vnd.openxmlformats-officedocument.spreadsheetml.revisionLog+xml"/>
  <Override PartName="/xl/revisions/revisionLog34.xml" ContentType="application/vnd.openxmlformats-officedocument.spreadsheetml.revisionLog+xml"/>
  <Override PartName="/xl/revisions/revisionLog48.xml" ContentType="application/vnd.openxmlformats-officedocument.spreadsheetml.revisionLog+xml"/>
  <Override PartName="/xl/revisions/revisionLog56.xml" ContentType="application/vnd.openxmlformats-officedocument.spreadsheetml.revisionLog+xml"/>
  <Override PartName="/xl/revisions/revisionLog64.xml" ContentType="application/vnd.openxmlformats-officedocument.spreadsheetml.revisionLog+xml"/>
  <Override PartName="/xl/revisions/revisionLog69.xml" ContentType="application/vnd.openxmlformats-officedocument.spreadsheetml.revisionLog+xml"/>
  <Override PartName="/xl/revisions/revisionLog77.xml" ContentType="application/vnd.openxmlformats-officedocument.spreadsheetml.revisionLog+xml"/>
  <Override PartName="/xl/revisions/revisionLog82.xml" ContentType="application/vnd.openxmlformats-officedocument.spreadsheetml.revisionLog+xml"/>
  <Override PartName="/xl/revisions/revisionLog85.xml" ContentType="application/vnd.openxmlformats-officedocument.spreadsheetml.revisionLog+xml"/>
  <Override PartName="/xl/revisions/revisionLog90.xml" ContentType="application/vnd.openxmlformats-officedocument.spreadsheetml.revisionLog+xml"/>
  <Override PartName="/xl/revisions/revisionLog20.xml" ContentType="application/vnd.openxmlformats-officedocument.spreadsheetml.revisionLog+xml"/>
  <Override PartName="/xl/revisions/revisionLog12.xml" ContentType="application/vnd.openxmlformats-officedocument.spreadsheetml.revisionLog+xml"/>
  <Override PartName="/xl/revisions/revisionLog15.xml" ContentType="application/vnd.openxmlformats-officedocument.spreadsheetml.revisionLog+xml"/>
  <Override PartName="/xl/revisions/revisionLog7.xml" ContentType="application/vnd.openxmlformats-officedocument.spreadsheetml.revisionLog+xml"/>
  <Override PartName="/xl/revisions/revisionLog29.xml" ContentType="application/vnd.openxmlformats-officedocument.spreadsheetml.revisionLog+xml"/>
  <Override PartName="/xl/revisions/revisionLog42.xml" ContentType="application/vnd.openxmlformats-officedocument.spreadsheetml.revisionLog+xml"/>
  <Override PartName="/xl/revisions/revisionLog24.xml" ContentType="application/vnd.openxmlformats-officedocument.spreadsheetml.revisionLog+xml"/>
  <Override PartName="/xl/revisions/revisionLog37.xml" ContentType="application/vnd.openxmlformats-officedocument.spreadsheetml.revisionLog+xml"/>
  <Override PartName="/xl/revisions/revisionLog46.xml" ContentType="application/vnd.openxmlformats-officedocument.spreadsheetml.revisionLog+xml"/>
  <Override PartName="/xl/revisions/revisionLog51.xml" ContentType="application/vnd.openxmlformats-officedocument.spreadsheetml.revisionLog+xml"/>
  <Override PartName="/xl/revisions/revisionLog54.xml" ContentType="application/vnd.openxmlformats-officedocument.spreadsheetml.revisionLog+xml"/>
  <Override PartName="/xl/revisions/revisionLog59.xml" ContentType="application/vnd.openxmlformats-officedocument.spreadsheetml.revisionLog+xml"/>
  <Override PartName="/xl/revisions/revisionLog67.xml" ContentType="application/vnd.openxmlformats-officedocument.spreadsheetml.revisionLog+xml"/>
  <Override PartName="/xl/revisions/revisionLog72.xml" ContentType="application/vnd.openxmlformats-officedocument.spreadsheetml.revisionLog+xml"/>
  <Override PartName="/xl/revisions/revisionLog80.xml" ContentType="application/vnd.openxmlformats-officedocument.spreadsheetml.revisionLog+xml"/>
  <Override PartName="/xl/revisions/revisionLog88.xml" ContentType="application/vnd.openxmlformats-officedocument.spreadsheetml.revisionLog+xml"/>
  <Override PartName="/xl/revisions/revisionLog75.xml" ContentType="application/vnd.openxmlformats-officedocument.spreadsheetml.revisionLog+xml"/>
  <Override PartName="/xl/revisions/revisionLog18.xml" ContentType="application/vnd.openxmlformats-officedocument.spreadsheetml.revisionLog+xml"/>
  <Override PartName="/xl/revisions/revisionLog10.xml" ContentType="application/vnd.openxmlformats-officedocument.spreadsheetml.revisionLog+xml"/>
  <Override PartName="/xl/revisions/revisionLog2.xml" ContentType="application/vnd.openxmlformats-officedocument.spreadsheetml.revisionLog+xml"/>
  <Override PartName="/xl/revisions/revisionLog32.xml" ContentType="application/vnd.openxmlformats-officedocument.spreadsheetml.revisionLog+xml"/>
  <Override PartName="/xl/revisions/revisionLog5.xml" ContentType="application/vnd.openxmlformats-officedocument.spreadsheetml.revisionLog+xml"/>
  <Override PartName="/xl/revisions/revisionLog13.xml" ContentType="application/vnd.openxmlformats-officedocument.spreadsheetml.revisionLog+xml"/>
  <Override PartName="/xl/revisions/revisionLog27.xml" ContentType="application/vnd.openxmlformats-officedocument.spreadsheetml.revisionLog+xml"/>
  <Override PartName="/xl/revisions/revisionLog35.xml" ContentType="application/vnd.openxmlformats-officedocument.spreadsheetml.revisionLog+xml"/>
  <Override PartName="/xl/revisions/revisionLog40.xml" ContentType="application/vnd.openxmlformats-officedocument.spreadsheetml.revisionLog+xml"/>
  <Override PartName="/xl/revisions/revisionLog43.xml" ContentType="application/vnd.openxmlformats-officedocument.spreadsheetml.revisionLog+xml"/>
  <Override PartName="/xl/revisions/revisionLog49.xml" ContentType="application/vnd.openxmlformats-officedocument.spreadsheetml.revisionLog+xml"/>
  <Override PartName="/xl/revisions/revisionLog57.xml" ContentType="application/vnd.openxmlformats-officedocument.spreadsheetml.revisionLog+xml"/>
  <Override PartName="/xl/revisions/revisionLog62.xml" ContentType="application/vnd.openxmlformats-officedocument.spreadsheetml.revisionLog+xml"/>
  <Override PartName="/xl/revisions/revisionLog70.xml" ContentType="application/vnd.openxmlformats-officedocument.spreadsheetml.revisionLog+xml"/>
  <Override PartName="/xl/revisions/revisionLog78.xml" ContentType="application/vnd.openxmlformats-officedocument.spreadsheetml.revisionLog+xml"/>
  <Override PartName="/xl/revisions/revisionLog83.xml" ContentType="application/vnd.openxmlformats-officedocument.spreadsheetml.revisionLog+xml"/>
  <Override PartName="/xl/revisions/revisionLog91.xml" ContentType="application/vnd.openxmlformats-officedocument.spreadsheetml.revisionLog+xml"/>
  <Override PartName="/xl/revisions/revisionLog65.xml" ContentType="application/vnd.openxmlformats-officedocument.spreadsheetml.revisionLog+xml"/>
  <Override PartName="/xl/revisions/revisionLog86.xml" ContentType="application/vnd.openxmlformats-officedocument.spreadsheetml.revisionLog+xml"/>
  <Override PartName="/xl/revisions/revisionLog44.xml" ContentType="application/vnd.openxmlformats-officedocument.spreadsheetml.revisionLog+xml"/>
  <Override PartName="/xl/revisions/revisionLog8.xml" ContentType="application/vnd.openxmlformats-officedocument.spreadsheetml.revisionLog+xml"/>
  <Override PartName="/xl/revisions/revisionLog21.xml" ContentType="application/vnd.openxmlformats-officedocument.spreadsheetml.revisionLog+xml"/>
  <Override PartName="/xl/revisions/revisionLog3.xml" ContentType="application/vnd.openxmlformats-officedocument.spreadsheetml.revisionLog+xml"/>
  <Override PartName="/xl/revisions/revisionLog16.xml" ContentType="application/vnd.openxmlformats-officedocument.spreadsheetml.revisionLog+xml"/>
  <Override PartName="/xl/revisions/revisionLog25.xml" ContentType="application/vnd.openxmlformats-officedocument.spreadsheetml.revisionLog+xml"/>
  <Override PartName="/xl/revisions/revisionLog30.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7.xml" ContentType="application/vnd.openxmlformats-officedocument.spreadsheetml.revisionLog+xml"/>
  <Override PartName="/xl/revisions/revisionLog52.xml" ContentType="application/vnd.openxmlformats-officedocument.spreadsheetml.revisionLog+xml"/>
  <Override PartName="/xl/revisions/revisionLog60.xml" ContentType="application/vnd.openxmlformats-officedocument.spreadsheetml.revisionLog+xml"/>
  <Override PartName="/xl/revisions/revisionLog68.xml" ContentType="application/vnd.openxmlformats-officedocument.spreadsheetml.revisionLog+xml"/>
  <Override PartName="/xl/revisions/revisionLog73.xml" ContentType="application/vnd.openxmlformats-officedocument.spreadsheetml.revisionLog+xml"/>
  <Override PartName="/xl/revisions/revisionLog81.xml" ContentType="application/vnd.openxmlformats-officedocument.spreadsheetml.revisionLog+xml"/>
  <Override PartName="/xl/revisions/revisionLog55.xml" ContentType="application/vnd.openxmlformats-officedocument.spreadsheetml.revisionLog+xml"/>
  <Override PartName="/xl/revisions/revisionLog76.xml" ContentType="application/vnd.openxmlformats-officedocument.spreadsheetml.revisionLog+xml"/>
  <Override PartName="/xl/revisions/revisionLog84.xml" ContentType="application/vnd.openxmlformats-officedocument.spreadsheetml.revisionLog+xml"/>
  <Override PartName="/xl/revisions/revisionLog89.xml" ContentType="application/vnd.openxmlformats-officedocument.spreadsheetml.revisionLog+xml"/>
  <Override PartName="/xl/revisions/revisionLog11.xml" ContentType="application/vnd.openxmlformats-officedocument.spreadsheetml.revisionLog+xml"/>
  <Override PartName="/xl/revisions/revisionLog19.xml" ContentType="application/vnd.openxmlformats-officedocument.spreadsheetml.revisionLog+xml"/>
  <Override PartName="/xl/revisions/revisionLog6.xml" ContentType="application/vnd.openxmlformats-officedocument.spreadsheetml.revisionLog+xml"/>
  <Override PartName="/xl/revisions/revisionLog14.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1.xml" ContentType="application/vnd.openxmlformats-officedocument.spreadsheetml.revisionLog+xml"/>
  <Override PartName="/xl/revisions/revisionLog50.xml" ContentType="application/vnd.openxmlformats-officedocument.spreadsheetml.revisionLog+xml"/>
  <Override PartName="/xl/revisions/revisionLog63.xml" ContentType="application/vnd.openxmlformats-officedocument.spreadsheetml.revisionLog+xml"/>
  <Override PartName="/xl/revisions/revisionLog71.xml" ContentType="application/vnd.openxmlformats-officedocument.spreadsheetml.revisionLog+xml"/>
  <Override PartName="/xl/revisions/revisionLog45.xml" ContentType="application/vnd.openxmlformats-officedocument.spreadsheetml.revisionLog+xml"/>
  <Override PartName="/xl/revisions/revisionLog58.xml" ContentType="application/vnd.openxmlformats-officedocument.spreadsheetml.revisionLog+xml"/>
  <Override PartName="/xl/revisions/revisionLog66.xml" ContentType="application/vnd.openxmlformats-officedocument.spreadsheetml.revisionLog+xml"/>
  <Override PartName="/xl/revisions/revisionLog74.xml" ContentType="application/vnd.openxmlformats-officedocument.spreadsheetml.revisionLog+xml"/>
  <Override PartName="/xl/revisions/revisionLog79.xml" ContentType="application/vnd.openxmlformats-officedocument.spreadsheetml.revisionLog+xml"/>
  <Override PartName="/xl/revisions/revisionLog87.xml" ContentType="application/vnd.openxmlformats-officedocument.spreadsheetml.revisionLog+xml"/>
  <Override PartName="/xl/revisions/revisionLog92.xml" ContentType="application/vnd.openxmlformats-officedocument.spreadsheetml.revisionLog+xml"/>
  <Override PartName="/xl/revisions/revisionLog1.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6792" windowWidth="19200" windowHeight="2700" tabRatio="911" firstSheet="3" activeTab="4"/>
  </bookViews>
  <sheets>
    <sheet name="Directory" sheetId="1" r:id="rId1"/>
    <sheet name="Basic Combinations" sheetId="2" r:id="rId2"/>
    <sheet name="D9859 Grid" sheetId="3" r:id="rId3"/>
    <sheet name="D9859 Scoreboard" sheetId="4" r:id="rId4"/>
    <sheet name="Input Test Cases" sheetId="5" r:id="rId5"/>
    <sheet name="Conditional Access Test Cases" sheetId="6" r:id="rId6"/>
    <sheet name="Audio Test Cases" sheetId="7" r:id="rId7"/>
    <sheet name="Video Test Cases" sheetId="8" r:id="rId8"/>
    <sheet name="VBI Test Cases" sheetId="9" r:id="rId9"/>
    <sheet name="Subtitle Test Cases" sheetId="10" r:id="rId10"/>
    <sheet name="MPE Test Cases" sheetId="11" r:id="rId11"/>
    <sheet name="LSD Test Cases" sheetId="12" r:id="rId12"/>
    <sheet name="DPM Test Cases" sheetId="13" r:id="rId13"/>
    <sheet name="Transcode Test Cases" sheetId="14" r:id="rId14"/>
  </sheets>
  <definedNames>
    <definedName name="_xlnm._FilterDatabase" localSheetId="2" hidden="1">'D9859 Grid'!$A$2:$Y$58</definedName>
    <definedName name="_xlnm._FilterDatabase" localSheetId="13" hidden="1">'Transcode Test Cases'!$A$9:$P$46</definedName>
    <definedName name="Z_0C14E275_67BD_4894_92C8_CC979B55C5D1_.wvu.FilterData" localSheetId="2" hidden="1">'D9859 Grid'!#REF!</definedName>
    <definedName name="Z_0C14E275_67BD_4894_92C8_CC979B55C5D1_.wvu.FilterData" localSheetId="13" hidden="1">'Transcode Test Cases'!$A$9:$P$46</definedName>
    <definedName name="Z_189813C8_BE28_4174_A3B5_1C707449DBD3_.wvu.FilterData" localSheetId="2" hidden="1">'D9859 Grid'!$A$2:$Y$58</definedName>
    <definedName name="Z_189813C8_BE28_4174_A3B5_1C707449DBD3_.wvu.FilterData" localSheetId="13" hidden="1">'Transcode Test Cases'!$A$9:$P$46</definedName>
    <definedName name="Z_1DF0BFE6_58A5_493B_9A5C_A75357065514_.wvu.FilterData" localSheetId="2" hidden="1">'D9859 Grid'!#REF!</definedName>
    <definedName name="Z_4081EA0D_9F4E_4F6E_9740_125B98E42AAA_.wvu.FilterData" localSheetId="2" hidden="1">'D9859 Grid'!$A$2:$Y$6</definedName>
    <definedName name="Z_4081EA0D_9F4E_4F6E_9740_125B98E42AAA_.wvu.FilterData" localSheetId="13" hidden="1">'Transcode Test Cases'!$A$9:$P$46</definedName>
    <definedName name="Z_568372EE_5594_48E8_AA4D_B2DFAABD6FBE_.wvu.FilterData" localSheetId="2" hidden="1">'D9859 Grid'!$A$2:$Y$6</definedName>
    <definedName name="Z_568372EE_5594_48E8_AA4D_B2DFAABD6FBE_.wvu.FilterData" localSheetId="13" hidden="1">'Transcode Test Cases'!$A$9:$P$46</definedName>
    <definedName name="Z_609F876C_F41A_43C8_BD3D_0455630C6D86_.wvu.FilterData" localSheetId="2" hidden="1">'D9859 Grid'!$A$2:$Y$58</definedName>
    <definedName name="Z_609F876C_F41A_43C8_BD3D_0455630C6D86_.wvu.FilterData" localSheetId="13" hidden="1">'Transcode Test Cases'!$A$9:$P$46</definedName>
    <definedName name="Z_A1D6424A_E1FA_4BDE_9758_50490C40BCC4_.wvu.FilterData" localSheetId="2" hidden="1">'D9859 Grid'!$A$2:$Y$58</definedName>
    <definedName name="Z_A1D6424A_E1FA_4BDE_9758_50490C40BCC4_.wvu.FilterData" localSheetId="13" hidden="1">'Transcode Test Cases'!$A$9:$P$46</definedName>
    <definedName name="Z_BF4A82E8_EC44_4B28_ABE7_07086B055DF8_.wvu.FilterData" localSheetId="2" hidden="1">'D9859 Grid'!$A$2:$Y$58</definedName>
    <definedName name="Z_BF4A82E8_EC44_4B28_ABE7_07086B055DF8_.wvu.FilterData" localSheetId="13" hidden="1">'Transcode Test Cases'!$A$9:$P$46</definedName>
    <definedName name="Z_E04D4D10_73E7_40D1_833B_CE4AC2EB45A8_.wvu.FilterData" localSheetId="2" hidden="1">'D9859 Grid'!#REF!</definedName>
    <definedName name="Z_E04D4D10_73E7_40D1_833B_CE4AC2EB45A8_.wvu.FilterData" localSheetId="13" hidden="1">'Transcode Test Cases'!$A$9:$P$46</definedName>
    <definedName name="Z_E6A6C2C1_501F_4FA5_9A65_F097BADC7A88_.wvu.FilterData" localSheetId="2" hidden="1">'D9859 Grid'!$A$2:$Y$6</definedName>
    <definedName name="Z_E6A6C2C1_501F_4FA5_9A65_F097BADC7A88_.wvu.FilterData" localSheetId="13" hidden="1">'Transcode Test Cases'!$A$9:$P$46</definedName>
    <definedName name="Z_E7571780_ED88_421E_BB12_D2AF189A0D99_.wvu.FilterData" localSheetId="2" hidden="1">'D9859 Grid'!$A$2:$Y$58</definedName>
    <definedName name="Z_E7571780_ED88_421E_BB12_D2AF189A0D99_.wvu.FilterData" localSheetId="13" hidden="1">'Transcode Test Cases'!$A$9:$P$46</definedName>
    <definedName name="Z_F5461B2D_C44D_459F_8141_3B434D52A3D6_.wvu.FilterData" localSheetId="2" hidden="1">'D9859 Grid'!$A$2:$Y$58</definedName>
    <definedName name="Z_F5461B2D_C44D_459F_8141_3B434D52A3D6_.wvu.FilterData" localSheetId="13" hidden="1">'Transcode Test Cases'!$A$9:$P$46</definedName>
    <definedName name="Z_F849113B_F9EA_4AF3_9877_2EC7E34B1ABC_.wvu.FilterData" localSheetId="2" hidden="1">'D9859 Grid'!$A$2:$Y$6</definedName>
    <definedName name="Z_F9953651_D17A_4C02_9483_C34B454389F8_.wvu.FilterData" localSheetId="2" hidden="1">'D9859 Grid'!$A$2:$Y$6</definedName>
    <definedName name="Z_F9953651_D17A_4C02_9483_C34B454389F8_.wvu.FilterData" localSheetId="13" hidden="1">'Transcode Test Cases'!$A$9:$P$46</definedName>
  </definedNames>
  <calcPr calcId="145621"/>
  <customWorkbookViews>
    <customWorkbookView name="dparthip - Personal View" guid="{E7571780-ED88-421E-BB12-D2AF189A0D99}" mergeInterval="0" personalView="1" maximized="1" windowWidth="1280" windowHeight="804" tabRatio="911" activeSheetId="3"/>
    <customWorkbookView name="Yao Sun -X (yaosu - HUNTECH CONTRACTS INC at Cisco) - Personal View" guid="{609F876C-F41A-43C8-BD3D-0455630C6D86}" mergeInterval="0" personalView="1" maximized="1" windowWidth="1280" windowHeight="798" tabRatio="911" activeSheetId="3"/>
    <customWorkbookView name="Dmitri Galter (dgalter) - Personal View" guid="{F5461B2D-C44D-459F-8141-3B434D52A3D6}" mergeInterval="0" personalView="1" maximized="1" windowWidth="1916" windowHeight="865" tabRatio="911" activeSheetId="4"/>
    <customWorkbookView name="Slava Abramov - Personal View" guid="{BF4A82E8-EC44-4B28-ABE7-07086B055DF8}" mergeInterval="0" personalView="1" maximized="1" windowWidth="1676" windowHeight="736" tabRatio="911" activeSheetId="5"/>
    <customWorkbookView name="Swee Loke - Personal View" guid="{F9953651-D17A-4C02-9483-C34B454389F8}" mergeInterval="0" personalView="1" maximized="1" windowWidth="1230" windowHeight="664" tabRatio="911" activeSheetId="5"/>
    <customWorkbookView name="leijin - Personal View" guid="{4081EA0D-9F4E-4F6E-9740-125B98E42AAA}" mergeInterval="0" personalView="1" maximized="1" xWindow="1" yWindow="1" windowWidth="1600" windowHeight="719" tabRatio="911" activeSheetId="3"/>
    <customWorkbookView name="Sailesh - Personal View" guid="{568372EE-5594-48E8-AA4D-B2DFAABD6FBE}" mergeInterval="0" personalView="1" maximized="1" windowWidth="1356" windowHeight="765" tabRatio="911" activeSheetId="8"/>
    <customWorkbookView name="Denesh Parthipan - Personal View" guid="{0C14E275-67BD-4894-92C8-CC979B55C5D1}" mergeInterval="0" personalView="1" maximized="1" windowWidth="1676" windowHeight="825" tabRatio="911" activeSheetId="4"/>
    <customWorkbookView name="gchan2 - Personal View" guid="{E04D4D10-73E7-40D1-833B-CE4AC2EB45A8}" mergeInterval="0" personalView="1" maximized="1" xWindow="1" yWindow="1" windowWidth="1152" windowHeight="643" tabRatio="911" activeSheetId="4"/>
    <customWorkbookView name="Gary Chan (gchan2) - Personal View" guid="{E6A6C2C1-501F-4FA5-9A65-F097BADC7A88}" mergeInterval="0" personalView="1" maximized="1" windowWidth="1276" windowHeight="493" tabRatio="911" activeSheetId="3"/>
    <customWorkbookView name="Lei Jin -X (leiji - Huntech Contracts Inc. at Cisco) - Personal View" guid="{189813C8-BE28-4174-A3B5-1C707449DBD3}" mergeInterval="0" personalView="1" maximized="1" windowWidth="1920" windowHeight="855" tabRatio="911" activeSheetId="3"/>
    <customWorkbookView name="algodin - Personal View" guid="{A1D6424A-E1FA-4BDE-9758-50490C40BCC4}" mergeInterval="0" personalView="1" maximized="1" windowWidth="1653" windowHeight="728" tabRatio="911" activeSheetId="1"/>
  </customWorkbookViews>
</workbook>
</file>

<file path=xl/calcChain.xml><?xml version="1.0" encoding="utf-8"?>
<calcChain xmlns="http://schemas.openxmlformats.org/spreadsheetml/2006/main">
  <c r="B39" i="5" l="1"/>
  <c r="B38" i="5" l="1"/>
  <c r="I5" i="1" l="1"/>
  <c r="I8" i="1"/>
  <c r="I7" i="1"/>
  <c r="I6" i="1"/>
  <c r="P35" i="14" l="1"/>
  <c r="B35" i="14" s="1"/>
  <c r="P36" i="14"/>
  <c r="B36" i="14" s="1"/>
  <c r="P37" i="14"/>
  <c r="B37" i="14" s="1"/>
  <c r="P38" i="14"/>
  <c r="B38" i="14" s="1"/>
  <c r="P39" i="14"/>
  <c r="B39" i="14" s="1"/>
  <c r="P40" i="14"/>
  <c r="B40" i="14" s="1"/>
  <c r="P41" i="14"/>
  <c r="B41" i="14" s="1"/>
  <c r="P42" i="14"/>
  <c r="B42" i="14" s="1"/>
  <c r="P43" i="14"/>
  <c r="B43" i="14" s="1"/>
  <c r="P44" i="14"/>
  <c r="B44" i="14" s="1"/>
  <c r="P45" i="14"/>
  <c r="B45" i="14" s="1"/>
  <c r="P46" i="14"/>
  <c r="B46" i="14" s="1"/>
  <c r="B11" i="10" l="1"/>
  <c r="B12" i="10"/>
  <c r="B13" i="10"/>
  <c r="B14" i="10"/>
  <c r="B15" i="10"/>
  <c r="B16" i="10"/>
  <c r="B17" i="10"/>
  <c r="B10" i="10"/>
  <c r="B34" i="5"/>
  <c r="B35" i="5"/>
  <c r="B36" i="5"/>
  <c r="B37" i="5"/>
  <c r="B29" i="5"/>
  <c r="B30" i="5"/>
  <c r="B31" i="5"/>
  <c r="B32" i="5"/>
  <c r="B33" i="5"/>
  <c r="B28" i="5"/>
  <c r="B15" i="5"/>
  <c r="B16" i="5"/>
  <c r="B17" i="5"/>
  <c r="B18" i="5"/>
  <c r="B19" i="5"/>
  <c r="B20" i="5"/>
  <c r="B21" i="5"/>
  <c r="B22" i="5"/>
  <c r="B23" i="5"/>
  <c r="B24" i="5"/>
  <c r="B25" i="5"/>
  <c r="B26" i="5"/>
  <c r="B27" i="5"/>
  <c r="B14" i="5"/>
  <c r="B44" i="7"/>
  <c r="B43" i="7"/>
  <c r="B42" i="7"/>
  <c r="B41" i="7"/>
  <c r="B40" i="7"/>
  <c r="B39" i="7"/>
  <c r="B38" i="7"/>
  <c r="B37" i="7"/>
  <c r="B36" i="7"/>
  <c r="B57" i="7"/>
  <c r="B56" i="7"/>
  <c r="B55" i="7"/>
  <c r="B54" i="7"/>
  <c r="B53" i="7"/>
  <c r="B52" i="7"/>
  <c r="B51" i="7"/>
  <c r="B50" i="7"/>
  <c r="B49" i="7"/>
  <c r="B48" i="7"/>
  <c r="B47" i="7"/>
  <c r="B46" i="7"/>
  <c r="B45" i="7"/>
  <c r="B62" i="7"/>
  <c r="B60" i="7"/>
  <c r="B58" i="7"/>
  <c r="B59" i="7"/>
  <c r="B61" i="7"/>
  <c r="B17" i="7"/>
  <c r="B18" i="7"/>
  <c r="B19" i="7"/>
  <c r="B20" i="7"/>
  <c r="B21" i="7"/>
  <c r="B22" i="7"/>
  <c r="B23" i="7"/>
  <c r="B24" i="7"/>
  <c r="B25" i="7"/>
  <c r="B16" i="7"/>
  <c r="B11" i="7"/>
  <c r="B12" i="7"/>
  <c r="B13" i="7"/>
  <c r="B14" i="7"/>
  <c r="B15" i="7"/>
  <c r="B10" i="7"/>
  <c r="B27" i="7"/>
  <c r="B28" i="7"/>
  <c r="B29" i="7"/>
  <c r="B30" i="7"/>
  <c r="B31" i="7"/>
  <c r="B32" i="7"/>
  <c r="B33" i="7"/>
  <c r="B34" i="7"/>
  <c r="B35" i="7"/>
  <c r="B26" i="7"/>
  <c r="S20" i="2" l="1"/>
  <c r="S21" i="2"/>
  <c r="S22" i="2"/>
  <c r="S23" i="2"/>
  <c r="S24" i="2"/>
  <c r="S25" i="2"/>
  <c r="S26" i="2"/>
  <c r="S27" i="2"/>
  <c r="S28" i="2"/>
  <c r="S29" i="2"/>
  <c r="S30" i="2"/>
  <c r="S31" i="2"/>
  <c r="P12" i="14"/>
  <c r="B12" i="14" s="1"/>
  <c r="P13" i="14"/>
  <c r="B13" i="14" s="1"/>
  <c r="P14" i="14"/>
  <c r="B14" i="14" s="1"/>
  <c r="P15" i="14"/>
  <c r="B15" i="14" s="1"/>
  <c r="P16" i="14"/>
  <c r="B16" i="14" s="1"/>
  <c r="P17" i="14"/>
  <c r="B17" i="14" s="1"/>
  <c r="P18" i="14"/>
  <c r="B18" i="14" s="1"/>
  <c r="P19" i="14"/>
  <c r="B19" i="14" s="1"/>
  <c r="P20" i="14"/>
  <c r="B20" i="14" s="1"/>
  <c r="P21" i="14"/>
  <c r="B21" i="14" s="1"/>
  <c r="P22" i="14"/>
  <c r="B22" i="14" s="1"/>
  <c r="P23" i="14"/>
  <c r="B23" i="14" s="1"/>
  <c r="P24" i="14"/>
  <c r="B24" i="14" s="1"/>
  <c r="P25" i="14"/>
  <c r="B25" i="14" s="1"/>
  <c r="P26" i="14"/>
  <c r="B26" i="14" s="1"/>
  <c r="P27" i="14"/>
  <c r="B27" i="14" s="1"/>
  <c r="P28" i="14"/>
  <c r="B28" i="14" s="1"/>
  <c r="P29" i="14"/>
  <c r="B29" i="14" s="1"/>
  <c r="P30" i="14"/>
  <c r="B30" i="14" s="1"/>
  <c r="P31" i="14"/>
  <c r="B31" i="14" s="1"/>
  <c r="P32" i="14"/>
  <c r="B32" i="14" s="1"/>
  <c r="P33" i="14"/>
  <c r="B33" i="14" s="1"/>
  <c r="P34" i="14"/>
  <c r="B34" i="14" s="1"/>
  <c r="P11" i="14"/>
  <c r="B11" i="14" s="1"/>
  <c r="B21" i="11"/>
  <c r="B20" i="11"/>
  <c r="B11" i="11"/>
  <c r="B12" i="11"/>
  <c r="B13" i="11"/>
  <c r="B14" i="11"/>
  <c r="B15" i="11"/>
  <c r="B16" i="11"/>
  <c r="B17" i="11"/>
  <c r="B18" i="11"/>
  <c r="B19" i="11"/>
  <c r="B10" i="11"/>
  <c r="B10" i="12" l="1"/>
  <c r="B11" i="12"/>
  <c r="B12" i="12"/>
  <c r="B9" i="12"/>
</calcChain>
</file>

<file path=xl/sharedStrings.xml><?xml version="1.0" encoding="utf-8"?>
<sst xmlns="http://schemas.openxmlformats.org/spreadsheetml/2006/main" count="2561" uniqueCount="764">
  <si>
    <t>Input Test Cases</t>
  </si>
  <si>
    <t>DCM</t>
  </si>
  <si>
    <t>Pass</t>
  </si>
  <si>
    <t>Caution</t>
  </si>
  <si>
    <t>Fail</t>
  </si>
  <si>
    <t>FTA</t>
  </si>
  <si>
    <t>TEST CASE</t>
  </si>
  <si>
    <t>VIDEO FORMAT</t>
  </si>
  <si>
    <t>PICTURE FORMAT</t>
  </si>
  <si>
    <t>PROFILE / FEATURE</t>
  </si>
  <si>
    <t>GOP SETTING</t>
  </si>
  <si>
    <t>3:2 PD INVERSION</t>
  </si>
  <si>
    <t>VIDEO BIT-RATE</t>
  </si>
  <si>
    <t>VIDEO RATE MODE</t>
  </si>
  <si>
    <t>ENCODING PARAMETERS</t>
  </si>
  <si>
    <t>MPEG1 NTSC</t>
  </si>
  <si>
    <t xml:space="preserve">352 X 240
</t>
  </si>
  <si>
    <t xml:space="preserve">MAIN
</t>
  </si>
  <si>
    <t xml:space="preserve">GOP Encoding: 
     Auto-525/625
GOP Select: 
     M-3, N-15
</t>
  </si>
  <si>
    <t>OFF</t>
  </si>
  <si>
    <t>0.5MBPS</t>
  </si>
  <si>
    <t>CBR</t>
  </si>
  <si>
    <t>Encoder D9040
Chorma Format: 4:2:0
Preprocessing Enable: ON
Preanalysis Enable: ON
Quantization Matrix: Adaptive
Quantization Prefilter: Adaptive</t>
  </si>
  <si>
    <t>1.5MBPS</t>
  </si>
  <si>
    <t>ON</t>
  </si>
  <si>
    <t>1MBPS</t>
  </si>
  <si>
    <t>VBR</t>
  </si>
  <si>
    <t>MPEG2-SD NTSC</t>
  </si>
  <si>
    <t xml:space="preserve">720 X 480
</t>
  </si>
  <si>
    <t>15MBPS</t>
  </si>
  <si>
    <t>10MBPS</t>
  </si>
  <si>
    <t>MPEG2-SD PAL</t>
  </si>
  <si>
    <t xml:space="preserve">720 X 576
</t>
  </si>
  <si>
    <t>H.264-SD NTSC</t>
  </si>
  <si>
    <t xml:space="preserve">720 X 480
</t>
  </si>
  <si>
    <t xml:space="preserve">HIGH 
QP Scaling: ON
</t>
  </si>
  <si>
    <t>Dynamic GOP: ON
GOP Length: 16
IDR Interval: 0</t>
  </si>
  <si>
    <t>Capped VBR</t>
  </si>
  <si>
    <t>Encoder: D9034
Loop Filter: Yes
Weight Prediction: Both
Maximum QP: 0
Look-Ahead Array: 23
HRD Buffer: Auto
Picture AFF: ON
Prefilter: ON
VBR Quality Level: Best</t>
  </si>
  <si>
    <t>Dynamic GOP: OFF
GOP Length: 32
IDR Interval: 0</t>
  </si>
  <si>
    <t>H.264-SD PAL</t>
  </si>
  <si>
    <t xml:space="preserve">720 X 576
</t>
  </si>
  <si>
    <t>MPEG2-HD 1080i @ 29.97FPS(30FPS)</t>
  </si>
  <si>
    <t>1920 X 1080</t>
  </si>
  <si>
    <t xml:space="preserve">MAIN profile @ 
HIGH level
</t>
  </si>
  <si>
    <t xml:space="preserve">GOP Select: 
    M-3, N-15
</t>
  </si>
  <si>
    <t>Encoder: D9050
Chorma Format: 4:2:0
Preprocessor Enable: ON
Preanalysis Enable: ON
Priority: 8
Quality: 10</t>
  </si>
  <si>
    <t>30MBPS</t>
  </si>
  <si>
    <t>1440 X 1080</t>
  </si>
  <si>
    <t>15MBPS
MIN: 10MBPS
MAX: 15MBPS</t>
  </si>
  <si>
    <t>MPEG2-HD 1080i @ 25FPS</t>
  </si>
  <si>
    <t>MPEG2-HD 720P @ 59.94FPS(60FPS)</t>
  </si>
  <si>
    <t>1280 X 720</t>
  </si>
  <si>
    <t>7.5MBPS</t>
  </si>
  <si>
    <t>960 X 720</t>
  </si>
  <si>
    <t>MPEG2-HD 720P @ 50FPS</t>
  </si>
  <si>
    <t>H.264-HD 1080i @ 29.97FPS(30FPS)</t>
  </si>
  <si>
    <t xml:space="preserve">HIGH
Intra 8x8 Predition: ON
Intra 8x8 Transform: ON
QP Scaling: ON
</t>
  </si>
  <si>
    <t xml:space="preserve">Dynamic GOP: ON
GOP Length: 32
</t>
  </si>
  <si>
    <t>3MBPS</t>
  </si>
  <si>
    <t>Encoder: D9054
Loop Filter: Yes
Weight Prediction: Implicit
Maximum QP: 0
Look-Ahead Array: 23
HRD Buffer: Auto
Interlaced Coding Mode: Picture AFF
Prefilter: ON
VBR Quality Level: Best</t>
  </si>
  <si>
    <t>20MBPS</t>
  </si>
  <si>
    <t xml:space="preserve">Dynamic GOP: OFF
GOP Length: 16
</t>
  </si>
  <si>
    <t>25MBPS</t>
  </si>
  <si>
    <t>H.264-HD 1080i @ 25FPS</t>
  </si>
  <si>
    <t>H.264-HD 720P @ 59.94FPS(60FPS)</t>
  </si>
  <si>
    <t>H.264-HD 720P @ 50FPS</t>
  </si>
  <si>
    <t>Video</t>
  </si>
  <si>
    <t>PAL</t>
  </si>
  <si>
    <t>NTSC</t>
  </si>
  <si>
    <t>MPG1</t>
  </si>
  <si>
    <t>HD 25 Hz</t>
  </si>
  <si>
    <t>HD 50Hz</t>
  </si>
  <si>
    <t>MPEG</t>
  </si>
  <si>
    <t>H.264</t>
  </si>
  <si>
    <t>Revision</t>
  </si>
  <si>
    <t>Date</t>
  </si>
  <si>
    <t>Updated by:</t>
  </si>
  <si>
    <t>v0.1</t>
  </si>
  <si>
    <t>W. Qiu</t>
  </si>
  <si>
    <t>Audio Type / Test Type category</t>
  </si>
  <si>
    <t>MPEG1L2</t>
  </si>
  <si>
    <r>
      <t>Modes:</t>
    </r>
    <r>
      <rPr>
        <sz val="10"/>
        <color indexed="18"/>
        <rFont val="Arial"/>
        <family val="2"/>
      </rPr>
      <t xml:space="preserve"> Stereo, Joint Stereo or Dual Mono.</t>
    </r>
  </si>
  <si>
    <t>Supported Bitrate:</t>
  </si>
  <si>
    <t>32,48,56,64,80,96,112,128,160,192,256,320,384Kbps</t>
  </si>
  <si>
    <t>Output Preference: PCM</t>
  </si>
  <si>
    <r>
      <t>Mode:</t>
    </r>
    <r>
      <rPr>
        <sz val="10"/>
        <color indexed="18"/>
        <rFont val="Arial"/>
        <family val="2"/>
      </rPr>
      <t xml:space="preserve"> Single Mono.</t>
    </r>
  </si>
  <si>
    <t>Supported Bitrates:</t>
  </si>
  <si>
    <t>32,48,56,64,80,96,112,128,160,192Kbps</t>
  </si>
  <si>
    <t>AC3</t>
  </si>
  <si>
    <r>
      <t>Modes:</t>
    </r>
    <r>
      <rPr>
        <sz val="10"/>
        <color indexed="18"/>
        <rFont val="Arial"/>
        <family val="2"/>
      </rPr>
      <t xml:space="preserve"> Stereo 2/0.</t>
    </r>
  </si>
  <si>
    <t>96,112,128,160,192,256,320,384,640Kbps</t>
  </si>
  <si>
    <t>Output Preference: PCM/Dolby Digital</t>
  </si>
  <si>
    <r>
      <t>Mode:</t>
    </r>
    <r>
      <rPr>
        <sz val="10"/>
        <color indexed="18"/>
        <rFont val="Arial"/>
        <family val="2"/>
      </rPr>
      <t xml:space="preserve"> Dual Mono 1+1.</t>
    </r>
  </si>
  <si>
    <t>96,112,128,160,192,224,256,320,384,448,512,576,640Kbps</t>
  </si>
  <si>
    <r>
      <t>Mode:</t>
    </r>
    <r>
      <rPr>
        <sz val="10"/>
        <color indexed="18"/>
        <rFont val="Arial"/>
        <family val="2"/>
      </rPr>
      <t xml:space="preserve"> Mono1/0.</t>
    </r>
  </si>
  <si>
    <t>56,64,80,96,112,128,160,192,224,256,320,384,448,512,576,640Kbps</t>
  </si>
  <si>
    <r>
      <t>Mode:</t>
    </r>
    <r>
      <rPr>
        <sz val="10"/>
        <color indexed="18"/>
        <rFont val="Arial"/>
        <family val="2"/>
      </rPr>
      <t xml:space="preserve"> 3/2.</t>
    </r>
  </si>
  <si>
    <t>224,256,320,384,448,512,576,640Kbps</t>
  </si>
  <si>
    <t>DDP</t>
  </si>
  <si>
    <t>56,64,80,96,112,128,160,192,256,320,384,640Kbps</t>
  </si>
  <si>
    <t>Output Preference: PCM/Dolby Digital/DDP</t>
  </si>
  <si>
    <r>
      <t>Mode:</t>
    </r>
    <r>
      <rPr>
        <sz val="10"/>
        <color indexed="18"/>
        <rFont val="Arial"/>
        <family val="2"/>
      </rPr>
      <t xml:space="preserve"> 3/2</t>
    </r>
  </si>
  <si>
    <t>72,80,96,112,128,160,192,224,256,320,384,448,512,576,640Kbps</t>
  </si>
  <si>
    <r>
      <t>LFE:</t>
    </r>
    <r>
      <rPr>
        <sz val="10"/>
        <color indexed="18"/>
        <rFont val="Arial"/>
        <family val="2"/>
      </rPr>
      <t xml:space="preserve"> Enable/Disable</t>
    </r>
  </si>
  <si>
    <r>
      <t>Modes:</t>
    </r>
    <r>
      <rPr>
        <sz val="10"/>
        <color indexed="18"/>
        <rFont val="Arial"/>
        <family val="2"/>
      </rPr>
      <t xml:space="preserve"> Stereo 2/0 or Dual Mono 1+1</t>
    </r>
  </si>
  <si>
    <t>40,56,64,80,96,112,128,160,192,256,320Kbps</t>
  </si>
  <si>
    <r>
      <t>TNS:</t>
    </r>
    <r>
      <rPr>
        <sz val="10"/>
        <color indexed="18"/>
        <rFont val="Arial"/>
        <family val="2"/>
      </rPr>
      <t xml:space="preserve"> Enable/Disable</t>
    </r>
  </si>
  <si>
    <t>Output Preference: PCM/CMP</t>
  </si>
  <si>
    <r>
      <t>Mode:</t>
    </r>
    <r>
      <rPr>
        <sz val="10"/>
        <color indexed="18"/>
        <rFont val="Arial"/>
        <family val="2"/>
      </rPr>
      <t>.Single Mono</t>
    </r>
  </si>
  <si>
    <t>32,56,64,80,96,112,128,160Kbps</t>
  </si>
  <si>
    <r>
      <t>Mode:</t>
    </r>
    <r>
      <rPr>
        <sz val="10"/>
        <color indexed="18"/>
        <rFont val="Arial"/>
        <family val="2"/>
      </rPr>
      <t xml:space="preserve"> 3/2 + lfe</t>
    </r>
  </si>
  <si>
    <t>24,56,64,80,96Kbps</t>
  </si>
  <si>
    <t>14,24,56,64Kbps</t>
  </si>
  <si>
    <t>64,80,96,112,128,160,192,224,256,264Kbps</t>
  </si>
  <si>
    <r>
      <t>Output Preference: PCM/CMP</t>
    </r>
    <r>
      <rPr>
        <sz val="10"/>
        <color indexed="18"/>
        <rFont val="Arial"/>
        <family val="2"/>
      </rPr>
      <t> </t>
    </r>
  </si>
  <si>
    <t>AAC MPEG2 ADTS</t>
  </si>
  <si>
    <t xml:space="preserve">1:  Stereo </t>
  </si>
  <si>
    <t>2:  Dual Mono</t>
  </si>
  <si>
    <t>3: Single Mono</t>
  </si>
  <si>
    <t>4:  5.1 Surround</t>
  </si>
  <si>
    <t>Bit Rates</t>
  </si>
  <si>
    <t>Test Case</t>
  </si>
  <si>
    <t>Details &amp; Descriptions…</t>
  </si>
  <si>
    <t>4:  3/2 Surround &amp; 5.1</t>
  </si>
  <si>
    <t>Audio Mode</t>
  </si>
  <si>
    <t>SM</t>
  </si>
  <si>
    <t>PCM</t>
  </si>
  <si>
    <t>K. Stoll (input from Z. Alaoui)</t>
  </si>
  <si>
    <t>DM</t>
  </si>
  <si>
    <t>Encoder Settings</t>
  </si>
  <si>
    <t>Decoder Settings</t>
  </si>
  <si>
    <t>3/2</t>
  </si>
  <si>
    <t>DDP Mode</t>
  </si>
  <si>
    <t>Stereo</t>
  </si>
  <si>
    <t>Trans</t>
  </si>
  <si>
    <t>SBR Enabled</t>
  </si>
  <si>
    <t>SBR Disabled</t>
  </si>
  <si>
    <t>AAC MPEG4 ADTS
HE-AAC MPEG 4 ADTS</t>
  </si>
  <si>
    <t>AAC MPEG4 LOAS
HE-AAC MPEG4 LOAS implicit
HE-AAC MPEG4 LOAS explicit</t>
  </si>
  <si>
    <t>SBR Enabled + Implicit</t>
  </si>
  <si>
    <t>SBR Enabled + Explicit</t>
  </si>
  <si>
    <t>Encoder Flags</t>
  </si>
  <si>
    <t>TNS Disabled</t>
  </si>
  <si>
    <t>TNS Enabled</t>
  </si>
  <si>
    <t>Surround</t>
  </si>
  <si>
    <t>(HE-)AAC LOAS</t>
  </si>
  <si>
    <t>(HE-)AAC MP4 ADTS</t>
  </si>
  <si>
    <t>(HE-)AAC MP2 ADTS</t>
  </si>
  <si>
    <t>DD+</t>
  </si>
  <si>
    <t>Dolby E</t>
  </si>
  <si>
    <t>Passthrough Only</t>
  </si>
  <si>
    <t>Ming Yao</t>
  </si>
  <si>
    <t>Scrambling Mode</t>
  </si>
  <si>
    <t>Signal Source</t>
  </si>
  <si>
    <t xml:space="preserve">DCD </t>
  </si>
  <si>
    <t>Algorithm</t>
  </si>
  <si>
    <t>MSK</t>
  </si>
  <si>
    <t>Channel Setup</t>
  </si>
  <si>
    <t>PowerVu Plus</t>
  </si>
  <si>
    <t>A</t>
  </si>
  <si>
    <t>Even</t>
  </si>
  <si>
    <t>CW Type: Variable        Tier bits: 0-19        Blkout code: 1-11</t>
  </si>
  <si>
    <t>Odd</t>
  </si>
  <si>
    <t>PowerVu Classic</t>
  </si>
  <si>
    <t>B</t>
  </si>
  <si>
    <t>For future</t>
  </si>
  <si>
    <t>CW Type: Variable        Tier bits: 0            Blkout code: None</t>
  </si>
  <si>
    <t>BISS</t>
  </si>
  <si>
    <t>Originator</t>
  </si>
  <si>
    <t>Single Program</t>
  </si>
  <si>
    <t>Multiple Program</t>
  </si>
  <si>
    <t>BISS-E</t>
  </si>
  <si>
    <t>CAM</t>
  </si>
  <si>
    <t>Transport Stream</t>
  </si>
  <si>
    <t>Single Channel</t>
  </si>
  <si>
    <t>Multiple Channels</t>
  </si>
  <si>
    <t>SDT FTA flag = 0</t>
  </si>
  <si>
    <t>DVB+BISS+CAM</t>
  </si>
  <si>
    <t>PowerVu - DVB</t>
  </si>
  <si>
    <t>PowerVu - DES</t>
  </si>
  <si>
    <t>SFN &amp; Others</t>
  </si>
  <si>
    <t>Karl Stoll &amp; Ming Yao</t>
  </si>
  <si>
    <t>Products Specifics</t>
  </si>
  <si>
    <t>Input</t>
  </si>
  <si>
    <t>Format / Modulation</t>
  </si>
  <si>
    <t>ASI: 188 Packet</t>
  </si>
  <si>
    <t>ASI</t>
  </si>
  <si>
    <t>SPTS</t>
  </si>
  <si>
    <t>MPTS</t>
  </si>
  <si>
    <t>SPTS w. FEC</t>
  </si>
  <si>
    <t>MPTS w. FEC</t>
  </si>
  <si>
    <t>Rate (Mbps / Sym rate)</t>
  </si>
  <si>
    <t>DVB-S : QPSK</t>
  </si>
  <si>
    <t>45 Msym : 7/8</t>
  </si>
  <si>
    <t>DVB-S2: QPSK</t>
  </si>
  <si>
    <t>DVB-S2: 8PSK</t>
  </si>
  <si>
    <t>30.5 Msym : 7/8</t>
  </si>
  <si>
    <t>28.3465 Msym : 7/8</t>
  </si>
  <si>
    <t>30.8 Msym : 7/8</t>
  </si>
  <si>
    <t>3 Msym : 7/8</t>
  </si>
  <si>
    <t>30.0 Msym : 9/10</t>
  </si>
  <si>
    <t>15 Msym : 5/6</t>
  </si>
  <si>
    <t>30.0 Msym : 5/6</t>
  </si>
  <si>
    <t>13.34 Msym : 3/4</t>
  </si>
  <si>
    <t>22.5 Msym : 8/9</t>
  </si>
  <si>
    <t>Test Cases</t>
  </si>
  <si>
    <t>Add Captioning here.</t>
  </si>
  <si>
    <t>CA</t>
  </si>
  <si>
    <t>Subtitle</t>
  </si>
  <si>
    <t>VBI</t>
  </si>
  <si>
    <t>LSD</t>
  </si>
  <si>
    <t>MPE</t>
  </si>
  <si>
    <t>G. Lee</t>
  </si>
  <si>
    <t>Parameter</t>
  </si>
  <si>
    <t># PIDs</t>
  </si>
  <si>
    <t>Frame Size</t>
  </si>
  <si>
    <t>Flow Type</t>
  </si>
  <si>
    <t>Constant</t>
  </si>
  <si>
    <t>Rate per PID (Mbps)</t>
  </si>
  <si>
    <t>Aggregate (Mbps)</t>
  </si>
  <si>
    <t>Rate Sweep</t>
  </si>
  <si>
    <t>0.1 - 2</t>
  </si>
  <si>
    <t>0.5-10</t>
  </si>
  <si>
    <t>100-1500</t>
  </si>
  <si>
    <t>Frame Sweep</t>
  </si>
  <si>
    <t>&lt;5</t>
  </si>
  <si>
    <t>Constant Bit Rate</t>
  </si>
  <si>
    <t>MPE Test Cases</t>
  </si>
  <si>
    <t>Unit Applicability</t>
  </si>
  <si>
    <t>D9854/58</t>
  </si>
  <si>
    <t>D9865</t>
  </si>
  <si>
    <t>D9834</t>
  </si>
  <si>
    <t>D9850 Rev C</t>
  </si>
  <si>
    <t>D9850 Rev E w. MPE accel.</t>
  </si>
  <si>
    <t>Karl Stoll &amp; Anthony Lithgow</t>
  </si>
  <si>
    <t>Z. Alaoui</t>
  </si>
  <si>
    <t>Video frame rate</t>
  </si>
  <si>
    <t>1080i25 or 720p50</t>
  </si>
  <si>
    <t>Vbi format</t>
  </si>
  <si>
    <t>SA generic PAL</t>
  </si>
  <si>
    <t>DVB PAL</t>
  </si>
  <si>
    <t>SA generic NTSC</t>
  </si>
  <si>
    <t>DVB NTSC</t>
  </si>
  <si>
    <t>NABTS</t>
  </si>
  <si>
    <t>Line 10-17 (F1+F2)</t>
  </si>
  <si>
    <t>WST</t>
  </si>
  <si>
    <t>Line 7-13 + Line 17-22 (F1+ F2)</t>
  </si>
  <si>
    <t>Line 7-15 + Line 17-22 (F1+ F2)</t>
  </si>
  <si>
    <t>Inverted WST</t>
  </si>
  <si>
    <t xml:space="preserve">Line 18-19 (F1+F2)  </t>
  </si>
  <si>
    <t>Line 18-19 (F1+F2)  </t>
  </si>
  <si>
    <t xml:space="preserve">Line 14-15 (F1+F2)  </t>
  </si>
  <si>
    <t>VPS</t>
  </si>
  <si>
    <t>Line 16</t>
  </si>
  <si>
    <t>WSS</t>
  </si>
  <si>
    <t>Line 23</t>
  </si>
  <si>
    <t>VITS</t>
  </si>
  <si>
    <t>Monochrome (Not tested)</t>
  </si>
  <si>
    <t>VBI approximate total rate (kbps)</t>
  </si>
  <si>
    <t>17 lines x (56 bytes x 8 bits) x 50fps = 372 Kbps</t>
  </si>
  <si>
    <t>17 lines x (48 bytes x 8bits) x 50 fps = 319Kbps</t>
  </si>
  <si>
    <t>12 lines x (56 bytes x 8 bits) x 60fps = 315Kbps</t>
  </si>
  <si>
    <t>12 lines x (48 bytes x 8 bits) x 60fps = 270 Kbps</t>
  </si>
  <si>
    <t>VITC NTSC (1)</t>
  </si>
  <si>
    <t>VITC PAL (1)</t>
  </si>
  <si>
    <t>AMOL-I (3)</t>
  </si>
  <si>
    <t>AMOL-II (3)</t>
  </si>
  <si>
    <t>GEMTAR (1x) (2)</t>
  </si>
  <si>
    <t>GEMTAR (2x)  (2)</t>
  </si>
  <si>
    <t xml:space="preserve">Line 20 + 22 F1, Line20 + 22 F2 (2  lines per field) </t>
  </si>
  <si>
    <t xml:space="preserve">Line 20 + 22 F1, Line20 + 22 F2 (2 lines per field) </t>
  </si>
  <si>
    <t xml:space="preserve">Line 20  + 22 F1, Line 20 + 22 F2 (2 line per fields) </t>
  </si>
  <si>
    <t xml:space="preserve"> 7 </t>
  </si>
  <si>
    <t>HD 25/50 Hz</t>
  </si>
  <si>
    <t>DVB-VBI</t>
  </si>
  <si>
    <t>NO VBI</t>
  </si>
  <si>
    <t>K. Stoll</t>
  </si>
  <si>
    <t>Subtitle Std</t>
  </si>
  <si>
    <t>Stream/Subtitle enc</t>
  </si>
  <si>
    <t>Video Std</t>
  </si>
  <si>
    <t>NO Subt.</t>
  </si>
  <si>
    <t>No Video</t>
  </si>
  <si>
    <t>No Audio</t>
  </si>
  <si>
    <t>PAL SD</t>
  </si>
  <si>
    <t>NTSC SD</t>
  </si>
  <si>
    <t>HD 29.97/59.94 Hz</t>
  </si>
  <si>
    <t>DVB HD</t>
  </si>
  <si>
    <t>Imitext</t>
  </si>
  <si>
    <t>DVB SD</t>
  </si>
  <si>
    <t>Data rate</t>
  </si>
  <si>
    <t>NO LSD</t>
  </si>
  <si>
    <t>NOTE:</t>
  </si>
  <si>
    <r>
      <rPr>
        <b/>
        <u/>
        <sz val="10"/>
        <rFont val="Arial"/>
        <family val="2"/>
      </rPr>
      <t xml:space="preserve">At least 1 unit </t>
    </r>
    <r>
      <rPr>
        <b/>
        <sz val="10"/>
        <rFont val="Arial"/>
        <family val="2"/>
      </rPr>
      <t>must be connected back to the data spitter program for loopback testing.</t>
    </r>
  </si>
  <si>
    <t>George Lee &amp; Fernand Boudreau &amp; Anthony Lithgow</t>
  </si>
  <si>
    <t>NOTE</t>
  </si>
  <si>
    <t>Bandwidth (Mbps)</t>
  </si>
  <si>
    <t>SD</t>
  </si>
  <si>
    <t>HD</t>
  </si>
  <si>
    <t>MPEG2:
Trans-rating</t>
  </si>
  <si>
    <t>AVC:
Trans-coding</t>
  </si>
  <si>
    <t>Source Video</t>
  </si>
  <si>
    <t>Encoding</t>
  </si>
  <si>
    <t>Standard</t>
  </si>
  <si>
    <t>Transcoder Settings</t>
  </si>
  <si>
    <t>Rate Mode</t>
  </si>
  <si>
    <t>GOP</t>
  </si>
  <si>
    <t>Vert Res.</t>
  </si>
  <si>
    <t>Horiz Res</t>
  </si>
  <si>
    <t>Bit Rate</t>
  </si>
  <si>
    <t>A/R</t>
  </si>
  <si>
    <t>A/R Conv.</t>
  </si>
  <si>
    <t>NB - Enable all CC Packets &amp; allow EIA 608/708 passthrough for all tests.</t>
  </si>
  <si>
    <t>HD 1080i @ 29.97FPS(30FPS)</t>
  </si>
  <si>
    <t>HD 1080i @ 25FPS</t>
  </si>
  <si>
    <t>HD 720P @ 59.94FPS(60FPS)</t>
  </si>
  <si>
    <t>HD 720P @ 50FPS</t>
  </si>
  <si>
    <t>Auto</t>
  </si>
  <si>
    <t>Full</t>
  </si>
  <si>
    <t>3/4</t>
  </si>
  <si>
    <t>I-Frame</t>
  </si>
  <si>
    <t>15:2</t>
  </si>
  <si>
    <t>16:9</t>
  </si>
  <si>
    <t>None</t>
  </si>
  <si>
    <t>SD NTSC</t>
  </si>
  <si>
    <t>SD PAL</t>
  </si>
  <si>
    <t>MPEG 2</t>
  </si>
  <si>
    <t>4:3</t>
  </si>
  <si>
    <t>AFD</t>
  </si>
  <si>
    <t>12:2</t>
  </si>
  <si>
    <t>Approximate Video Equivalent Case</t>
  </si>
  <si>
    <t>29.97/59.94</t>
  </si>
  <si>
    <t>25/50</t>
  </si>
  <si>
    <t>Cases</t>
  </si>
  <si>
    <t>4,5,6</t>
  </si>
  <si>
    <t>16,17,18</t>
  </si>
  <si>
    <t>19,20,21</t>
  </si>
  <si>
    <t>22,23,24</t>
  </si>
  <si>
    <t>25,26,27</t>
  </si>
  <si>
    <t>7,8,9</t>
  </si>
  <si>
    <t>Notes - uplinks available for test type</t>
  </si>
  <si>
    <t>Enchilada</t>
  </si>
  <si>
    <t>Ebenezer, Enterprise</t>
  </si>
  <si>
    <t>Effete, Encounter</t>
  </si>
  <si>
    <t>Any</t>
  </si>
  <si>
    <t>Encounter, ET</t>
  </si>
  <si>
    <t>v0.2</t>
  </si>
  <si>
    <t>George Lee</t>
  </si>
  <si>
    <t>5MBPS</t>
  </si>
  <si>
    <t>3.5MBPS</t>
  </si>
  <si>
    <t>Updated H.264 SD 15Mbps -&gt; 5Mbps, 10Mbps -&gt; 3.5 Mbps</t>
  </si>
  <si>
    <t>Encoder: D9034
Loop Filter: Yes
Weight Prediction: Both
Maximum QP: 0
Look-Ahead Array: 23
HRD Buffer: Auto
Picture AFF: OFF
Prefilter: ON
VBR Quality Level: Best</t>
  </si>
  <si>
    <t>720 X 576</t>
  </si>
  <si>
    <t>HIGH
QP Scaling: ON</t>
  </si>
  <si>
    <t>720 X 480</t>
  </si>
  <si>
    <t>10,11,12,40</t>
  </si>
  <si>
    <t>Encoder: D9054
Loop Filter: Yes
Weight Prediction: Implicit
Maximum QP: 0
Look-Ahead Array: 23
HRD Buffer: Auto
Interlaced Coding Mode: MBFF
Prefilter: ON
VBR Quality Level: Best</t>
  </si>
  <si>
    <t xml:space="preserve">Dynamic GOP: OFF
GOP Length: 32
</t>
  </si>
  <si>
    <t>Encoder: D9054
Loop Filter: Yes
Weight Prediction: Implicit
Maximum QP: 0
Look-Ahead Array: 23
HRD Buffer: Auto
Interlaced Coding Mode: Field Only
Prefilter: ON
VBR Quality Level: Best</t>
  </si>
  <si>
    <t>v0.3</t>
  </si>
  <si>
    <t>Cases 40-49</t>
  </si>
  <si>
    <t>13,14,15,41</t>
  </si>
  <si>
    <t>28,29,30,42,46</t>
  </si>
  <si>
    <t>31,32,33,43,47</t>
  </si>
  <si>
    <t>34,35,36,44,48</t>
  </si>
  <si>
    <t>37,38,39,45,49</t>
  </si>
  <si>
    <t>ASI: 188 Byte</t>
  </si>
  <si>
    <t>ASI: 204 Byte</t>
  </si>
  <si>
    <t>David Kelly</t>
  </si>
  <si>
    <t>Constant Frame
Size</t>
  </si>
  <si>
    <t>1 PID</t>
  </si>
  <si>
    <t>5 PIDs</t>
  </si>
  <si>
    <t>Variable</t>
  </si>
  <si>
    <t>Passthrough</t>
  </si>
  <si>
    <t>Scrambled</t>
  </si>
  <si>
    <t>-</t>
  </si>
  <si>
    <t>Drop</t>
  </si>
  <si>
    <t>DPM</t>
  </si>
  <si>
    <t>DPM Test Cases</t>
  </si>
  <si>
    <t>Mapped</t>
  </si>
  <si>
    <t>Full DPM Control</t>
  </si>
  <si>
    <t>Initial Output Mode</t>
  </si>
  <si>
    <t>MAP Svc Chans Only</t>
  </si>
  <si>
    <t>Transcoding</t>
  </si>
  <si>
    <t>Descrambling Mode</t>
  </si>
  <si>
    <t>Descrambled</t>
  </si>
  <si>
    <t>PE Action [1]</t>
  </si>
  <si>
    <t>Map</t>
  </si>
  <si>
    <t>Pass, Map &amp; Drop</t>
  </si>
  <si>
    <t>Xcode</t>
  </si>
  <si>
    <t>PID Map Action [2]</t>
  </si>
  <si>
    <t>Map &amp; Drop</t>
  </si>
  <si>
    <t>Aux PE Action [1][3]</t>
  </si>
  <si>
    <t>N/A</t>
  </si>
  <si>
    <t>Aux PID Map Action [2][3]</t>
  </si>
  <si>
    <t>Map Mode</t>
  </si>
  <si>
    <t>Svc ID</t>
  </si>
  <si>
    <t>Svc ID &amp; PID</t>
  </si>
  <si>
    <t>Duplic Mode</t>
  </si>
  <si>
    <t>PSI Remap</t>
  </si>
  <si>
    <t>Pkt Copy</t>
  </si>
  <si>
    <t>Unref</t>
  </si>
  <si>
    <t>PSI Options</t>
  </si>
  <si>
    <t>Ctl By Table</t>
  </si>
  <si>
    <t>PSI Rate</t>
  </si>
  <si>
    <t>SA Std</t>
  </si>
  <si>
    <t>Service ID</t>
  </si>
  <si>
    <t>Valid Ch</t>
  </si>
  <si>
    <t>PAT</t>
  </si>
  <si>
    <t>Regen</t>
  </si>
  <si>
    <t>CAT</t>
  </si>
  <si>
    <t>PMT</t>
  </si>
  <si>
    <t>TSDT</t>
  </si>
  <si>
    <t>NIT</t>
  </si>
  <si>
    <t>NITO</t>
  </si>
  <si>
    <t>PwRC</t>
  </si>
  <si>
    <t>SDT</t>
  </si>
  <si>
    <t>SDTO</t>
  </si>
  <si>
    <t>BAT</t>
  </si>
  <si>
    <t>EIT</t>
  </si>
  <si>
    <t>TDT</t>
  </si>
  <si>
    <t>RST</t>
  </si>
  <si>
    <t>TOT</t>
  </si>
  <si>
    <t>DIT</t>
  </si>
  <si>
    <t>STT</t>
  </si>
  <si>
    <t>ECM</t>
  </si>
  <si>
    <t>EMM</t>
  </si>
  <si>
    <t>DRT</t>
  </si>
  <si>
    <t>CDT</t>
  </si>
  <si>
    <t>Notes:</t>
  </si>
  <si>
    <t>1: PE Actions</t>
  </si>
  <si>
    <t>AUX/PE Action</t>
  </si>
  <si>
    <t>XCode</t>
  </si>
  <si>
    <t>PE#</t>
  </si>
  <si>
    <t>Act</t>
  </si>
  <si>
    <t>1,5,9,13,17,21,25,29</t>
  </si>
  <si>
    <t>2,6,10,14,18,22,26,30</t>
  </si>
  <si>
    <t>3,7,11,15,19,23,27,31</t>
  </si>
  <si>
    <t>4,8,12,16,20,24,28,32</t>
  </si>
  <si>
    <t>2: PID Map Actions</t>
  </si>
  <si>
    <t>AUX/PID Map Action</t>
  </si>
  <si>
    <t>PIDs for Mapped PEs</t>
  </si>
  <si>
    <t>Service</t>
  </si>
  <si>
    <t>PCR1</t>
  </si>
  <si>
    <t>OutCh</t>
  </si>
  <si>
    <t>VID1</t>
  </si>
  <si>
    <t>6000+PE#</t>
  </si>
  <si>
    <t>AUD1</t>
  </si>
  <si>
    <t>AUD2</t>
  </si>
  <si>
    <t>AUD3</t>
  </si>
  <si>
    <t>AUD4</t>
  </si>
  <si>
    <t>PIDs for Mapped Services</t>
  </si>
  <si>
    <t>SUBT1</t>
  </si>
  <si>
    <t>SUBT2</t>
  </si>
  <si>
    <t>OutType</t>
  </si>
  <si>
    <t>PID</t>
  </si>
  <si>
    <t>VBI1</t>
  </si>
  <si>
    <t>PCR</t>
  </si>
  <si>
    <t>6000 + 100 * In + PE#</t>
  </si>
  <si>
    <t>DATA1</t>
  </si>
  <si>
    <t>VID</t>
  </si>
  <si>
    <t>MPE1</t>
  </si>
  <si>
    <t>AUD</t>
  </si>
  <si>
    <t>6100 + 100 * In + PE#</t>
  </si>
  <si>
    <t>MPE2</t>
  </si>
  <si>
    <t>SUBT</t>
  </si>
  <si>
    <t>6500 + 100 * In + PE#</t>
  </si>
  <si>
    <t>MPE3</t>
  </si>
  <si>
    <t>6700 + 100 * In + PE#</t>
  </si>
  <si>
    <t>MPE4</t>
  </si>
  <si>
    <t>DATA</t>
  </si>
  <si>
    <t>6800 + 100 * In + PE#</t>
  </si>
  <si>
    <t>MPE5</t>
  </si>
  <si>
    <t>7000 + 100 * In + PE#</t>
  </si>
  <si>
    <t>3: Transcoding</t>
  </si>
  <si>
    <t>The Auxiliary PEs should be treated as follows to prevent PMT and PID collisions in the setup:</t>
  </si>
  <si>
    <t>AUX PE</t>
  </si>
  <si>
    <t>Effective PE#</t>
  </si>
  <si>
    <t>P1A</t>
  </si>
  <si>
    <t>PE3</t>
  </si>
  <si>
    <t>P2A</t>
  </si>
  <si>
    <t>PE4</t>
  </si>
  <si>
    <t>D9824/D9854 Scoreboards</t>
  </si>
  <si>
    <t>Full Control
with Drop</t>
  </si>
  <si>
    <t>Transcode
Descrambled</t>
  </si>
  <si>
    <t>D9858 Scoreboard</t>
  </si>
  <si>
    <t>Not Completed</t>
  </si>
  <si>
    <t>Test Not Developed</t>
  </si>
  <si>
    <t>300 bps</t>
  </si>
  <si>
    <t>9600 bps</t>
  </si>
  <si>
    <t>19200 bps</t>
  </si>
  <si>
    <t>38400 bps</t>
  </si>
  <si>
    <t>Gary Chan</t>
  </si>
  <si>
    <t>PowerVu Next Gen</t>
  </si>
  <si>
    <t>PVNG</t>
  </si>
  <si>
    <t>PVNG - DES</t>
  </si>
  <si>
    <t>PVNG - DVB</t>
  </si>
  <si>
    <t>D9854/D9865/D9824</t>
  </si>
  <si>
    <t>D9854/D9824</t>
  </si>
  <si>
    <t>Directory</t>
  </si>
  <si>
    <t>Conditional Access Test Cases</t>
  </si>
  <si>
    <t>Audio Test Cases</t>
  </si>
  <si>
    <t>Video Test Cases</t>
  </si>
  <si>
    <t>FPT</t>
  </si>
  <si>
    <t>CC</t>
  </si>
  <si>
    <t>Baseline</t>
  </si>
  <si>
    <t>Result</t>
  </si>
  <si>
    <t>Remarks</t>
  </si>
  <si>
    <t>No</t>
  </si>
  <si>
    <t>C. Pass</t>
  </si>
  <si>
    <t>Pending</t>
  </si>
  <si>
    <t>Open issues</t>
  </si>
  <si>
    <t>DATE</t>
  </si>
  <si>
    <t>SD Output</t>
  </si>
  <si>
    <t>HD Output</t>
  </si>
  <si>
    <t>HD 
29.97 Hz</t>
  </si>
  <si>
    <t>HD 
59.94 Hz</t>
  </si>
  <si>
    <t>Stability Testing - Scoreboard</t>
  </si>
  <si>
    <t>D9858</t>
  </si>
  <si>
    <t>HD 
29.97/59.94</t>
  </si>
  <si>
    <t>Full Ctrl with Drop</t>
  </si>
  <si>
    <t>Combination</t>
  </si>
  <si>
    <t>INPUT</t>
  </si>
  <si>
    <t>6or7</t>
  </si>
  <si>
    <t>NA</t>
  </si>
  <si>
    <t>D9854/24</t>
  </si>
  <si>
    <t>Not Applicable</t>
  </si>
  <si>
    <t>HD 
25/50 Hz</t>
  </si>
  <si>
    <t>Subt</t>
  </si>
  <si>
    <t>D9859</t>
  </si>
  <si>
    <t>sgnanamu</t>
  </si>
  <si>
    <t>TC Name</t>
  </si>
  <si>
    <t>SA - PAL</t>
  </si>
  <si>
    <t>DVB-PAL</t>
  </si>
  <si>
    <t>SA - NTSC</t>
  </si>
  <si>
    <t>DVB - NTSC</t>
  </si>
  <si>
    <t>DVB -PAL</t>
  </si>
  <si>
    <t>Sailesh Gnanamurthy</t>
  </si>
  <si>
    <t xml:space="preserve"> TC Name</t>
  </si>
  <si>
    <t>Transcode</t>
  </si>
  <si>
    <t>Basic Combinations</t>
  </si>
  <si>
    <t>VBI Test Cases</t>
  </si>
  <si>
    <t>LSD Test Cases</t>
  </si>
  <si>
    <t>1 PID(s) @ 5 Mbps/PID, Frame Size:1500, Constant Flow</t>
  </si>
  <si>
    <t>5 PID(s) @ 0.5 Mbps/PID, Frame Size:500, Constant Flow</t>
  </si>
  <si>
    <t>5 PID(s) @ 0.1 - 2 Mbps/PID, Frame Size:1500, Variable Flow</t>
  </si>
  <si>
    <t>5 PID(s) @ 0.5 Mbps/PID, Frame Size:100-1500, Variable Flow</t>
  </si>
  <si>
    <t>1 PID(s) @ 10 Mbps/PID, Frame Size:1500, Constant Flow</t>
  </si>
  <si>
    <t>1 PID(s) @ 25 Mbps/PID, Frame Size:1500, Constant Flow</t>
  </si>
  <si>
    <t>1 PID(s) @ 45 Mbps/PID, Frame Size:1500, Constant Flow</t>
  </si>
  <si>
    <t>5 PID(s) @ 1 Mbps/PID, Frame Size:1500, Constant Flow</t>
  </si>
  <si>
    <t>5 PID(s) @ 2 Mbps/PID, Frame Size:1500, Constant Flow</t>
  </si>
  <si>
    <t>5 PID(s) @ 5 Mbps/PID, Frame Size:1500, Constant Flow</t>
  </si>
  <si>
    <t>5 PID(s) @ 9 Mbps/PID, Frame Size:1500, Constant Flow</t>
  </si>
  <si>
    <t>1 PID(s) @ 2 Mbps/PID, Frame Size:500, Constant Flow</t>
  </si>
  <si>
    <t>Subtitle Test Cases</t>
  </si>
  <si>
    <t>Transcode Test Cases</t>
  </si>
  <si>
    <t>MPEG 2-SD NTSC to MPEG2-SD NTSC</t>
  </si>
  <si>
    <t>MPEG 2-SD PAL to MPEG2-SD PAL</t>
  </si>
  <si>
    <t>MPEG 2-HD 1080i @ 29.97FPS(30FPS) to MPEG2-SD NTSC</t>
  </si>
  <si>
    <t>MPEG 2-HD 720P @ 59.94FPS(60FPS) to MPEG2-HD 720P @ 59.94FPS(60FPS)</t>
  </si>
  <si>
    <t>MPEG 2-HD 720P @ 59.94FPS(60FPS) to MPEG2-SD NTSC</t>
  </si>
  <si>
    <t>H.264-SD NTSC to MPEG2-SD NTSC</t>
  </si>
  <si>
    <t>H.264-SD PAL to MPEG2-SD PAL</t>
  </si>
  <si>
    <t>H.264-HD 1080i @ 29.97FPS(30FPS) to MPEG2-SD NTSC</t>
  </si>
  <si>
    <t>H.264-HD 720P @ 59.94FPS(60FPS) to MPEG2-SD NTSC</t>
  </si>
  <si>
    <t>H.264-HD 720P @ 50FPS to MPEG2-HD 720P @ 50FPS</t>
  </si>
  <si>
    <t>H.264-HD 1080i @ 29.97FPS(30FPS) to MPEG2-HD 1080i @ 29.97FPS(30FPS)</t>
  </si>
  <si>
    <t>ST</t>
  </si>
  <si>
    <t>Output Pref
PCM / Compressed</t>
  </si>
  <si>
    <t>Comp</t>
  </si>
  <si>
    <t>MPEG1L2(64) ST - PCM</t>
  </si>
  <si>
    <t>AC3(224) 3/2 - PCM</t>
  </si>
  <si>
    <t>AAC-mp2-ADTS(384) SBR Off, TNS Off, 3/2 - PCM</t>
  </si>
  <si>
    <t>AAC-mp4-LOAS(96) SBR Off, TNS On, 3/2 - Comp</t>
  </si>
  <si>
    <t>AAC-mp4-ADTS(640) SBR Off, TNS Off, 3/2 - PCM</t>
  </si>
  <si>
    <t>DDP(224) 3/2 - Comp,Trans</t>
  </si>
  <si>
    <t>AC3(320) ST - PCM</t>
  </si>
  <si>
    <t>AAC-mp2-ADTS(192) SBR Off, TNS On, ST - Comp</t>
  </si>
  <si>
    <t>AAC-mp4-LOAS(320) SBR Off, TNS Off, ST - PCM</t>
  </si>
  <si>
    <t>AAC-mp4-ADTS(192) SBR Off, TNS On, ST - Comp</t>
  </si>
  <si>
    <t>DDP(320) ST - PCM,</t>
  </si>
  <si>
    <t>MoIP</t>
  </si>
  <si>
    <t>DVB-S : QPSK (3 Msym : 7/8)</t>
  </si>
  <si>
    <t>DVB-S2: QPSK (22.5 Msym : 8/9)</t>
  </si>
  <si>
    <t>ASI: 188 Packet (68.5)</t>
  </si>
  <si>
    <t>DVB-S2: 8PSK (15 Msym : 5/6)</t>
  </si>
  <si>
    <t>DVB-S : QPSK (28.3465 Msym : 7/8)</t>
  </si>
  <si>
    <t>DVB-S2: QPSK (30.0 Msym : 5/6)</t>
  </si>
  <si>
    <t>DVB-S2: 8PSK (30.0 Msym : 5/6)</t>
  </si>
  <si>
    <t>DVB-S : QPSK (45 Msym : 7/8)</t>
  </si>
  <si>
    <t>DVB-S2: QPSK (30.0 Msym : 9/10)</t>
  </si>
  <si>
    <t>ASI: 188 Packet (200)</t>
  </si>
  <si>
    <t>DVB-S2: 8PSK (30.0 Msym : 9/10)</t>
  </si>
  <si>
    <t>Passthrough Scrambled</t>
  </si>
  <si>
    <t>Passthrough Descrambled</t>
  </si>
  <si>
    <t>Transcoding Passthrough</t>
  </si>
  <si>
    <t>Transcoding Map</t>
  </si>
  <si>
    <t>Transcoding Drop</t>
  </si>
  <si>
    <t>NTSC SD - DVB SD</t>
  </si>
  <si>
    <t>PAL SD - Imitext</t>
  </si>
  <si>
    <t>HD 29.97/59.94 Hz - DVB SD</t>
  </si>
  <si>
    <t>HD 29.97/59.94 Hz - DVB HD</t>
  </si>
  <si>
    <t>HD 25/50 Hz - DVB HD</t>
  </si>
  <si>
    <t>NTSC SD - DVB HD</t>
  </si>
  <si>
    <t>PAL SD - DVB HD</t>
  </si>
  <si>
    <t>D9859 Scoreboard</t>
  </si>
  <si>
    <t>Scoreboard Sheets</t>
  </si>
  <si>
    <t>Output Video TC name</t>
  </si>
  <si>
    <t>Test Case Sheets</t>
  </si>
  <si>
    <t>Grid &amp; Other Sheets</t>
  </si>
  <si>
    <t>V0.3</t>
  </si>
  <si>
    <t>Sailesh (Added TC 25 thru 36, Provided by Gary Chan)</t>
  </si>
  <si>
    <t>3:2 Pull Down</t>
  </si>
  <si>
    <t>Off</t>
  </si>
  <si>
    <t>On</t>
  </si>
  <si>
    <t>Yes</t>
  </si>
  <si>
    <t>Model(s)</t>
  </si>
  <si>
    <t>Both</t>
  </si>
  <si>
    <t>Applicability</t>
  </si>
  <si>
    <t>Enter video test case # here--&gt;</t>
  </si>
  <si>
    <t xml:space="preserve">   </t>
  </si>
  <si>
    <t>D9858/59</t>
  </si>
  <si>
    <t>For upgrading template</t>
  </si>
  <si>
    <t>Source spreadsheet</t>
  </si>
  <si>
    <t>Applicable Model</t>
  </si>
  <si>
    <t>Source Grid sheet</t>
  </si>
  <si>
    <t>Source Scoreboard Sheet</t>
  </si>
  <si>
    <t>Source location</t>
  </si>
  <si>
    <t>TXC1</t>
  </si>
  <si>
    <t>TXC2</t>
  </si>
  <si>
    <t>D9859 Grid</t>
  </si>
  <si>
    <t>TXC3</t>
  </si>
  <si>
    <t>TXC4</t>
  </si>
  <si>
    <t>TXC5</t>
  </si>
  <si>
    <t>TXC6</t>
  </si>
  <si>
    <t>TXC7</t>
  </si>
  <si>
    <t>TXC8</t>
  </si>
  <si>
    <t>System</t>
  </si>
  <si>
    <t>Model-Release</t>
  </si>
  <si>
    <t>D9859-R1</t>
  </si>
  <si>
    <t>Pass %</t>
  </si>
  <si>
    <t>Done %</t>
  </si>
  <si>
    <t>Obsolete</t>
  </si>
  <si>
    <t>Not run</t>
  </si>
  <si>
    <t>Future</t>
  </si>
  <si>
    <t>RF 
DVB-S</t>
  </si>
  <si>
    <t>PowerVu 
- DES</t>
  </si>
  <si>
    <t>PowerVu
 - DVB</t>
  </si>
  <si>
    <t>SA Generic 
VBI</t>
  </si>
  <si>
    <t>RF 
DVB-S2
QPSK</t>
  </si>
  <si>
    <t>RF 
DVB-S2
8PSK</t>
  </si>
  <si>
    <t>DVB+BISS
+CAM</t>
  </si>
  <si>
    <t>MoIP 
Input</t>
  </si>
  <si>
    <t>From</t>
  </si>
  <si>
    <t>To</t>
  </si>
  <si>
    <t>S Mono</t>
  </si>
  <si>
    <t>D Mono</t>
  </si>
  <si>
    <t>D9859-R1.05</t>
  </si>
  <si>
    <t>Setup Notes</t>
  </si>
  <si>
    <t>C.Pass</t>
  </si>
  <si>
    <t xml:space="preserve"> All units have valid video and audio output.
 Reboot is detected on unit .231. 
 TX CC  error on PID 104 co-timed on all units due to uplink issue.
 MPE warnings on all units, system issue.
 Asserts on unit.107 due to unknown issue
 VBI warnings on all due to known setup issue.</t>
  </si>
  <si>
    <t xml:space="preserve"> All units have valid video and audio output.
FE asserts on unit .125 is detected.
TX CC  error on PID 1010() co-timed on all units due to uplink issue.
 AUD2 warnings on most units, known issue CSCuh25081.</t>
  </si>
  <si>
    <t>All units have valid video and audio output.
FE asserts on unit .114 is detected.
Unit #114
2014-02-25 ;03:45:13 ;FE;WARNING;;; ;WARNING;;3224;Failed to get tuner status
VBI warnings on all due to known setup issue.
MPE warnings on all units, refer to CSCzr06824,system issue</t>
  </si>
  <si>
    <t xml:space="preserve">All units have valid video and audio output.
TX CC  error on PID 106(VBI) co-timed on all units due to uplink issue.
AUD2 warnings on several units, known issue CSCuh25081
</t>
  </si>
  <si>
    <t xml:space="preserve">All units have valid video and audio output.
Transcoder reset on unit .104(Micron alt-part units) due to Transcoder heartbeat message timeout exceeded. we’ve seen this issue only on this unit again.
All warning/assert related to transcoder reset can be ignored.
TX buffer overflow co-timed with video hits on unit .107 due to high video bit rate @ 25Mbps.
AUD2 warnings on several units, known issue CSCuh25081.
</t>
  </si>
  <si>
    <t>All units have valid video and audio output.
AUD2 warnings on several units, known issue CSCuh25081.</t>
  </si>
  <si>
    <t xml:space="preserve">All units have valid video and audio output.  
Downstream unit .231 keep rebooting due to unknown issue.  
The upstream D9859 unit is running on E-build E01.00.09yk0
TX CC errors on VBI PID 604 co-timed on all, uplink issue.
TX buffer overflow on VID PID 1023 co-timed with video hits due to high video bit rate @ 30Mbps.
VID errors on all Units.
192.131.244.118 ;2014-02-28 ;18:32:11 ;VID;WARNING;;; ;WARNING;;4365;--&gt;2 Unexpected Delay in Event Processing: v-sync event, driver 50 us task 44969 us
192.131.244.118 ;2014-02-28 ;18:32:11 ;VID;WARNING;;; ;WARNING;;4365;--&gt;2 Unexpected Delay in Event Processing: v-sync event, driver 26 us task 45023 us
192.131.244.118 ;2014-02-28 ;18:32:11 ;VID;WARNING;;; ;WARNING;;4365;--&gt;2 Unexpected Delay in Event Processing: picture ready to display, driver 19 us task 44525 us
TX buffer overflow on VID PID 200 co-timed with video hits due to high video bit rate @ 30Mbps.
AUD2 warnings on some units, known issue CSCuh25081.
</t>
  </si>
  <si>
    <t>Reboot detected on unit .131(e-build) due to Watchdog 'Secondary WD' expired.
Downstream Unit .230 lost video for some reason, but it’s upstream works well.
All units have valid video and audio output.
TX CC errors on PID 104(VBI1) co-timed on some, uplink issue.
VBI warnings on all due to known setup issue.
AUD2 warnings on some units, issue CSCuh61762.</t>
  </si>
  <si>
    <t xml:space="preserve">All units have valid video and audio output.
VBI warnings on all due to known setup issue.
</t>
  </si>
  <si>
    <t>1, 2, 3, 4</t>
  </si>
  <si>
    <t>Reset detected 5 times on downstream unit .231
All units have valid video and audio output.
VBI warnings on all due to known setup issue.
AUD2 warnings on some units, issue CSCuh61762.
MPE warnings on some units, system issue.</t>
  </si>
  <si>
    <t>All units have valid video and audio output.
AUD2 warnings on some units, issue CSCuh61762.
MPE warnings on some units, system issue.</t>
  </si>
  <si>
    <t>All units have valid video and audio output.  
TX CC errors on VBI PID 4150 co-timed on all units, uplink issue..
AUD2 warnings on all units, known issue CSCuh25081.
VID warning only on all units, issue CSCuh25144(Decoder reports H264_DECODER_ERROR_RECOVERED).
Data warning on all units:
data_rcv_check_tp_hdr: Data TP packet was lost, tp_expect_cnt=8, tp_cont_counter=9</t>
  </si>
  <si>
    <t>All units have valid video and audio output.  
TX CC errors on PID 4001,4002,4003,4004,4005,206 co-timed on all units, uplink issue..
MPE warnings on several units, system issue</t>
  </si>
  <si>
    <t>Unit.117-132(Make-up test for Monday’s case):
AUD2 warnings on some units, issue CSCuh61762.
MPE,VBI warnings and TX CC error (on PID 106) only on Unit.209.</t>
  </si>
  <si>
    <t xml:space="preserve">All units have valid video and audio output
MPE warning only on control unit(.058). 
</t>
  </si>
  <si>
    <t>9, 10, 11</t>
  </si>
  <si>
    <t>T1.05B10 (1.05)</t>
  </si>
  <si>
    <t>All units except downstream unit.231 have valid video and audio output.
Output from D9859 units are all valid.
Reboot was detected on downstream units 230&amp;231.
TX CC errors on PID 603,3340,4150 on all units, uplink issue.
TX CC errors &amp; TC encode error on undetermined PID  on unit.112
AUD2 warnings on some units, issue CSCuh61762.
MPE warnings one unit(.104) refer to CSCzr06824,system issue.
VID warning only on several units  (Preprocessor reports H264_PREPROCESSOR_ERROR_BIT_BUFFER_UNDERFLOW)</t>
  </si>
  <si>
    <t>All have valid video and audio output.
TX CC errors &amp; TC encode error on unit.112
AUD2 warnings on unit.112,115,118, , issue CSCuh61762.
MPE warnings all unit except unit.102, refer to CSCzr06824,system issue.
VID warning only on unit.112(data underflow detected)
DPRM warning only on unit.112(NACK received: BAD_CHECKSUM)
Unit 112 is suspected to have some configuration issues.</t>
  </si>
  <si>
    <t>All units have valid video and audio output.
Video is observed frozen when switching channel on downstream unit.232. 
TX CC errors on PID 2904 co-timed on all units
MPE warnings all unit except unit.114, refer to CSCzr06824,system issue.</t>
  </si>
  <si>
    <t>All units have valid video and audio output.  
TX CC errors on PID 2901 on all units, uplink issue.
VBI warnings on all unit due to known uplink setup issue.  
MPE warnings on all units,refer to CSCzr06824,system issue.
FE asserts on unit.108&amp;125.</t>
  </si>
  <si>
    <t>T1.10B11(1.00)</t>
  </si>
  <si>
    <t>T1.10B12(1.00)</t>
  </si>
  <si>
    <t>All units have valid video and audio output.  
TX CC errors on PID 4001,TX buffer overflow on PID 2904 on all units, uplink issue.
MPE warnings on all units, refer to CSCzr06824,system issue.
TXB_ECC1 warning on unit 102.
IPAL asserts on unit 107,111,112.(IPAL: Treck warning: tfSocketIncomingPacket, UDP socket ID 8 buffer full)
TXB_MGX1 asserts on unit 102,119,130:</t>
  </si>
  <si>
    <t>All units have valid video and audio output.  
The D9854 unit #215 rebooted due to wdog issue.
TX CC errors on PID 2903 on all units, uplink issue.
MPE warnings on all units, refer to CSCzr06824,system issue.
VID warning on  some units.
TXB_ECC1 warning, TXB_MGX1 warning/assert ,TXB_MG1 warning /assert  co-timed on unit 104.</t>
  </si>
  <si>
    <t>All units have valid video and audio output.  
MPE warnings on unit.101&amp;102, refer to CSCzr06824,system issue.
VID warnings co-timed on all units.</t>
  </si>
  <si>
    <t>All units have valid video and audio output.
TX CC errors on PID 2901,4001 co-time on all units, uplink issue.
AUD2 warnings on all units, issue CSCuh61762.
MPE warnings control unit and unit.101,102 refer to CSCzr06824,system issue.
VBI warnings on all unit due to known uplink setup issue
VID warning only on unit.120  (Decoder reports H264_DECODER_ERROR_RECOVERED)</t>
  </si>
  <si>
    <t>All units have valid video and audio output.
AUD2 warnings on unit101,122, issue CSCuh61762.
VBI warnings only on unit.101(vbi_SendVANCMsg: Failed to claim queue buffer) 
VID warning only on unit.120  (Decoder reports H264_DECODER_ERROR_RECOVERED)
TXB_MGX1, TXB_TMG1 asserts on unit.104</t>
  </si>
  <si>
    <t>All units have valid video and audio output.
AUD2 warnings on all units,issue CSCuh61762.
MPE warnings on all units, refer to CSCzr06824,system issue.
VBI warnings on all unit due to known uplink setup issue
TX buffer overflow on PID 301 co-timed with video hits on unit .133 due to high video bit rate @ 25Mbps.</t>
  </si>
  <si>
    <t>All units have valid video and audio output.
TAP TXB_MGX1 TXB_TMG1 asserts on unit.104
TXB_ECC1 TXB_TMG1 warnings on unit.124
AUD2 warnings on several units, known issue CSCuh25081.
MPE warnings on all units, refer to CSCzr06824,system issue
VID warnings and DPRM asserts on control unit</t>
  </si>
  <si>
    <t>All units have valid video and audio output.
TX CC error on PID 2903 co-timed on all units.
TXB_TMG1 warning on unit.104(appeared every night on this unit recently)
TXB_ECC1 TXB_TMG1 warnings on unit.124(appeared every night on this unit recently)
MPE,DPRM warnings and PPC asserts on control unit</t>
  </si>
  <si>
    <t>All units have valid video and audio output.
AUD2 warnings on some units
AW TAP and TXB_TMG1 warnings co-timed on unit.105 and 110
TXB_ECC1 TXB_TMG1 warnings on unit.124(appeared every night on this unit recently)</t>
  </si>
  <si>
    <t>All units have valid video and audio output.
TX CC error on PID 2901 on all units.
AUD2 warnings on some units.
VBI warnings on all unit due to known uplink setup issue.  
TXB_ECC1 TXB_TMG1 warnings on unit.124(appeared every night on this unit recently)
IPAL asserts on unit 110.
IPAL: Treck warning: tfSocketIncomingPacket, UDP socket ID 8 buffer full</t>
  </si>
  <si>
    <t>All units have valid video and audio output.
AUD2 warnings on some units.
VBI warnings on all unit due to known uplink setup issue.  
TXB_ECC1 TXB_TMG1 warnings on unit.124(appeared every night on this unit recently)</t>
  </si>
  <si>
    <t>All units have valid video and audio output.
FE asserts on unit.110.
TXB_ECC1 TXB_TMG1 warnings on unit.124.
AUD2 warnings on some units, known issue CSCuh25081.
MPE warnings only on unit.125.
VID warnings on unit.120 and 104</t>
  </si>
  <si>
    <t>All units have valid video and audio output.
TXB_TMG1 warnings on unit.125.
AUD2 warnings  on unit.107/113/127/132
MPE warnings only on unit.125/124.</t>
  </si>
  <si>
    <t>All units have valid video and audio output.
TX CC error on VBI PID 2904 co-timed on all units.
MPE warnings on several units.</t>
  </si>
  <si>
    <t xml:space="preserve">All units have valid video and audio output.
TX CC error on PID 2802 co-timed on all units, uplink issue.
VBI warnings on all units, due to known uplink setup issue. 
MPE warnings on several units. uplink system known issue. </t>
  </si>
  <si>
    <t>All units have valid video and audio output.
AUD2 warnings on some units, known issue CSCuh25081.
TX CC error on PID 2901 co-timed on all units, uplink issue.
VBI warnings on all units, due to known uplink setup issue. 
MPE warnings on several units. uplink system known issue. 
TXB_TMG1 warnings only on unit.131.</t>
  </si>
  <si>
    <t>7, 8</t>
  </si>
  <si>
    <t>T1.10B13(1.00)</t>
  </si>
  <si>
    <t xml:space="preserve"> All units have valid video and audio output and no reboot was detected.
TX CC error on PID 2802 co-timed on most units, uplink issue.
VBI warnings on most units, due to known uplink setup issue. 
MPE warnings on Unit #124,130,125. </t>
  </si>
  <si>
    <t xml:space="preserve"> All units have valid video and audio output.
TX CC error on PID 2901&amp; 2802 co-timed on all units, uplink issue.
VBI warnings on all units, due to known uplink setup issue. 
TXB_MGX1, TXB_TMG1 asserts on unit#107.
FE asserts on unit #120,#124,#126
</t>
  </si>
  <si>
    <t xml:space="preserve">All units have valid video and audio output.
AUD2 warnings on several units, known issue CSCuh25081.
TX buffer overflow co-timed with video hits on unit #112 &amp; #119 due to high video bit rate @ 25Mbps.
TXB_TMG1 warnings on unit.131
</t>
  </si>
  <si>
    <t xml:space="preserve">All units have valid video and audio output.
AUD2 warnings on most units, known issue CSCuh25081.
TX buffer overflow on PID 301 co-timed with video hits on unit #112 &amp; #119 TXB_TMG1 warnings on unit.131.
</t>
  </si>
  <si>
    <t>All units have valid video and audio output.
AUD2 warnings on some units, known issue CSCuh25081.
TXB_MGX1 warnings on all units but #111 &amp; #126.
MC asserts on unit #132.
VID warnings on unit#104,#115,#118,#120.
MPE warnings  on three units.</t>
  </si>
  <si>
    <t>All units have valid video and audio output.
TXB_MGX1 warnings on all units but #120.
VID warnings on unit#104,#120.</t>
  </si>
  <si>
    <t xml:space="preserve">All units have valid video and audio output.
TX CC error SUB PID 2802 on co-timed on most units </t>
  </si>
  <si>
    <t xml:space="preserve">All units have valid video and audio output and no reboot was detected.
TX CC error on PID 2901 co-timed on most units, uplink issue.
AUD2 warnings on most units.
VBI warnings on most units, due to known uplink setup issue. </t>
  </si>
  <si>
    <t>All units have valid video and audio output.
VBI warnings on all units due to known uplink setup issue.
AUD2 warnings  several units</t>
  </si>
  <si>
    <t>T1.10B14(1.00)</t>
  </si>
  <si>
    <t xml:space="preserve">All units have valid video and audio output.
FE Assert due to known issue CSCul84769
MPE warning on unit 118
VID warning on unit 120, issue CSCuh25144
</t>
  </si>
  <si>
    <t xml:space="preserve">All units have valid video and audio output.
TX warnings on all units, uplink issue
AUD2 warnings on all units, known issue CSCuh61762
VID warning on unit 120, issue CSCuh25144
</t>
  </si>
  <si>
    <t xml:space="preserve">All units have valid video and audio output.
TX warnings on all units, uplink issue
</t>
  </si>
  <si>
    <t xml:space="preserve">All units have valid video and audio output and no reboot was detected.
TX CC error on PID 2802 co-timed on most units, uplink issue.
AUD2 warnings on few units
</t>
  </si>
  <si>
    <t xml:space="preserve">All units have valid video and audio output.
AUD2 warnings on most units, known issue CSCuh25081
MPE warnings co-timed on most units, uplink issue
TX CC errors on PID 2802 on all units, uplink issue
VBI warnings on all units
VID warnings on all units
MPE and MC Asserts on all units, co-timed. 
</t>
  </si>
  <si>
    <t xml:space="preserve">All units have valid video and audio output.
TX CC errors on PID 2802, 2904 on all units, uplink issue
VID warnings unit 104, 120
</t>
  </si>
  <si>
    <t xml:space="preserve">All units have valid video and audio output.
TX CC errors on PID 2801 on all units, uplink issue
MPE warnings on unit 126
VBI warnings on all units
IPAL assert on unit 113
</t>
  </si>
  <si>
    <t xml:space="preserve">All units have valid video and audio output.
TX CC errors on PID 2905 on all units, uplink issue
MPE warning on unit 113
Video warning on unit 120
AUD warnings on a few units. 
</t>
  </si>
  <si>
    <t xml:space="preserve">All units have valid video and audio output.
VID warnings on most units
MPE warnings on most units 
TX CC errors on PID 2801 on all units, uplink issue
AUD2 warnings on all units, issue CSCuh61762
MC Asserts on several units
</t>
  </si>
  <si>
    <t xml:space="preserve">All units have valid video and audio output.
MPE warning on units 
Video warning on unit 102, 105, 112
AUD2 warnings on all units, issue CSCuh61762
MC Asserts on most units
</t>
  </si>
  <si>
    <t xml:space="preserve">All units have valid video and audio output.
MPE warning on a few units 
TX CC errors on PID 2901, 2801 on most units, uplink issue
AUD2 warnings on a few units, issue CSCuh61762
VBI warnings on most units
FE asserts on unit 111, 122
</t>
  </si>
  <si>
    <t>10, 12, 30, 15, 22, 24, 33, 34, 36</t>
  </si>
  <si>
    <t xml:space="preserve">Video/Audio output cannot be verified due to low signal
MPE warning on all units 
Video warning on most units
TX CC errors on PID 2903 on most units, uplink issue
VBI warnings on all units
MC and TXB_MGX1 Asserts on most units
MPE asserts on a few units
</t>
  </si>
  <si>
    <t>Subtitle warnings on unit 102</t>
  </si>
  <si>
    <t xml:space="preserve">All units have valid video and audio output.
Video warning on unit 120
TX CC errors on PID 2901, 2801 on most units, uplink issue
MPE warnings on all units, uplink issue
IPAL asserts on 111, 112, 113, 116, 117
</t>
  </si>
  <si>
    <t xml:space="preserve">All units have valid video and audio output.
VID warnings on unit 120
MPE warnings on unit 132
TX CC errors on PID 2901 on most units, uplink issue
VBI warnings on all units
</t>
  </si>
  <si>
    <t xml:space="preserve">All units have valid video and audio output.
AUD2 warnings on several units
MPE warnings on all units
TX CC errors on PID 3340 on most units, uplink issue
FE asserts on units 120
Several asserts on unit 105
</t>
  </si>
  <si>
    <t>1, 22, 25, 2, 3, 6, 9, 15, 40, 41, 42, 43, 44, 45, 48, 49</t>
  </si>
  <si>
    <t xml:space="preserve">All units have valid video and audio output.
VID warnings on several units
MPE warnings on all units
TX CC errors on PID 2904 on all units, uplink issue
AUD2 warnings on unit 132, issue CSCuh61762
MC Asserts on unit 131
</t>
  </si>
  <si>
    <t>R01.10.00DD</t>
  </si>
  <si>
    <t xml:space="preserve">All units have valid video and audio output.
MPE warnings on all units
TX CC errors on PID 2901,  on all units, uplink issue
VBI warnings on all units
HTTP assert on unit 102
</t>
  </si>
  <si>
    <t xml:space="preserve">All units have valid video and audio output.
AUD2 warnings on several units
MPE warnings on all units
TX CC errors on PID 2901,  on all units, uplink issue
VBI warnings on all units
</t>
  </si>
  <si>
    <t>R01.11.00DD</t>
  </si>
  <si>
    <t xml:space="preserve">All units have valid video and audio output.
VID warnings on unit 120
SUBT warnings on a few units
</t>
  </si>
  <si>
    <t xml:space="preserve">All units have valid video and audio output.
TX CC errors on PID 2901 on most units, uplink issue
VBI warnings co-timed on most units, uplink issue
</t>
  </si>
  <si>
    <t xml:space="preserve">All units have valid video and audio output.
AUD2 warnings on several units
MPE warnings on all units
TX CC errors on PID 2801 on most units, uplink issue
TXB_TMG asserts to be investigated by Zaidan
MC Asserts to be investigated by Siva
</t>
  </si>
  <si>
    <t>5</t>
  </si>
  <si>
    <t xml:space="preserve">AUD2 warnings on 2 units, known issue
MPE warnings on a few units
VID warnings on unit 120 – Zaidan, are these warnings to be expected? 
The TXB_TMG1 warnings seem to be occurring from the start of the test until about 4:24 AM. 
Zaidan – Can you take a look at these warnings as well?  
</t>
  </si>
  <si>
    <t>6</t>
  </si>
  <si>
    <t xml:space="preserve">All units have valid video and audio output.
MPE warnings on a few units, can be ignored
AUD2 warnings on couple units, known issue
TX CC errors on PID 2802,  on all units, uplink issue
FE Asserts on unit 130 – expected
</t>
  </si>
  <si>
    <t xml:space="preserve">
All units have valid video and audio output.
MPE warnings co-timed on most units, uplink issue
TX CC errors on PID 2901 co-timed on most units, uplink issue
VBI warnings on all units
TMB_TMG warnings on unit 101 – Zaidan,  can you take a look?
 Asserts to be investigated by Siva
</t>
  </si>
  <si>
    <t xml:space="preserve">
All units have valid video and audio output.
AUD2 warnings on 2 units, known issue
MPE warnings on a few units
VID warnings on unit 120 – Zaidan, are these warnings to be expected? 
The TXB_TMG1 warnings seem to be occurring from the start of the test until about 4:24 AM. 
Zaidan – Can you take a look at these warnings as well?  
</t>
  </si>
  <si>
    <t xml:space="preserve">All units have valid video and audio output.
MPE warnings co-timed on most units, uplink issue
TX CC errors on PID 2901 co-timed on most units, uplink issue
VBI warnings on all units
TMB_TMG warnings on unit 101 – Zaidan,  can you take a look?
</t>
  </si>
  <si>
    <t xml:space="preserve">All units have valid video and audio output.
TX CC errors on PID 2901 co-timed on most units, uplink issue
VBI warnings on all units
MPE warnings on all units, known issue
TXB_TMG warnings on unit 101 – same warnings as 02/06/2014, needs to be looked at
</t>
  </si>
  <si>
    <t xml:space="preserve">All units have valid video and audio output.
Audio warnings on unit 120, known issue
VBI warnings on all units
VID warnings on unit 120 – they appear different from the ones on other unit types 
TXB_TMG warnings and asserts on unit 101 – there has been TXB_TMG warnings on unit 101 consistently, same warnings as 03/06/2014
</t>
  </si>
  <si>
    <t xml:space="preserve">All units have valid video and audio output.
TXB_TMG warnings on unit 101, being investigated
VID warnings on unit 103 – Zaidan, can you take a look at these?
MC Asserts on most units – Siva, can you take a look? Looks like the same asserts we’ve gotten before
IPAL Asserts on several units – Swee, who could take a look at this? 
</t>
  </si>
  <si>
    <t xml:space="preserve">All units have valid video and audio output.
TX CC errors on PID 2901 co-timed on most units, uplink issue
VBI warnings on all units
TXB_TMG warnings on all unit 
VID warnings on unit 103 and 120 – Zaidan, can you take a look?
</t>
  </si>
  <si>
    <t xml:space="preserve">All units have valid video and audio output.
TX CC errors on PID 2801 co-timed on most units, uplink issue
AUD2 warnings on several units, known issue
VID warnings on unit 103 and 120, known issue
VID asserts on unit 103 – Zaidan, can you take a look?
</t>
  </si>
  <si>
    <t xml:space="preserve">All units have valid video and audio output.
TX CC errors on PID 2801 co-timed on most units, uplink issue
AUD2 warnings on several units, known issue
VID warnings on a few units, known issue
TXB_TMG asserts on unit 101, being investigated
</t>
  </si>
  <si>
    <t xml:space="preserve">All units except unit 125 have video and audio. 
AUD2 warnings on most untis, known issue
VID warnings on unit 104 – Zaidan, can you take a look?
</t>
  </si>
  <si>
    <t>R01.11.01DD</t>
  </si>
  <si>
    <t xml:space="preserve">All units have valid video and audio output.
VID warnings on unit 103, can be ignored
FE Asserts on unit 130, can be ignored
TXB_TMG warnings on unit 101
TX CC errors on PID 2802 on most units, uplink issue
MPE warnings on several units, expected
RESET on unit 131 – Gabriel, can you take a look? 
</t>
  </si>
  <si>
    <t>1, 3, 5, 2, 4, 6, 9, 11, 8, 10, 16, 36, 40, 53</t>
  </si>
  <si>
    <t>10, 12, 27, 28, 37, 30, 19, 20, 22, 24, 33, 34, 36</t>
  </si>
  <si>
    <t>4, 10, 12, 37, 30, 19, 15, 22, 32, 35</t>
  </si>
  <si>
    <t>7, 4, 9, 28, 37, 19, 15, 34, 32, 35</t>
  </si>
  <si>
    <t>6, 8, 3, 9, 11, 27, 28, 37, 29, 19, 13, 15, 16, 21, 23, 34, 31, 32, 35, 36</t>
  </si>
  <si>
    <t>6, 8, 1, 3, 9, 11, 27, 28, 37, 29, 17, 19, 13, 15, 16, 21, 23, 34, 31, 32, 35, 36</t>
  </si>
  <si>
    <t>5, 6, 8, 1, 3, 9, 10, 11, 27, 28, 25, 26, 37, 29, 17, 19, 13, 15, 16, 21, 23, 34, 31, 32, 35, 36</t>
  </si>
  <si>
    <t>31.0 Msym : 9/10</t>
  </si>
  <si>
    <t>31.3266 Msym : 9/10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</si>
</sst>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yyyy/mm/dd"/>
  </numFmts>
  <fonts count="6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0"/>
      <color indexed="9"/>
      <name val="Arial"/>
      <family val="2"/>
    </font>
    <font>
      <b/>
      <sz val="10"/>
      <name val="Arial"/>
      <family val="2"/>
    </font>
    <font>
      <sz val="8"/>
      <name val="Arial"/>
      <family val="2"/>
    </font>
    <font>
      <b/>
      <sz val="10"/>
      <color indexed="18"/>
      <name val="Arial"/>
      <family val="2"/>
    </font>
    <font>
      <sz val="10"/>
      <color indexed="18"/>
      <name val="Arial"/>
      <family val="2"/>
    </font>
    <font>
      <sz val="10"/>
      <name val="Arial"/>
      <family val="2"/>
    </font>
    <font>
      <b/>
      <sz val="9"/>
      <color indexed="18"/>
      <name val="Calibri"/>
      <family val="2"/>
    </font>
    <font>
      <sz val="9"/>
      <color indexed="18"/>
      <name val="Calibri"/>
      <family val="2"/>
    </font>
    <font>
      <b/>
      <sz val="14"/>
      <name val="Arial"/>
      <family val="2"/>
    </font>
    <font>
      <b/>
      <u/>
      <sz val="10"/>
      <name val="Arial"/>
      <family val="2"/>
    </font>
    <font>
      <sz val="12"/>
      <name val="Arial"/>
      <family val="2"/>
    </font>
    <font>
      <sz val="8"/>
      <name val="Arial"/>
      <family val="2"/>
    </font>
    <font>
      <sz val="10"/>
      <name val="Arial"/>
      <family val="2"/>
    </font>
    <font>
      <b/>
      <sz val="18"/>
      <name val="Arial"/>
      <family val="2"/>
    </font>
    <font>
      <sz val="10"/>
      <color indexed="23"/>
      <name val="Arial"/>
      <family val="2"/>
    </font>
    <font>
      <sz val="11"/>
      <color rgb="FF9C0006"/>
      <name val="Calibri"/>
      <family val="2"/>
      <scheme val="minor"/>
    </font>
    <font>
      <sz val="11"/>
      <color rgb="FF006100"/>
      <name val="Calibri"/>
      <family val="2"/>
      <scheme val="minor"/>
    </font>
    <font>
      <sz val="11"/>
      <color rgb="FF3F3F76"/>
      <name val="Calibri"/>
      <family val="2"/>
      <scheme val="minor"/>
    </font>
    <font>
      <sz val="11"/>
      <color rgb="FF9C6500"/>
      <name val="Calibri"/>
      <family val="2"/>
      <scheme val="minor"/>
    </font>
    <font>
      <u/>
      <sz val="10"/>
      <color theme="10"/>
      <name val="Arial"/>
      <family val="2"/>
    </font>
    <font>
      <b/>
      <sz val="10"/>
      <color indexed="9"/>
      <name val="Arial"/>
      <family val="2"/>
    </font>
    <font>
      <b/>
      <sz val="9"/>
      <color indexed="9"/>
      <name val="Calibri"/>
      <family val="2"/>
    </font>
    <font>
      <b/>
      <sz val="9"/>
      <color indexed="9"/>
      <name val="Arial"/>
      <family val="2"/>
    </font>
    <font>
      <sz val="9"/>
      <color indexed="8"/>
      <name val="Calibri"/>
      <family val="2"/>
      <scheme val="minor"/>
    </font>
    <font>
      <sz val="9"/>
      <color rgb="FF000000"/>
      <name val="Calibri"/>
      <family val="2"/>
      <scheme val="minor"/>
    </font>
    <font>
      <sz val="9"/>
      <color theme="1"/>
      <name val="Calibri"/>
      <family val="2"/>
      <scheme val="minor"/>
    </font>
    <font>
      <sz val="10"/>
      <color indexed="8"/>
      <name val="Times New Roman"/>
      <family val="1"/>
    </font>
    <font>
      <b/>
      <sz val="9"/>
      <name val="Calibri"/>
      <family val="2"/>
      <scheme val="minor"/>
    </font>
    <font>
      <b/>
      <sz val="10"/>
      <color indexed="8"/>
      <name val="Calibri"/>
      <family val="2"/>
      <scheme val="minor"/>
    </font>
    <font>
      <sz val="8"/>
      <color indexed="8"/>
      <name val="Calibri"/>
      <family val="2"/>
      <scheme val="minor"/>
    </font>
    <font>
      <b/>
      <sz val="11"/>
      <color theme="1"/>
      <name val="Calibri"/>
      <family val="2"/>
      <scheme val="minor"/>
    </font>
    <font>
      <b/>
      <sz val="12"/>
      <color theme="0"/>
      <name val="Arial"/>
      <family val="2"/>
    </font>
    <font>
      <sz val="10"/>
      <color indexed="8"/>
      <name val="Arial"/>
      <family val="2"/>
    </font>
    <font>
      <sz val="10"/>
      <color theme="1"/>
      <name val="Arial"/>
      <family val="2"/>
    </font>
    <font>
      <b/>
      <sz val="11"/>
      <color indexed="8"/>
      <name val="Calibri"/>
      <family val="2"/>
      <scheme val="minor"/>
    </font>
    <font>
      <sz val="9"/>
      <color indexed="8"/>
      <name val="Calibri"/>
      <family val="2"/>
    </font>
    <font>
      <sz val="10"/>
      <name val="Arial"/>
      <family val="2"/>
    </font>
    <font>
      <sz val="9"/>
      <name val="Calibri"/>
      <family val="2"/>
      <scheme val="minor"/>
    </font>
    <font>
      <i/>
      <sz val="10"/>
      <name val="Arial"/>
      <family val="2"/>
    </font>
    <font>
      <sz val="9"/>
      <color rgb="FF000000"/>
      <name val="Calibri"/>
      <family val="2"/>
    </font>
    <font>
      <sz val="10"/>
      <color theme="0"/>
      <name val="Arial"/>
      <family val="2"/>
    </font>
    <font>
      <b/>
      <sz val="10"/>
      <color theme="0"/>
      <name val="Arial"/>
      <family val="2"/>
    </font>
    <font>
      <sz val="11"/>
      <color rgb="FF000000"/>
      <name val="Calibri"/>
      <family val="2"/>
    </font>
    <font>
      <sz val="10"/>
      <color theme="1"/>
      <name val="Calibri"/>
      <family val="2"/>
      <scheme val="minor"/>
    </font>
    <font>
      <sz val="10"/>
      <color indexed="8"/>
      <name val="Calibri"/>
      <family val="2"/>
      <scheme val="minor"/>
    </font>
    <font>
      <sz val="10"/>
      <color rgb="FF000000"/>
      <name val="Calibri"/>
      <family val="2"/>
      <scheme val="minor"/>
    </font>
    <font>
      <sz val="10"/>
      <name val="Calibri"/>
      <family val="2"/>
      <scheme val="minor"/>
    </font>
  </fonts>
  <fills count="33">
    <fill>
      <patternFill patternType="none"/>
    </fill>
    <fill>
      <patternFill patternType="gray125"/>
    </fill>
    <fill>
      <patternFill patternType="solid">
        <fgColor indexed="23"/>
        <bgColor indexed="64"/>
      </patternFill>
    </fill>
    <fill>
      <patternFill patternType="solid">
        <fgColor indexed="55"/>
        <bgColor indexed="64"/>
      </patternFill>
    </fill>
    <fill>
      <patternFill patternType="solid">
        <fgColor rgb="FFFFC7CE"/>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99"/>
        <bgColor indexed="64"/>
      </patternFill>
    </fill>
    <fill>
      <patternFill patternType="solid">
        <fgColor rgb="FFFFCC99"/>
        <bgColor indexed="64"/>
      </patternFill>
    </fill>
    <fill>
      <patternFill patternType="solid">
        <fgColor rgb="FFCCFFCC"/>
        <bgColor indexed="64"/>
      </patternFill>
    </fill>
    <fill>
      <patternFill patternType="solid">
        <fgColor indexed="20"/>
        <bgColor indexed="64"/>
      </patternFill>
    </fill>
    <fill>
      <patternFill patternType="solid">
        <fgColor rgb="FFFFFF99"/>
        <bgColor rgb="FF000000"/>
      </patternFill>
    </fill>
    <fill>
      <patternFill patternType="solid">
        <fgColor rgb="FFFF99CC"/>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4"/>
        <bgColor indexed="64"/>
      </patternFill>
    </fill>
    <fill>
      <patternFill patternType="solid">
        <fgColor rgb="FFFFFF0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rgb="FFFFFFFF"/>
        <bgColor indexed="64"/>
      </patternFill>
    </fill>
    <fill>
      <patternFill patternType="solid">
        <fgColor rgb="FFA6A6A6"/>
        <bgColor indexed="64"/>
      </patternFill>
    </fill>
    <fill>
      <patternFill patternType="solid">
        <fgColor theme="4" tint="0.59999389629810485"/>
        <bgColor indexed="64"/>
      </patternFill>
    </fill>
    <fill>
      <patternFill patternType="solid">
        <fgColor rgb="FF800080"/>
        <bgColor indexed="64"/>
      </patternFill>
    </fill>
    <fill>
      <patternFill patternType="solid">
        <fgColor rgb="FFC6EFCE"/>
        <bgColor indexed="64"/>
      </patternFill>
    </fill>
    <fill>
      <patternFill patternType="solid">
        <fgColor theme="6" tint="0.39997558519241921"/>
        <bgColor indexed="64"/>
      </patternFill>
    </fill>
    <fill>
      <patternFill patternType="solid">
        <fgColor rgb="FF99CCFF"/>
        <bgColor indexed="64"/>
      </patternFill>
    </fill>
    <fill>
      <patternFill patternType="solid">
        <fgColor theme="9" tint="0.79998168889431442"/>
        <bgColor indexed="64"/>
      </patternFill>
    </fill>
    <fill>
      <patternFill patternType="solid">
        <fgColor rgb="FF0064FF"/>
        <bgColor indexed="64"/>
      </patternFill>
    </fill>
    <fill>
      <patternFill patternType="solid">
        <fgColor rgb="FF969696"/>
        <bgColor indexed="64"/>
      </patternFill>
    </fill>
    <fill>
      <patternFill patternType="solid">
        <fgColor theme="0"/>
        <bgColor indexed="64"/>
      </patternFill>
    </fill>
    <fill>
      <patternFill patternType="solid">
        <fgColor theme="5" tint="0.59999389629810485"/>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thin">
        <color indexed="64"/>
      </left>
      <right/>
      <top style="thin">
        <color indexed="64"/>
      </top>
      <bottom/>
      <diagonal/>
    </border>
    <border>
      <left/>
      <right style="thin">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right/>
      <top style="medium">
        <color indexed="64"/>
      </top>
      <bottom style="thin">
        <color indexed="64"/>
      </bottom>
      <diagonal/>
    </border>
    <border>
      <left style="medium">
        <color indexed="64"/>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double">
        <color rgb="FFFF0000"/>
      </left>
      <right style="thin">
        <color indexed="64"/>
      </right>
      <top style="double">
        <color rgb="FFFF0000"/>
      </top>
      <bottom style="thin">
        <color indexed="64"/>
      </bottom>
      <diagonal/>
    </border>
    <border>
      <left style="thin">
        <color indexed="64"/>
      </left>
      <right style="thin">
        <color indexed="64"/>
      </right>
      <top style="double">
        <color rgb="FFFF0000"/>
      </top>
      <bottom style="thin">
        <color indexed="64"/>
      </bottom>
      <diagonal/>
    </border>
    <border>
      <left style="double">
        <color rgb="FFFF0000"/>
      </left>
      <right style="thin">
        <color indexed="64"/>
      </right>
      <top style="thin">
        <color indexed="64"/>
      </top>
      <bottom style="thin">
        <color indexed="64"/>
      </bottom>
      <diagonal/>
    </border>
    <border>
      <left style="thin">
        <color indexed="64"/>
      </left>
      <right style="double">
        <color rgb="FFFF0000"/>
      </right>
      <top style="thin">
        <color indexed="64"/>
      </top>
      <bottom style="thin">
        <color indexed="64"/>
      </bottom>
      <diagonal/>
    </border>
    <border>
      <left style="double">
        <color rgb="FFFF0000"/>
      </left>
      <right style="thin">
        <color indexed="64"/>
      </right>
      <top/>
      <bottom style="double">
        <color rgb="FFFF0000"/>
      </bottom>
      <diagonal/>
    </border>
    <border>
      <left style="thin">
        <color indexed="64"/>
      </left>
      <right style="thin">
        <color indexed="64"/>
      </right>
      <top style="thin">
        <color indexed="64"/>
      </top>
      <bottom style="double">
        <color rgb="FFFF0000"/>
      </bottom>
      <diagonal/>
    </border>
    <border>
      <left style="thin">
        <color indexed="64"/>
      </left>
      <right style="double">
        <color rgb="FFFF0000"/>
      </right>
      <top style="thin">
        <color indexed="64"/>
      </top>
      <bottom style="double">
        <color rgb="FFFF0000"/>
      </bottom>
      <diagonal/>
    </border>
    <border>
      <left/>
      <right/>
      <top style="thin">
        <color indexed="64"/>
      </top>
      <bottom style="thin">
        <color indexed="64"/>
      </bottom>
      <diagonal/>
    </border>
    <border>
      <left style="double">
        <color rgb="FFFF0000"/>
      </left>
      <right style="thin">
        <color indexed="64"/>
      </right>
      <top/>
      <bottom style="thin">
        <color indexed="64"/>
      </bottom>
      <diagonal/>
    </border>
    <border>
      <left style="thin">
        <color indexed="64"/>
      </left>
      <right style="thin">
        <color indexed="64"/>
      </right>
      <top style="thick">
        <color rgb="FF000000"/>
      </top>
      <bottom style="thin">
        <color indexed="64"/>
      </bottom>
      <diagonal/>
    </border>
    <border>
      <left style="thin">
        <color indexed="64"/>
      </left>
      <right style="thin">
        <color indexed="64"/>
      </right>
      <top style="thin">
        <color indexed="64"/>
      </top>
      <bottom style="thick">
        <color rgb="FF000000"/>
      </bottom>
      <diagonal/>
    </border>
    <border>
      <left style="thick">
        <color rgb="FF000000"/>
      </left>
      <right style="thin">
        <color indexed="64"/>
      </right>
      <top style="thick">
        <color rgb="FF000000"/>
      </top>
      <bottom style="thin">
        <color indexed="64"/>
      </bottom>
      <diagonal/>
    </border>
    <border>
      <left style="thick">
        <color rgb="FF000000"/>
      </left>
      <right style="thin">
        <color indexed="64"/>
      </right>
      <top style="thin">
        <color indexed="64"/>
      </top>
      <bottom style="thin">
        <color indexed="64"/>
      </bottom>
      <diagonal/>
    </border>
    <border>
      <left style="thick">
        <color rgb="FF000000"/>
      </left>
      <right style="thin">
        <color indexed="64"/>
      </right>
      <top style="thin">
        <color indexed="64"/>
      </top>
      <bottom style="thick">
        <color rgb="FF000000"/>
      </bottom>
      <diagonal/>
    </border>
    <border>
      <left style="thin">
        <color indexed="64"/>
      </left>
      <right style="thick">
        <color rgb="FF000000"/>
      </right>
      <top style="thick">
        <color rgb="FF000000"/>
      </top>
      <bottom style="thin">
        <color indexed="64"/>
      </bottom>
      <diagonal/>
    </border>
    <border>
      <left style="thin">
        <color indexed="64"/>
      </left>
      <right style="thick">
        <color rgb="FF000000"/>
      </right>
      <top style="thin">
        <color indexed="64"/>
      </top>
      <bottom style="thin">
        <color indexed="64"/>
      </bottom>
      <diagonal/>
    </border>
    <border>
      <left style="thin">
        <color indexed="64"/>
      </left>
      <right style="thick">
        <color rgb="FF000000"/>
      </right>
      <top style="thin">
        <color indexed="64"/>
      </top>
      <bottom style="thick">
        <color rgb="FF000000"/>
      </bottom>
      <diagonal/>
    </border>
    <border>
      <left/>
      <right style="thick">
        <color rgb="FF000000"/>
      </right>
      <top/>
      <bottom style="thick">
        <color rgb="FF000000"/>
      </bottom>
      <diagonal/>
    </border>
    <border>
      <left style="thick">
        <color rgb="FF000000"/>
      </left>
      <right style="thick">
        <color rgb="FF000000"/>
      </right>
      <top style="thick">
        <color rgb="FF000000"/>
      </top>
      <bottom style="thin">
        <color indexed="64"/>
      </bottom>
      <diagonal/>
    </border>
    <border>
      <left style="thick">
        <color rgb="FF000000"/>
      </left>
      <right style="thick">
        <color rgb="FF000000"/>
      </right>
      <top style="thin">
        <color indexed="64"/>
      </top>
      <bottom style="thin">
        <color indexed="64"/>
      </bottom>
      <diagonal/>
    </border>
    <border>
      <left style="thick">
        <color rgb="FF000000"/>
      </left>
      <right style="thick">
        <color rgb="FF000000"/>
      </right>
      <top style="thin">
        <color indexed="64"/>
      </top>
      <bottom style="thick">
        <color rgb="FF000000"/>
      </bottom>
      <diagonal/>
    </border>
    <border>
      <left style="thin">
        <color indexed="64"/>
      </left>
      <right/>
      <top style="double">
        <color rgb="FFFF0000"/>
      </top>
      <bottom style="thin">
        <color indexed="64"/>
      </bottom>
      <diagonal/>
    </border>
    <border>
      <left style="thin">
        <color indexed="64"/>
      </left>
      <right/>
      <top style="thick">
        <color rgb="FF000000"/>
      </top>
      <bottom style="thin">
        <color indexed="64"/>
      </bottom>
      <diagonal/>
    </border>
    <border>
      <left style="thick">
        <color rgb="FF000000"/>
      </left>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ck">
        <color rgb="FF000000"/>
      </bottom>
      <diagonal/>
    </border>
    <border>
      <left/>
      <right style="thin">
        <color indexed="64"/>
      </right>
      <top style="thin">
        <color indexed="64"/>
      </top>
      <bottom style="thick">
        <color rgb="FF000000"/>
      </bottom>
      <diagonal/>
    </border>
    <border>
      <left style="thick">
        <color rgb="FF000000"/>
      </left>
      <right style="thin">
        <color indexed="64"/>
      </right>
      <top style="thin">
        <color indexed="64"/>
      </top>
      <bottom/>
      <diagonal/>
    </border>
    <border>
      <left style="thick">
        <color rgb="FF000000"/>
      </left>
      <right style="thin">
        <color indexed="64"/>
      </right>
      <top/>
      <bottom style="thin">
        <color indexed="64"/>
      </bottom>
      <diagonal/>
    </border>
  </borders>
  <cellStyleXfs count="39">
    <xf numFmtId="0" fontId="0" fillId="0" borderId="0"/>
    <xf numFmtId="0" fontId="30" fillId="4" borderId="0" applyNumberFormat="0" applyBorder="0" applyAlignment="0" applyProtection="0"/>
    <xf numFmtId="0" fontId="31" fillId="5" borderId="0" applyNumberFormat="0" applyBorder="0" applyAlignment="0" applyProtection="0"/>
    <xf numFmtId="0" fontId="32" fillId="6" borderId="59" applyNumberFormat="0" applyAlignment="0" applyProtection="0"/>
    <xf numFmtId="0" fontId="33" fillId="7" borderId="0" applyNumberFormat="0" applyBorder="0" applyAlignment="0" applyProtection="0"/>
    <xf numFmtId="0" fontId="20" fillId="0" borderId="0"/>
    <xf numFmtId="0" fontId="14" fillId="0" borderId="0"/>
    <xf numFmtId="0" fontId="34" fillId="0" borderId="0" applyNumberFormat="0" applyFill="0" applyBorder="0" applyAlignment="0" applyProtection="0"/>
    <xf numFmtId="0" fontId="13" fillId="0" borderId="0"/>
    <xf numFmtId="0" fontId="12" fillId="0" borderId="0"/>
    <xf numFmtId="0" fontId="11" fillId="0" borderId="0"/>
    <xf numFmtId="9" fontId="20" fillId="0" borderId="0" applyFont="0" applyFill="0" applyBorder="0" applyAlignment="0" applyProtection="0"/>
    <xf numFmtId="0" fontId="9" fillId="0" borderId="0"/>
    <xf numFmtId="0" fontId="9" fillId="0" borderId="0"/>
    <xf numFmtId="9" fontId="51" fillId="0" borderId="0" applyFont="0" applyFill="0" applyBorder="0" applyAlignment="0" applyProtection="0"/>
    <xf numFmtId="0" fontId="9" fillId="0" borderId="0"/>
    <xf numFmtId="0" fontId="8"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5" fillId="0" borderId="0"/>
    <xf numFmtId="0" fontId="5" fillId="0" borderId="0"/>
    <xf numFmtId="0" fontId="5"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cellStyleXfs>
  <cellXfs count="692">
    <xf numFmtId="0" fontId="0" fillId="0" borderId="0" xfId="0"/>
    <xf numFmtId="0" fontId="0" fillId="0" borderId="1" xfId="0" applyBorder="1"/>
    <xf numFmtId="0" fontId="16" fillId="0" borderId="0" xfId="0" applyFont="1" applyAlignment="1">
      <alignment wrapText="1"/>
    </xf>
    <xf numFmtId="0" fontId="0" fillId="0" borderId="0" xfId="0" applyAlignment="1">
      <alignment horizontal="center" wrapText="1"/>
    </xf>
    <xf numFmtId="0" fontId="0" fillId="0" borderId="0" xfId="0" applyAlignment="1">
      <alignment wrapText="1"/>
    </xf>
    <xf numFmtId="0" fontId="0" fillId="0" borderId="1" xfId="0" applyBorder="1" applyAlignment="1">
      <alignment horizontal="center" wrapText="1"/>
    </xf>
    <xf numFmtId="0" fontId="0" fillId="0" borderId="5" xfId="0" applyBorder="1" applyAlignment="1">
      <alignment horizontal="center" wrapText="1"/>
    </xf>
    <xf numFmtId="0" fontId="0" fillId="0" borderId="6" xfId="0" applyBorder="1" applyAlignment="1">
      <alignment horizontal="center" wrapText="1"/>
    </xf>
    <xf numFmtId="0" fontId="0" fillId="0" borderId="7" xfId="0" applyBorder="1" applyAlignment="1">
      <alignment horizontal="center" wrapText="1"/>
    </xf>
    <xf numFmtId="0" fontId="0" fillId="0" borderId="0" xfId="0" applyBorder="1" applyAlignment="1">
      <alignment horizontal="center" wrapText="1"/>
    </xf>
    <xf numFmtId="0" fontId="0" fillId="0" borderId="3" xfId="0" applyBorder="1" applyAlignment="1">
      <alignment horizontal="center" wrapText="1"/>
    </xf>
    <xf numFmtId="0" fontId="0" fillId="0" borderId="10" xfId="0" applyBorder="1" applyAlignment="1">
      <alignment horizontal="center" wrapText="1"/>
    </xf>
    <xf numFmtId="0" fontId="0" fillId="0" borderId="1" xfId="0" applyBorder="1" applyAlignment="1">
      <alignment horizontal="center"/>
    </xf>
    <xf numFmtId="0" fontId="0" fillId="0" borderId="1" xfId="0" applyBorder="1" applyAlignment="1">
      <alignment wrapText="1"/>
    </xf>
    <xf numFmtId="0" fontId="0" fillId="0" borderId="2" xfId="0" applyBorder="1" applyAlignment="1">
      <alignment horizontal="center" wrapText="1"/>
    </xf>
    <xf numFmtId="0" fontId="0" fillId="0" borderId="6" xfId="0" applyBorder="1" applyAlignment="1">
      <alignment wrapText="1"/>
    </xf>
    <xf numFmtId="0" fontId="0" fillId="0" borderId="7" xfId="0" applyBorder="1" applyAlignment="1">
      <alignment wrapText="1"/>
    </xf>
    <xf numFmtId="14" fontId="0" fillId="0" borderId="4" xfId="0" applyNumberFormat="1" applyBorder="1" applyAlignment="1">
      <alignment wrapText="1"/>
    </xf>
    <xf numFmtId="0" fontId="0" fillId="0" borderId="4" xfId="0" applyBorder="1" applyAlignment="1">
      <alignment wrapText="1"/>
    </xf>
    <xf numFmtId="0" fontId="0" fillId="0" borderId="5" xfId="0" applyBorder="1" applyAlignment="1">
      <alignment wrapText="1"/>
    </xf>
    <xf numFmtId="0" fontId="0" fillId="0" borderId="11" xfId="0" applyBorder="1" applyAlignment="1">
      <alignment wrapText="1"/>
    </xf>
    <xf numFmtId="0" fontId="0" fillId="0" borderId="0" xfId="0" applyAlignment="1">
      <alignment horizontal="center"/>
    </xf>
    <xf numFmtId="0" fontId="18" fillId="0" borderId="16" xfId="0" applyFont="1" applyBorder="1" applyAlignment="1">
      <alignment horizontal="center" vertical="top" wrapText="1"/>
    </xf>
    <xf numFmtId="0" fontId="18" fillId="0" borderId="18" xfId="0" applyFont="1" applyBorder="1" applyAlignment="1">
      <alignment vertical="top" wrapText="1"/>
    </xf>
    <xf numFmtId="0" fontId="0" fillId="0" borderId="0" xfId="0" applyBorder="1" applyAlignment="1">
      <alignment wrapText="1"/>
    </xf>
    <xf numFmtId="14" fontId="0" fillId="0" borderId="0" xfId="0" applyNumberFormat="1" applyBorder="1" applyAlignment="1">
      <alignment wrapText="1"/>
    </xf>
    <xf numFmtId="0" fontId="18" fillId="0" borderId="18" xfId="0" applyFont="1" applyBorder="1" applyAlignment="1">
      <alignment horizontal="center" vertical="top" wrapText="1"/>
    </xf>
    <xf numFmtId="0" fontId="0" fillId="0" borderId="19" xfId="0" applyBorder="1"/>
    <xf numFmtId="0" fontId="0" fillId="0" borderId="20" xfId="0" applyBorder="1"/>
    <xf numFmtId="0" fontId="0" fillId="0" borderId="21" xfId="0" applyBorder="1"/>
    <xf numFmtId="0" fontId="20" fillId="0" borderId="24" xfId="0" applyFont="1" applyBorder="1"/>
    <xf numFmtId="0" fontId="0" fillId="0" borderId="0" xfId="0" applyBorder="1"/>
    <xf numFmtId="0" fontId="0" fillId="0" borderId="0" xfId="0" applyFill="1" applyBorder="1"/>
    <xf numFmtId="0" fontId="0" fillId="0" borderId="0" xfId="0" applyFill="1"/>
    <xf numFmtId="0" fontId="0" fillId="0" borderId="16" xfId="0" applyBorder="1" applyAlignment="1">
      <alignment horizontal="center" vertical="center"/>
    </xf>
    <xf numFmtId="0" fontId="0" fillId="0" borderId="28" xfId="0" applyFill="1" applyBorder="1" applyAlignment="1">
      <alignment horizontal="center" vertical="center"/>
    </xf>
    <xf numFmtId="0" fontId="0" fillId="0" borderId="29" xfId="0" applyFill="1" applyBorder="1" applyAlignment="1">
      <alignment horizontal="center" vertical="center"/>
    </xf>
    <xf numFmtId="0" fontId="0" fillId="0" borderId="30" xfId="0" applyFill="1" applyBorder="1" applyAlignment="1">
      <alignment horizontal="center" vertical="center"/>
    </xf>
    <xf numFmtId="0" fontId="0" fillId="0" borderId="30" xfId="0" applyBorder="1" applyAlignment="1">
      <alignment horizontal="center" vertical="center"/>
    </xf>
    <xf numFmtId="0" fontId="0" fillId="0" borderId="24" xfId="0" applyFill="1" applyBorder="1" applyAlignment="1">
      <alignment horizontal="center" vertical="center"/>
    </xf>
    <xf numFmtId="0" fontId="20" fillId="0" borderId="1" xfId="0" applyFont="1" applyBorder="1" applyAlignment="1">
      <alignment horizontal="center" wrapText="1"/>
    </xf>
    <xf numFmtId="0" fontId="0" fillId="0" borderId="38" xfId="0" applyBorder="1" applyAlignment="1">
      <alignment horizontal="center" wrapText="1"/>
    </xf>
    <xf numFmtId="0" fontId="20" fillId="0" borderId="39" xfId="0" applyFont="1" applyBorder="1" applyAlignment="1">
      <alignment horizontal="center" wrapText="1"/>
    </xf>
    <xf numFmtId="14" fontId="0" fillId="0" borderId="40" xfId="0" applyNumberFormat="1" applyBorder="1" applyAlignment="1">
      <alignment wrapText="1"/>
    </xf>
    <xf numFmtId="0" fontId="16" fillId="0" borderId="2" xfId="0" applyFont="1" applyBorder="1" applyAlignment="1">
      <alignment horizontal="center" wrapText="1"/>
    </xf>
    <xf numFmtId="0" fontId="16" fillId="0" borderId="6" xfId="0" applyFont="1" applyBorder="1" applyAlignment="1">
      <alignment wrapText="1"/>
    </xf>
    <xf numFmtId="0" fontId="16" fillId="0" borderId="7" xfId="0" applyFont="1" applyBorder="1" applyAlignment="1">
      <alignment wrapText="1"/>
    </xf>
    <xf numFmtId="0" fontId="20" fillId="0" borderId="0" xfId="0" applyFont="1" applyAlignment="1">
      <alignment wrapText="1"/>
    </xf>
    <xf numFmtId="0" fontId="0" fillId="0" borderId="26" xfId="0" applyBorder="1"/>
    <xf numFmtId="0" fontId="0" fillId="0" borderId="27" xfId="0" applyBorder="1"/>
    <xf numFmtId="0" fontId="20" fillId="0" borderId="1" xfId="0" applyFont="1" applyBorder="1" applyAlignment="1">
      <alignment wrapText="1"/>
    </xf>
    <xf numFmtId="0" fontId="0" fillId="0" borderId="7" xfId="0" applyBorder="1" applyAlignment="1">
      <alignment horizontal="right" wrapText="1"/>
    </xf>
    <xf numFmtId="14" fontId="0" fillId="0" borderId="4" xfId="0" applyNumberFormat="1" applyBorder="1" applyAlignment="1">
      <alignment horizontal="right" wrapText="1"/>
    </xf>
    <xf numFmtId="0" fontId="0" fillId="0" borderId="4" xfId="0" applyBorder="1" applyAlignment="1">
      <alignment horizontal="right" wrapText="1"/>
    </xf>
    <xf numFmtId="0" fontId="0" fillId="0" borderId="11" xfId="0" applyBorder="1" applyAlignment="1">
      <alignment horizontal="right" wrapText="1"/>
    </xf>
    <xf numFmtId="0" fontId="0" fillId="0" borderId="0" xfId="0" applyAlignment="1">
      <alignment horizontal="right"/>
    </xf>
    <xf numFmtId="0" fontId="20" fillId="0" borderId="10" xfId="0" applyFont="1" applyFill="1" applyBorder="1" applyAlignment="1">
      <alignment horizontal="center"/>
    </xf>
    <xf numFmtId="0" fontId="20" fillId="0" borderId="5" xfId="0" applyFont="1" applyFill="1" applyBorder="1" applyAlignment="1">
      <alignment horizontal="center"/>
    </xf>
    <xf numFmtId="0" fontId="20" fillId="0" borderId="11" xfId="0" applyFont="1" applyFill="1" applyBorder="1" applyAlignment="1">
      <alignment horizontal="center"/>
    </xf>
    <xf numFmtId="0" fontId="21" fillId="0" borderId="2" xfId="0" applyFont="1" applyBorder="1" applyAlignment="1">
      <alignment horizontal="center" vertical="top" wrapText="1"/>
    </xf>
    <xf numFmtId="0" fontId="21" fillId="0" borderId="6" xfId="0" applyFont="1" applyBorder="1" applyAlignment="1">
      <alignment horizontal="center" vertical="top" wrapText="1"/>
    </xf>
    <xf numFmtId="0" fontId="22" fillId="0" borderId="6" xfId="0" applyFont="1" applyBorder="1" applyAlignment="1">
      <alignment horizontal="center" vertical="top" wrapText="1"/>
    </xf>
    <xf numFmtId="0" fontId="21" fillId="0" borderId="7" xfId="0" applyFont="1" applyBorder="1" applyAlignment="1">
      <alignment horizontal="center" vertical="top" wrapText="1"/>
    </xf>
    <xf numFmtId="0" fontId="16" fillId="0" borderId="0" xfId="0" applyFont="1"/>
    <xf numFmtId="0" fontId="16" fillId="0" borderId="0" xfId="0" applyFont="1" applyFill="1" applyBorder="1"/>
    <xf numFmtId="0" fontId="0" fillId="0" borderId="13" xfId="0" applyBorder="1"/>
    <xf numFmtId="0" fontId="0" fillId="0" borderId="31" xfId="0" applyBorder="1"/>
    <xf numFmtId="0" fontId="20" fillId="0" borderId="1" xfId="0" applyFont="1" applyBorder="1" applyAlignment="1">
      <alignment horizontal="center"/>
    </xf>
    <xf numFmtId="0" fontId="16" fillId="0" borderId="0" xfId="0" applyFont="1" applyAlignment="1">
      <alignment horizontal="left"/>
    </xf>
    <xf numFmtId="0" fontId="0" fillId="0" borderId="0" xfId="0" applyBorder="1" applyAlignment="1">
      <alignment horizontal="right" wrapText="1"/>
    </xf>
    <xf numFmtId="14" fontId="0" fillId="0" borderId="0" xfId="0" applyNumberFormat="1" applyBorder="1" applyAlignment="1">
      <alignment horizontal="right" wrapText="1"/>
    </xf>
    <xf numFmtId="0" fontId="0" fillId="0" borderId="0" xfId="0" applyAlignment="1"/>
    <xf numFmtId="0" fontId="20" fillId="0" borderId="3" xfId="0" applyFont="1" applyBorder="1" applyAlignment="1">
      <alignment horizontal="center" wrapText="1"/>
    </xf>
    <xf numFmtId="0" fontId="20" fillId="0" borderId="1" xfId="0" applyFont="1" applyBorder="1"/>
    <xf numFmtId="0" fontId="20" fillId="0" borderId="0" xfId="0" applyFont="1" applyBorder="1" applyAlignment="1">
      <alignment horizontal="right" wrapText="1"/>
    </xf>
    <xf numFmtId="0" fontId="28" fillId="0" borderId="0" xfId="0" applyFont="1"/>
    <xf numFmtId="0" fontId="34" fillId="0" borderId="0" xfId="7"/>
    <xf numFmtId="0" fontId="34" fillId="0" borderId="0" xfId="7" applyAlignment="1">
      <alignment wrapText="1"/>
    </xf>
    <xf numFmtId="0" fontId="34" fillId="0" borderId="0" xfId="7" applyAlignment="1">
      <alignment horizontal="center"/>
    </xf>
    <xf numFmtId="0" fontId="34" fillId="0" borderId="0" xfId="7" applyAlignment="1">
      <alignment horizontal="center"/>
    </xf>
    <xf numFmtId="0" fontId="12" fillId="0" borderId="0" xfId="9" applyFill="1" applyBorder="1" applyAlignment="1">
      <alignment horizontal="center"/>
    </xf>
    <xf numFmtId="0" fontId="45" fillId="17" borderId="0" xfId="9" applyFont="1" applyFill="1" applyBorder="1"/>
    <xf numFmtId="0" fontId="12" fillId="0" borderId="0" xfId="9" applyFill="1" applyBorder="1"/>
    <xf numFmtId="0" fontId="45" fillId="0" borderId="1" xfId="9" applyFont="1" applyFill="1" applyBorder="1" applyAlignment="1">
      <alignment horizontal="center"/>
    </xf>
    <xf numFmtId="0" fontId="45" fillId="0" borderId="1" xfId="9" applyFont="1" applyFill="1" applyBorder="1"/>
    <xf numFmtId="0" fontId="12" fillId="0" borderId="1" xfId="9" applyFill="1" applyBorder="1" applyAlignment="1">
      <alignment horizontal="center"/>
    </xf>
    <xf numFmtId="0" fontId="12" fillId="0" borderId="1" xfId="9" applyFill="1" applyBorder="1" applyAlignment="1">
      <alignment horizontal="center" wrapText="1"/>
    </xf>
    <xf numFmtId="0" fontId="12" fillId="17" borderId="1" xfId="9" applyFill="1" applyBorder="1" applyAlignment="1">
      <alignment horizontal="center" wrapText="1"/>
    </xf>
    <xf numFmtId="0" fontId="12" fillId="18" borderId="1" xfId="9" applyFill="1" applyBorder="1" applyAlignment="1">
      <alignment horizontal="center" wrapText="1"/>
    </xf>
    <xf numFmtId="0" fontId="20" fillId="0" borderId="0" xfId="5" applyFont="1" applyAlignment="1">
      <alignment horizontal="center" vertical="center"/>
    </xf>
    <xf numFmtId="0" fontId="20" fillId="0" borderId="44" xfId="5" applyFont="1" applyBorder="1"/>
    <xf numFmtId="0" fontId="20" fillId="15" borderId="1" xfId="5" applyFont="1" applyFill="1" applyBorder="1" applyAlignment="1">
      <alignment horizontal="center" vertical="center" wrapText="1"/>
    </xf>
    <xf numFmtId="0" fontId="20" fillId="0" borderId="0" xfId="5" applyFont="1" applyBorder="1" applyAlignment="1">
      <alignment horizontal="center" vertical="center"/>
    </xf>
    <xf numFmtId="0" fontId="34" fillId="0" borderId="0" xfId="7" applyFill="1" applyBorder="1"/>
    <xf numFmtId="0" fontId="46" fillId="16" borderId="0" xfId="5" applyFont="1" applyFill="1" applyBorder="1" applyAlignment="1">
      <alignment horizontal="left" vertical="center"/>
    </xf>
    <xf numFmtId="0" fontId="20" fillId="0" borderId="15" xfId="2" applyFont="1" applyFill="1" applyBorder="1" applyAlignment="1">
      <alignment vertical="center"/>
    </xf>
    <xf numFmtId="0" fontId="20" fillId="15" borderId="13" xfId="5" applyFont="1" applyFill="1" applyBorder="1" applyAlignment="1">
      <alignment horizontal="center"/>
    </xf>
    <xf numFmtId="0" fontId="20" fillId="15" borderId="39" xfId="5" applyFont="1" applyFill="1" applyBorder="1" applyAlignment="1">
      <alignment horizontal="center" vertical="center" wrapText="1"/>
    </xf>
    <xf numFmtId="0" fontId="47" fillId="15" borderId="13" xfId="6" applyFont="1" applyFill="1" applyBorder="1" applyAlignment="1">
      <alignment horizontal="center" vertical="center"/>
    </xf>
    <xf numFmtId="0" fontId="47" fillId="15" borderId="13" xfId="6" applyFont="1" applyFill="1" applyBorder="1" applyAlignment="1">
      <alignment horizontal="center" vertical="center" wrapText="1"/>
    </xf>
    <xf numFmtId="0" fontId="47" fillId="15" borderId="39" xfId="6" applyFont="1" applyFill="1" applyBorder="1" applyAlignment="1">
      <alignment horizontal="center" vertical="center"/>
    </xf>
    <xf numFmtId="0" fontId="47" fillId="15" borderId="39" xfId="6" applyFont="1" applyFill="1" applyBorder="1" applyAlignment="1">
      <alignment horizontal="center" vertical="center" wrapText="1"/>
    </xf>
    <xf numFmtId="0" fontId="20" fillId="15" borderId="39" xfId="5" applyFont="1" applyFill="1" applyBorder="1" applyAlignment="1">
      <alignment horizontal="center" vertical="center"/>
    </xf>
    <xf numFmtId="0" fontId="20" fillId="15" borderId="39" xfId="5" applyFont="1" applyFill="1" applyBorder="1"/>
    <xf numFmtId="0" fontId="20" fillId="13" borderId="1" xfId="5" applyFont="1" applyFill="1" applyBorder="1" applyAlignment="1">
      <alignment horizontal="center" vertical="center"/>
    </xf>
    <xf numFmtId="0" fontId="20" fillId="8" borderId="1" xfId="4" applyFont="1" applyFill="1" applyBorder="1" applyAlignment="1">
      <alignment horizontal="center" vertical="center" wrapText="1"/>
    </xf>
    <xf numFmtId="0" fontId="20" fillId="9" borderId="1" xfId="3" applyFont="1" applyFill="1" applyBorder="1" applyAlignment="1">
      <alignment horizontal="center" vertical="center" wrapText="1"/>
    </xf>
    <xf numFmtId="0" fontId="20" fillId="20" borderId="45" xfId="5" applyFont="1" applyFill="1" applyBorder="1" applyAlignment="1">
      <alignment vertical="center"/>
    </xf>
    <xf numFmtId="0" fontId="20" fillId="11" borderId="13" xfId="5" applyFont="1" applyFill="1" applyBorder="1" applyAlignment="1">
      <alignment horizontal="left" vertical="center"/>
    </xf>
    <xf numFmtId="0" fontId="20" fillId="11" borderId="45" xfId="5" applyFont="1" applyFill="1" applyBorder="1" applyAlignment="1">
      <alignment horizontal="left" vertical="center"/>
    </xf>
    <xf numFmtId="0" fontId="34" fillId="0" borderId="0" xfId="7"/>
    <xf numFmtId="0" fontId="34" fillId="0" borderId="0" xfId="7" applyBorder="1" applyAlignment="1">
      <alignment wrapText="1"/>
    </xf>
    <xf numFmtId="0" fontId="34" fillId="0" borderId="0" xfId="7" applyAlignment="1">
      <alignment wrapText="1"/>
    </xf>
    <xf numFmtId="0" fontId="34" fillId="3" borderId="56" xfId="7" applyFill="1" applyBorder="1" applyAlignment="1">
      <alignment horizontal="center" vertical="center" wrapText="1"/>
    </xf>
    <xf numFmtId="0" fontId="34" fillId="0" borderId="0" xfId="7" applyAlignment="1">
      <alignment horizontal="right"/>
    </xf>
    <xf numFmtId="0" fontId="20" fillId="0" borderId="26" xfId="0" applyFont="1" applyBorder="1" applyAlignment="1">
      <alignment horizontal="center"/>
    </xf>
    <xf numFmtId="0" fontId="20" fillId="0" borderId="27" xfId="0" applyFont="1" applyBorder="1" applyAlignment="1">
      <alignment horizontal="center"/>
    </xf>
    <xf numFmtId="0" fontId="0" fillId="0" borderId="45" xfId="0" applyBorder="1" applyAlignment="1">
      <alignment horizontal="center" wrapText="1"/>
    </xf>
    <xf numFmtId="0" fontId="0" fillId="0" borderId="41" xfId="0" applyBorder="1" applyAlignment="1">
      <alignment horizontal="center" wrapText="1"/>
    </xf>
    <xf numFmtId="0" fontId="21" fillId="0" borderId="47" xfId="0" applyFont="1" applyBorder="1" applyAlignment="1">
      <alignment horizontal="center" vertical="top" wrapText="1"/>
    </xf>
    <xf numFmtId="14" fontId="0" fillId="0" borderId="1" xfId="0" applyNumberFormat="1" applyBorder="1"/>
    <xf numFmtId="0" fontId="20" fillId="0" borderId="24" xfId="0" applyFont="1" applyBorder="1" applyAlignment="1">
      <alignment wrapText="1"/>
    </xf>
    <xf numFmtId="0" fontId="20" fillId="0" borderId="29" xfId="0" applyFont="1" applyBorder="1" applyAlignment="1">
      <alignment horizontal="center" wrapText="1"/>
    </xf>
    <xf numFmtId="0" fontId="29" fillId="0" borderId="1" xfId="0" applyFont="1" applyBorder="1" applyAlignment="1">
      <alignment horizontal="center"/>
    </xf>
    <xf numFmtId="0" fontId="29" fillId="0" borderId="1" xfId="0" applyFont="1" applyBorder="1" applyAlignment="1">
      <alignment horizontal="center" wrapText="1"/>
    </xf>
    <xf numFmtId="0" fontId="20" fillId="0" borderId="43" xfId="0" applyFont="1" applyBorder="1"/>
    <xf numFmtId="0" fontId="15" fillId="2" borderId="1" xfId="0" applyFont="1" applyFill="1" applyBorder="1" applyAlignment="1">
      <alignment horizontal="center"/>
    </xf>
    <xf numFmtId="0" fontId="20" fillId="0" borderId="56" xfId="0" applyFont="1" applyBorder="1" applyAlignment="1"/>
    <xf numFmtId="0" fontId="20" fillId="0" borderId="16" xfId="0" applyFont="1" applyBorder="1"/>
    <xf numFmtId="0" fontId="12" fillId="0" borderId="1" xfId="9" applyFill="1" applyBorder="1" applyAlignment="1">
      <alignment horizontal="left" vertical="top" wrapText="1"/>
    </xf>
    <xf numFmtId="0" fontId="10" fillId="0" borderId="1" xfId="9" applyFont="1" applyFill="1" applyBorder="1" applyAlignment="1">
      <alignment horizontal="left" vertical="top" wrapText="1"/>
    </xf>
    <xf numFmtId="0" fontId="45" fillId="23" borderId="1" xfId="9" applyFont="1" applyFill="1" applyBorder="1" applyAlignment="1">
      <alignment horizontal="center"/>
    </xf>
    <xf numFmtId="0" fontId="12" fillId="23" borderId="1" xfId="9" applyFill="1" applyBorder="1" applyAlignment="1">
      <alignment horizontal="center"/>
    </xf>
    <xf numFmtId="0" fontId="45" fillId="23" borderId="1" xfId="9" applyFont="1" applyFill="1" applyBorder="1" applyAlignment="1">
      <alignment horizontal="center" wrapText="1"/>
    </xf>
    <xf numFmtId="0" fontId="20" fillId="0" borderId="28" xfId="0" applyFont="1" applyBorder="1" applyAlignment="1"/>
    <xf numFmtId="0" fontId="20" fillId="0" borderId="52" xfId="0" applyFont="1" applyBorder="1" applyAlignment="1"/>
    <xf numFmtId="0" fontId="0" fillId="0" borderId="1" xfId="0" applyBorder="1" applyAlignment="1">
      <alignment vertical="top" wrapText="1"/>
    </xf>
    <xf numFmtId="0" fontId="23" fillId="0" borderId="1" xfId="0" applyFont="1" applyBorder="1" applyAlignment="1">
      <alignment horizontal="center"/>
    </xf>
    <xf numFmtId="0" fontId="34" fillId="0" borderId="1" xfId="7" applyBorder="1" applyAlignment="1">
      <alignment horizontal="left" vertical="center"/>
    </xf>
    <xf numFmtId="0" fontId="25" fillId="0" borderId="1" xfId="0" applyFont="1" applyBorder="1" applyAlignment="1">
      <alignment horizontal="left" vertical="center"/>
    </xf>
    <xf numFmtId="0" fontId="20" fillId="0" borderId="0" xfId="0" applyFont="1" applyFill="1" applyBorder="1" applyAlignment="1">
      <alignment horizontal="center"/>
    </xf>
    <xf numFmtId="14" fontId="0" fillId="0" borderId="4" xfId="0" applyNumberFormat="1" applyBorder="1" applyAlignment="1">
      <alignment horizontal="center" wrapText="1"/>
    </xf>
    <xf numFmtId="0" fontId="0" fillId="0" borderId="11" xfId="0" applyBorder="1" applyAlignment="1">
      <alignment horizontal="center" wrapText="1"/>
    </xf>
    <xf numFmtId="0" fontId="0" fillId="21" borderId="0" xfId="0" applyFill="1"/>
    <xf numFmtId="0" fontId="20" fillId="21" borderId="1" xfId="0" applyFont="1" applyFill="1" applyBorder="1" applyAlignment="1">
      <alignment horizontal="center"/>
    </xf>
    <xf numFmtId="0" fontId="0" fillId="21" borderId="0" xfId="0" applyFill="1" applyAlignment="1">
      <alignment horizontal="center"/>
    </xf>
    <xf numFmtId="0" fontId="20" fillId="17" borderId="0" xfId="0" applyFont="1" applyFill="1"/>
    <xf numFmtId="0" fontId="20" fillId="21" borderId="24" xfId="0" applyFont="1" applyFill="1" applyBorder="1"/>
    <xf numFmtId="0" fontId="34" fillId="21" borderId="1" xfId="7" applyFill="1" applyBorder="1" applyAlignment="1">
      <alignment horizontal="left" vertical="center"/>
    </xf>
    <xf numFmtId="0" fontId="20" fillId="25" borderId="1" xfId="2" applyFont="1" applyFill="1" applyBorder="1" applyAlignment="1">
      <alignment horizontal="center" vertical="center" wrapText="1"/>
    </xf>
    <xf numFmtId="0" fontId="20" fillId="22" borderId="13" xfId="5" applyFont="1" applyFill="1" applyBorder="1" applyAlignment="1">
      <alignment vertical="center"/>
    </xf>
    <xf numFmtId="0" fontId="34" fillId="0" borderId="1" xfId="7" applyFill="1" applyBorder="1" applyAlignment="1">
      <alignment horizontal="left" vertical="center"/>
    </xf>
    <xf numFmtId="0" fontId="20" fillId="0" borderId="1" xfId="0" applyFont="1" applyFill="1" applyBorder="1" applyAlignment="1">
      <alignment horizontal="center"/>
    </xf>
    <xf numFmtId="0" fontId="0" fillId="24" borderId="0" xfId="0" applyFill="1"/>
    <xf numFmtId="0" fontId="16" fillId="0" borderId="30" xfId="0" applyFont="1" applyFill="1" applyBorder="1" applyAlignment="1"/>
    <xf numFmtId="0" fontId="16" fillId="0" borderId="0" xfId="0" applyFont="1" applyFill="1" applyBorder="1" applyAlignment="1">
      <alignment horizontal="center"/>
    </xf>
    <xf numFmtId="0" fontId="16" fillId="0" borderId="34" xfId="0" applyFont="1" applyFill="1" applyBorder="1" applyAlignment="1"/>
    <xf numFmtId="0" fontId="16" fillId="0" borderId="36" xfId="0" applyFont="1" applyFill="1" applyBorder="1" applyAlignment="1">
      <alignment horizontal="center"/>
    </xf>
    <xf numFmtId="0" fontId="20" fillId="0" borderId="10" xfId="0" applyFont="1" applyFill="1" applyBorder="1"/>
    <xf numFmtId="0" fontId="20" fillId="0" borderId="5" xfId="0" applyFont="1" applyFill="1" applyBorder="1"/>
    <xf numFmtId="0" fontId="20" fillId="0" borderId="11" xfId="0" applyFont="1" applyFill="1" applyBorder="1"/>
    <xf numFmtId="0" fontId="20" fillId="0" borderId="41" xfId="0" applyFont="1" applyFill="1" applyBorder="1" applyAlignment="1">
      <alignment horizontal="center"/>
    </xf>
    <xf numFmtId="0" fontId="20" fillId="0" borderId="14" xfId="0" applyFont="1" applyFill="1" applyBorder="1" applyAlignment="1">
      <alignment horizontal="center"/>
    </xf>
    <xf numFmtId="0" fontId="0" fillId="21" borderId="0" xfId="0" applyFill="1" applyAlignment="1">
      <alignment wrapText="1"/>
    </xf>
    <xf numFmtId="0" fontId="0" fillId="21" borderId="3" xfId="0" applyFill="1" applyBorder="1" applyAlignment="1">
      <alignment horizontal="center"/>
    </xf>
    <xf numFmtId="0" fontId="0" fillId="21" borderId="0" xfId="0" applyFill="1" applyBorder="1"/>
    <xf numFmtId="0" fontId="0" fillId="24" borderId="3" xfId="0" applyFill="1" applyBorder="1" applyAlignment="1">
      <alignment horizontal="center"/>
    </xf>
    <xf numFmtId="0" fontId="0" fillId="24" borderId="45" xfId="0" applyFill="1" applyBorder="1" applyAlignment="1">
      <alignment horizontal="left"/>
    </xf>
    <xf numFmtId="0" fontId="0" fillId="24" borderId="1" xfId="0" applyFill="1" applyBorder="1"/>
    <xf numFmtId="0" fontId="0" fillId="24" borderId="4" xfId="0" applyFill="1" applyBorder="1"/>
    <xf numFmtId="0" fontId="0" fillId="24" borderId="0" xfId="0" applyFill="1" applyBorder="1"/>
    <xf numFmtId="0" fontId="0" fillId="21" borderId="21" xfId="0" applyFill="1" applyBorder="1" applyAlignment="1">
      <alignment horizontal="center" vertical="center"/>
    </xf>
    <xf numFmtId="0" fontId="0" fillId="24" borderId="21" xfId="0" applyFill="1" applyBorder="1" applyAlignment="1">
      <alignment horizontal="center" vertical="center"/>
    </xf>
    <xf numFmtId="0" fontId="0" fillId="24" borderId="30" xfId="0" applyFill="1" applyBorder="1" applyAlignment="1">
      <alignment vertical="center"/>
    </xf>
    <xf numFmtId="0" fontId="0" fillId="24" borderId="37" xfId="0" applyFill="1" applyBorder="1" applyAlignment="1">
      <alignment horizontal="center" vertical="center"/>
    </xf>
    <xf numFmtId="0" fontId="0" fillId="24" borderId="22" xfId="0" applyFill="1" applyBorder="1" applyAlignment="1">
      <alignment horizontal="center" vertical="center"/>
    </xf>
    <xf numFmtId="0" fontId="0" fillId="24" borderId="21" xfId="0" applyFill="1" applyBorder="1"/>
    <xf numFmtId="0" fontId="0" fillId="21" borderId="24" xfId="0" applyFill="1" applyBorder="1" applyAlignment="1">
      <alignment horizontal="center" vertical="center"/>
    </xf>
    <xf numFmtId="0" fontId="0" fillId="21" borderId="29" xfId="0" applyFill="1" applyBorder="1" applyAlignment="1">
      <alignment horizontal="center" vertical="center"/>
    </xf>
    <xf numFmtId="0" fontId="0" fillId="24" borderId="25" xfId="0" applyFill="1" applyBorder="1" applyAlignment="1">
      <alignment horizontal="center" vertical="center"/>
    </xf>
    <xf numFmtId="0" fontId="0" fillId="24" borderId="24" xfId="0" applyFill="1" applyBorder="1" applyAlignment="1">
      <alignment horizontal="center" vertical="center"/>
    </xf>
    <xf numFmtId="0" fontId="0" fillId="24" borderId="29" xfId="0" applyFill="1" applyBorder="1" applyAlignment="1">
      <alignment horizontal="center" vertical="center"/>
    </xf>
    <xf numFmtId="0" fontId="0" fillId="24" borderId="29" xfId="0" applyFill="1" applyBorder="1" applyAlignment="1">
      <alignment horizontal="left" vertical="top"/>
    </xf>
    <xf numFmtId="0" fontId="0" fillId="24" borderId="20" xfId="0" applyFill="1" applyBorder="1" applyAlignment="1">
      <alignment horizontal="center" vertical="center"/>
    </xf>
    <xf numFmtId="0" fontId="0" fillId="24" borderId="20" xfId="0" applyFill="1" applyBorder="1" applyAlignment="1">
      <alignment horizontal="left" vertical="top"/>
    </xf>
    <xf numFmtId="0" fontId="0" fillId="24" borderId="18" xfId="0" applyFill="1" applyBorder="1" applyAlignment="1">
      <alignment horizontal="center" vertical="center"/>
    </xf>
    <xf numFmtId="0" fontId="0" fillId="24" borderId="22" xfId="0" applyFill="1" applyBorder="1"/>
    <xf numFmtId="0" fontId="0" fillId="21" borderId="20" xfId="0" applyFill="1" applyBorder="1"/>
    <xf numFmtId="0" fontId="22" fillId="21" borderId="6" xfId="0" applyFont="1" applyFill="1" applyBorder="1" applyAlignment="1">
      <alignment horizontal="center" vertical="top" wrapText="1"/>
    </xf>
    <xf numFmtId="0" fontId="0" fillId="22" borderId="21" xfId="0" applyFill="1" applyBorder="1"/>
    <xf numFmtId="0" fontId="16" fillId="17" borderId="0" xfId="0" applyFont="1" applyFill="1" applyAlignment="1">
      <alignment horizontal="center" vertical="center"/>
    </xf>
    <xf numFmtId="0" fontId="16" fillId="0" borderId="35" xfId="0" applyFont="1" applyFill="1" applyBorder="1" applyAlignment="1">
      <alignment horizontal="center"/>
    </xf>
    <xf numFmtId="0" fontId="34" fillId="0" borderId="0" xfId="7" applyFill="1" applyBorder="1" applyAlignment="1">
      <alignment horizontal="center"/>
    </xf>
    <xf numFmtId="0" fontId="36" fillId="3" borderId="39" xfId="0" applyFont="1" applyFill="1" applyBorder="1" applyAlignment="1">
      <alignment horizontal="center" vertical="center" wrapText="1"/>
    </xf>
    <xf numFmtId="49" fontId="36" fillId="3" borderId="39" xfId="0" applyNumberFormat="1" applyFont="1" applyFill="1" applyBorder="1" applyAlignment="1">
      <alignment horizontal="center" vertical="center" wrapText="1"/>
    </xf>
    <xf numFmtId="0" fontId="44" fillId="14" borderId="1" xfId="11" applyNumberFormat="1" applyFont="1" applyFill="1" applyBorder="1" applyAlignment="1">
      <alignment horizontal="center" vertical="center" wrapText="1"/>
    </xf>
    <xf numFmtId="9" fontId="38" fillId="14" borderId="66" xfId="11" applyNumberFormat="1" applyFont="1" applyFill="1" applyBorder="1" applyAlignment="1">
      <alignment horizontal="center" vertical="center" wrapText="1"/>
    </xf>
    <xf numFmtId="0" fontId="20" fillId="20" borderId="1" xfId="5" applyFont="1" applyFill="1" applyBorder="1" applyAlignment="1">
      <alignment horizontal="center" vertical="center"/>
    </xf>
    <xf numFmtId="0" fontId="37" fillId="3" borderId="60" xfId="28" applyFont="1" applyFill="1" applyBorder="1" applyAlignment="1">
      <alignment horizontal="center" vertical="center" wrapText="1"/>
    </xf>
    <xf numFmtId="0" fontId="35" fillId="3" borderId="60" xfId="28" applyFont="1" applyFill="1" applyBorder="1" applyAlignment="1">
      <alignment horizontal="center" vertical="center" wrapText="1"/>
    </xf>
    <xf numFmtId="0" fontId="38" fillId="10" borderId="1" xfId="28" applyFont="1" applyFill="1" applyBorder="1" applyAlignment="1">
      <alignment horizontal="center" vertical="center" wrapText="1"/>
    </xf>
    <xf numFmtId="0" fontId="4" fillId="0" borderId="0" xfId="28"/>
    <xf numFmtId="0" fontId="35" fillId="3" borderId="56" xfId="28" applyFont="1" applyFill="1" applyBorder="1" applyAlignment="1">
      <alignment horizontal="center" vertical="center" wrapText="1"/>
    </xf>
    <xf numFmtId="0" fontId="39" fillId="12" borderId="1" xfId="28" applyNumberFormat="1" applyFont="1" applyFill="1" applyBorder="1" applyAlignment="1">
      <alignment horizontal="center" vertical="center" wrapText="1"/>
    </xf>
    <xf numFmtId="0" fontId="49" fillId="14" borderId="65" xfId="28" applyNumberFormat="1" applyFont="1" applyFill="1" applyBorder="1" applyAlignment="1">
      <alignment horizontal="center" vertical="center" wrapText="1"/>
    </xf>
    <xf numFmtId="0" fontId="38" fillId="13" borderId="1" xfId="28" applyFont="1" applyFill="1" applyBorder="1" applyAlignment="1">
      <alignment horizontal="center" vertical="center" wrapText="1"/>
    </xf>
    <xf numFmtId="0" fontId="4" fillId="0" borderId="0" xfId="28" applyFill="1"/>
    <xf numFmtId="49" fontId="4" fillId="0" borderId="0" xfId="28" applyNumberFormat="1"/>
    <xf numFmtId="0" fontId="40" fillId="0" borderId="0" xfId="28" applyFont="1" applyAlignment="1">
      <alignment horizontal="center" vertical="center"/>
    </xf>
    <xf numFmtId="0" fontId="41" fillId="0" borderId="0" xfId="28" applyFont="1"/>
    <xf numFmtId="0" fontId="20" fillId="22" borderId="1" xfId="5" applyFont="1" applyFill="1" applyBorder="1" applyAlignment="1">
      <alignment horizontal="center" vertical="center"/>
    </xf>
    <xf numFmtId="0" fontId="20" fillId="0" borderId="0" xfId="0" applyFont="1" applyBorder="1"/>
    <xf numFmtId="0" fontId="16" fillId="26" borderId="1" xfId="0" applyFont="1" applyFill="1" applyBorder="1"/>
    <xf numFmtId="0" fontId="0" fillId="28" borderId="1" xfId="0" applyFill="1" applyBorder="1" applyAlignment="1">
      <alignment vertical="center"/>
    </xf>
    <xf numFmtId="0" fontId="0" fillId="0" borderId="1" xfId="0" applyBorder="1" applyAlignment="1">
      <alignment vertical="center"/>
    </xf>
    <xf numFmtId="0" fontId="20" fillId="21" borderId="1" xfId="0" applyFont="1" applyFill="1" applyBorder="1" applyAlignment="1">
      <alignment vertical="center"/>
    </xf>
    <xf numFmtId="0" fontId="20" fillId="0" borderId="1" xfId="0" applyFont="1" applyBorder="1" applyAlignment="1">
      <alignment vertical="center"/>
    </xf>
    <xf numFmtId="0" fontId="20" fillId="29" borderId="1" xfId="0" applyFont="1" applyFill="1" applyBorder="1" applyAlignment="1">
      <alignment vertical="center"/>
    </xf>
    <xf numFmtId="164" fontId="42" fillId="25" borderId="63" xfId="28" applyNumberFormat="1" applyFont="1" applyFill="1" applyBorder="1" applyAlignment="1">
      <alignment horizontal="center" vertical="center" wrapText="1"/>
    </xf>
    <xf numFmtId="9" fontId="42" fillId="25" borderId="64" xfId="11" applyNumberFormat="1" applyFont="1" applyFill="1" applyBorder="1" applyAlignment="1">
      <alignment horizontal="center" vertical="center" wrapText="1"/>
    </xf>
    <xf numFmtId="164" fontId="43" fillId="13" borderId="67" xfId="28" applyNumberFormat="1" applyFont="1" applyFill="1" applyBorder="1" applyAlignment="1">
      <alignment horizontal="center" vertical="center" wrapText="1"/>
    </xf>
    <xf numFmtId="1" fontId="43" fillId="13" borderId="68" xfId="11" applyNumberFormat="1" applyFont="1" applyFill="1" applyBorder="1" applyAlignment="1">
      <alignment horizontal="center" vertical="center" wrapText="1"/>
    </xf>
    <xf numFmtId="1" fontId="43" fillId="13" borderId="69" xfId="11" applyNumberFormat="1" applyFont="1" applyFill="1" applyBorder="1" applyAlignment="1">
      <alignment horizontal="center" vertical="center" wrapText="1"/>
    </xf>
    <xf numFmtId="164" fontId="52" fillId="19" borderId="71" xfId="28" applyNumberFormat="1" applyFont="1" applyFill="1" applyBorder="1" applyAlignment="1">
      <alignment horizontal="center" vertical="center" wrapText="1"/>
    </xf>
    <xf numFmtId="9" fontId="52" fillId="19" borderId="8" xfId="11" applyNumberFormat="1" applyFont="1" applyFill="1" applyBorder="1" applyAlignment="1">
      <alignment horizontal="center" vertical="center" wrapText="1"/>
    </xf>
    <xf numFmtId="0" fontId="20" fillId="20" borderId="72" xfId="5" applyFont="1" applyFill="1" applyBorder="1" applyAlignment="1">
      <alignment horizontal="center" vertical="center"/>
    </xf>
    <xf numFmtId="0" fontId="47" fillId="20" borderId="72" xfId="6" applyFont="1" applyFill="1" applyBorder="1" applyAlignment="1">
      <alignment horizontal="center" vertical="center"/>
    </xf>
    <xf numFmtId="0" fontId="20" fillId="20" borderId="73" xfId="5" applyFont="1" applyFill="1" applyBorder="1" applyAlignment="1">
      <alignment horizontal="center" vertical="center"/>
    </xf>
    <xf numFmtId="0" fontId="20" fillId="20" borderId="77" xfId="5" applyFont="1" applyFill="1" applyBorder="1" applyAlignment="1">
      <alignment horizontal="center" vertical="center"/>
    </xf>
    <xf numFmtId="0" fontId="20" fillId="20" borderId="78" xfId="5" applyFont="1" applyFill="1" applyBorder="1" applyAlignment="1">
      <alignment horizontal="center" vertical="center"/>
    </xf>
    <xf numFmtId="0" fontId="20" fillId="22" borderId="79" xfId="5" applyFont="1" applyFill="1" applyBorder="1" applyAlignment="1">
      <alignment horizontal="center" vertical="center"/>
    </xf>
    <xf numFmtId="0" fontId="20" fillId="20" borderId="75" xfId="5" applyFont="1" applyFill="1" applyBorder="1" applyAlignment="1">
      <alignment horizontal="center" vertical="center"/>
    </xf>
    <xf numFmtId="0" fontId="20" fillId="20" borderId="76" xfId="5" applyFont="1" applyFill="1" applyBorder="1" applyAlignment="1">
      <alignment horizontal="center" vertical="center"/>
    </xf>
    <xf numFmtId="0" fontId="20" fillId="24" borderId="78" xfId="5" applyFont="1" applyFill="1" applyBorder="1" applyAlignment="1">
      <alignment horizontal="center" vertical="center"/>
    </xf>
    <xf numFmtId="0" fontId="47" fillId="20" borderId="77" xfId="6" applyFont="1" applyFill="1" applyBorder="1" applyAlignment="1">
      <alignment horizontal="center" vertical="center"/>
    </xf>
    <xf numFmtId="0" fontId="0" fillId="0" borderId="33" xfId="0" applyFill="1" applyBorder="1" applyAlignment="1">
      <alignment vertical="center"/>
    </xf>
    <xf numFmtId="0" fontId="53" fillId="0" borderId="0" xfId="0" applyFont="1"/>
    <xf numFmtId="0" fontId="0" fillId="21" borderId="0" xfId="0" applyFill="1" applyAlignment="1">
      <alignment horizontal="left"/>
    </xf>
    <xf numFmtId="0" fontId="53" fillId="22" borderId="21" xfId="0" applyFont="1" applyFill="1" applyBorder="1" applyAlignment="1">
      <alignment horizontal="center" vertical="center"/>
    </xf>
    <xf numFmtId="0" fontId="53" fillId="22" borderId="30" xfId="0" applyFont="1" applyFill="1" applyBorder="1" applyAlignment="1">
      <alignment vertical="center"/>
    </xf>
    <xf numFmtId="0" fontId="53" fillId="22" borderId="24" xfId="0" applyFont="1" applyFill="1" applyBorder="1" applyAlignment="1">
      <alignment horizontal="center" vertical="center"/>
    </xf>
    <xf numFmtId="0" fontId="53" fillId="22" borderId="30" xfId="0" applyFont="1" applyFill="1" applyBorder="1" applyAlignment="1">
      <alignment horizontal="center" vertical="center"/>
    </xf>
    <xf numFmtId="0" fontId="53" fillId="22" borderId="29" xfId="0" applyFont="1" applyFill="1" applyBorder="1" applyAlignment="1">
      <alignment horizontal="center" vertical="center"/>
    </xf>
    <xf numFmtId="0" fontId="53" fillId="22" borderId="33" xfId="0" applyFont="1" applyFill="1" applyBorder="1" applyAlignment="1">
      <alignment horizontal="center" vertical="center"/>
    </xf>
    <xf numFmtId="0" fontId="53" fillId="22" borderId="37" xfId="0" applyFont="1" applyFill="1" applyBorder="1" applyAlignment="1">
      <alignment horizontal="left" vertical="top"/>
    </xf>
    <xf numFmtId="0" fontId="53" fillId="22" borderId="21" xfId="0" applyFont="1" applyFill="1" applyBorder="1"/>
    <xf numFmtId="0" fontId="53" fillId="22" borderId="0" xfId="0" applyFont="1" applyFill="1" applyBorder="1"/>
    <xf numFmtId="0" fontId="53" fillId="22" borderId="25" xfId="0" applyFont="1" applyFill="1" applyBorder="1" applyAlignment="1">
      <alignment horizontal="center" vertical="center"/>
    </xf>
    <xf numFmtId="0" fontId="53" fillId="22" borderId="29" xfId="0" applyFont="1" applyFill="1" applyBorder="1" applyAlignment="1">
      <alignment horizontal="left" vertical="top"/>
    </xf>
    <xf numFmtId="0" fontId="20" fillId="22" borderId="72" xfId="5" applyFont="1" applyFill="1" applyBorder="1" applyAlignment="1">
      <alignment horizontal="center" vertical="center"/>
    </xf>
    <xf numFmtId="0" fontId="0" fillId="21" borderId="0" xfId="0" applyFill="1" applyBorder="1" applyAlignment="1"/>
    <xf numFmtId="0" fontId="0" fillId="21" borderId="0" xfId="0" applyFill="1" applyAlignment="1"/>
    <xf numFmtId="0" fontId="0" fillId="21" borderId="0" xfId="0" applyFill="1" applyAlignment="1">
      <alignment horizontal="center" wrapText="1"/>
    </xf>
    <xf numFmtId="0" fontId="34" fillId="21" borderId="0" xfId="7" applyFill="1" applyAlignment="1">
      <alignment wrapText="1"/>
    </xf>
    <xf numFmtId="0" fontId="0" fillId="22" borderId="53" xfId="0" applyFill="1" applyBorder="1"/>
    <xf numFmtId="0" fontId="0" fillId="22" borderId="1" xfId="0" applyFill="1" applyBorder="1"/>
    <xf numFmtId="0" fontId="0" fillId="22" borderId="1" xfId="0" applyFill="1" applyBorder="1" applyAlignment="1">
      <alignment horizontal="right"/>
    </xf>
    <xf numFmtId="0" fontId="20" fillId="22" borderId="1" xfId="0" applyFont="1" applyFill="1" applyBorder="1"/>
    <xf numFmtId="0" fontId="0" fillId="22" borderId="0" xfId="0" applyFill="1"/>
    <xf numFmtId="0" fontId="30" fillId="22" borderId="3" xfId="1" applyFill="1" applyBorder="1"/>
    <xf numFmtId="0" fontId="31" fillId="22" borderId="1" xfId="2" applyFill="1" applyBorder="1"/>
    <xf numFmtId="0" fontId="30" fillId="22" borderId="1" xfId="1" applyFill="1" applyBorder="1"/>
    <xf numFmtId="0" fontId="31" fillId="22" borderId="4" xfId="2" applyFill="1" applyBorder="1"/>
    <xf numFmtId="0" fontId="20" fillId="22" borderId="0" xfId="0" applyFont="1" applyFill="1"/>
    <xf numFmtId="0" fontId="34" fillId="21" borderId="13" xfId="7" applyFill="1" applyBorder="1" applyAlignment="1">
      <alignment horizontal="center"/>
    </xf>
    <xf numFmtId="0" fontId="35" fillId="3" borderId="61" xfId="28" applyFont="1" applyFill="1" applyBorder="1" applyAlignment="1">
      <alignment horizontal="center" vertical="center" wrapText="1"/>
    </xf>
    <xf numFmtId="9" fontId="42" fillId="25" borderId="84" xfId="11" applyNumberFormat="1" applyFont="1" applyFill="1" applyBorder="1" applyAlignment="1">
      <alignment horizontal="center" vertical="center" wrapText="1"/>
    </xf>
    <xf numFmtId="9" fontId="42" fillId="19" borderId="15" xfId="11" applyNumberFormat="1" applyFont="1" applyFill="1" applyBorder="1" applyAlignment="1">
      <alignment horizontal="center" vertical="center" wrapText="1"/>
    </xf>
    <xf numFmtId="0" fontId="2" fillId="27" borderId="1" xfId="30" applyFont="1" applyFill="1" applyBorder="1" applyAlignment="1">
      <alignment horizontal="center" vertical="center"/>
    </xf>
    <xf numFmtId="0" fontId="20" fillId="15" borderId="1" xfId="5" applyFont="1" applyFill="1" applyBorder="1" applyAlignment="1">
      <alignment horizontal="center" vertical="center"/>
    </xf>
    <xf numFmtId="0" fontId="20" fillId="15" borderId="13" xfId="5" applyFont="1" applyFill="1" applyBorder="1" applyAlignment="1">
      <alignment horizontal="center" vertical="center" wrapText="1"/>
    </xf>
    <xf numFmtId="0" fontId="20" fillId="15" borderId="45" xfId="5" applyFont="1" applyFill="1" applyBorder="1" applyAlignment="1">
      <alignment horizontal="center" vertical="center"/>
    </xf>
    <xf numFmtId="0" fontId="20" fillId="15" borderId="13" xfId="5" applyFont="1" applyFill="1" applyBorder="1" applyAlignment="1">
      <alignment horizontal="center" vertical="center"/>
    </xf>
    <xf numFmtId="0" fontId="20" fillId="15" borderId="45" xfId="5" applyFont="1" applyFill="1" applyBorder="1" applyAlignment="1">
      <alignment horizontal="center" vertical="center"/>
    </xf>
    <xf numFmtId="0" fontId="23" fillId="0" borderId="1" xfId="0" applyFont="1" applyBorder="1" applyAlignment="1">
      <alignment horizontal="left"/>
    </xf>
    <xf numFmtId="0" fontId="20" fillId="0" borderId="0" xfId="0" applyFont="1" applyAlignment="1">
      <alignment horizontal="center" vertical="center"/>
    </xf>
    <xf numFmtId="0" fontId="20" fillId="0" borderId="1" xfId="2" applyFont="1" applyFill="1" applyBorder="1" applyAlignment="1">
      <alignment horizontal="center" vertical="center"/>
    </xf>
    <xf numFmtId="0" fontId="56" fillId="16" borderId="1" xfId="5" applyFont="1" applyFill="1" applyBorder="1" applyAlignment="1">
      <alignment horizontal="center" vertical="center"/>
    </xf>
    <xf numFmtId="0" fontId="56" fillId="16" borderId="0" xfId="5" applyFont="1" applyFill="1" applyBorder="1" applyAlignment="1">
      <alignment horizontal="center" vertical="center"/>
    </xf>
    <xf numFmtId="0" fontId="20" fillId="15" borderId="1" xfId="5" applyFont="1" applyFill="1" applyBorder="1" applyAlignment="1">
      <alignment horizontal="left" vertical="center"/>
    </xf>
    <xf numFmtId="0" fontId="48" fillId="15" borderId="45" xfId="28" applyFont="1" applyFill="1" applyBorder="1" applyAlignment="1">
      <alignment horizontal="center" vertical="center"/>
    </xf>
    <xf numFmtId="0" fontId="48" fillId="20" borderId="1" xfId="28" applyFont="1" applyFill="1" applyBorder="1" applyAlignment="1">
      <alignment horizontal="center" vertical="center"/>
    </xf>
    <xf numFmtId="0" fontId="48" fillId="20" borderId="78" xfId="28" applyFont="1" applyFill="1" applyBorder="1" applyAlignment="1">
      <alignment horizontal="center" vertical="center"/>
    </xf>
    <xf numFmtId="0" fontId="48" fillId="20" borderId="73" xfId="28" applyFont="1" applyFill="1" applyBorder="1" applyAlignment="1">
      <alignment horizontal="center" vertical="center"/>
    </xf>
    <xf numFmtId="0" fontId="48" fillId="22" borderId="79" xfId="28" applyFont="1" applyFill="1" applyBorder="1" applyAlignment="1">
      <alignment horizontal="center" vertical="center"/>
    </xf>
    <xf numFmtId="0" fontId="16" fillId="15" borderId="39" xfId="5" applyFont="1" applyFill="1" applyBorder="1" applyAlignment="1">
      <alignment horizontal="center" vertical="center"/>
    </xf>
    <xf numFmtId="0" fontId="20" fillId="24" borderId="88" xfId="5" applyFont="1" applyFill="1" applyBorder="1" applyAlignment="1">
      <alignment horizontal="center" vertical="center"/>
    </xf>
    <xf numFmtId="0" fontId="34" fillId="0" borderId="0" xfId="7" applyAlignment="1">
      <alignment horizontal="center" vertical="center"/>
    </xf>
    <xf numFmtId="0" fontId="20" fillId="0" borderId="0" xfId="0" applyFont="1" applyBorder="1" applyAlignment="1">
      <alignment horizontal="center" vertical="center"/>
    </xf>
    <xf numFmtId="0" fontId="55" fillId="24" borderId="1" xfId="5" applyFont="1" applyFill="1" applyBorder="1" applyAlignment="1">
      <alignment horizontal="center" vertical="center"/>
    </xf>
    <xf numFmtId="0" fontId="20" fillId="22" borderId="88" xfId="5" applyFont="1" applyFill="1" applyBorder="1" applyAlignment="1">
      <alignment horizontal="center" vertical="center"/>
    </xf>
    <xf numFmtId="0" fontId="34" fillId="0" borderId="0" xfId="7" applyBorder="1" applyAlignment="1">
      <alignment horizontal="center" vertical="center"/>
    </xf>
    <xf numFmtId="0" fontId="20" fillId="15" borderId="49" xfId="5" applyFont="1" applyFill="1" applyBorder="1" applyAlignment="1">
      <alignment horizontal="left" vertical="center"/>
    </xf>
    <xf numFmtId="0" fontId="20" fillId="15" borderId="90" xfId="5" applyFont="1" applyFill="1" applyBorder="1" applyAlignment="1">
      <alignment horizontal="center" vertical="center"/>
    </xf>
    <xf numFmtId="0" fontId="20" fillId="15" borderId="91" xfId="5" applyFont="1" applyFill="1" applyBorder="1" applyAlignment="1">
      <alignment horizontal="center" vertical="center"/>
    </xf>
    <xf numFmtId="0" fontId="20" fillId="15" borderId="13" xfId="5" applyFont="1" applyFill="1" applyBorder="1" applyAlignment="1">
      <alignment horizontal="left" vertical="center"/>
    </xf>
    <xf numFmtId="0" fontId="20" fillId="15" borderId="13" xfId="0" applyFont="1" applyFill="1" applyBorder="1" applyAlignment="1">
      <alignment horizontal="left" vertical="center"/>
    </xf>
    <xf numFmtId="0" fontId="20" fillId="15" borderId="45" xfId="0" applyFont="1" applyFill="1" applyBorder="1"/>
    <xf numFmtId="165" fontId="20" fillId="15" borderId="15" xfId="5" applyNumberFormat="1" applyFont="1" applyFill="1" applyBorder="1" applyAlignment="1">
      <alignment horizontal="left" vertical="center"/>
    </xf>
    <xf numFmtId="0" fontId="20" fillId="15" borderId="53" xfId="5" applyFont="1" applyFill="1" applyBorder="1" applyAlignment="1">
      <alignment horizontal="center" vertical="center"/>
    </xf>
    <xf numFmtId="0" fontId="20" fillId="15" borderId="15" xfId="5" applyFont="1" applyFill="1" applyBorder="1" applyAlignment="1">
      <alignment horizontal="left" vertical="center"/>
    </xf>
    <xf numFmtId="0" fontId="20" fillId="15" borderId="44" xfId="5" applyFont="1" applyFill="1" applyBorder="1" applyAlignment="1">
      <alignment horizontal="center" vertical="center"/>
    </xf>
    <xf numFmtId="0" fontId="20" fillId="15" borderId="44" xfId="0" applyFont="1" applyFill="1" applyBorder="1"/>
    <xf numFmtId="165" fontId="20" fillId="15" borderId="70" xfId="5" applyNumberFormat="1" applyFont="1" applyFill="1" applyBorder="1" applyAlignment="1">
      <alignment horizontal="left" vertical="center"/>
    </xf>
    <xf numFmtId="165" fontId="20" fillId="15" borderId="53" xfId="5" applyNumberFormat="1" applyFont="1" applyFill="1" applyBorder="1" applyAlignment="1">
      <alignment horizontal="left" vertical="center"/>
    </xf>
    <xf numFmtId="0" fontId="20" fillId="22" borderId="76" xfId="5" applyFont="1" applyFill="1" applyBorder="1" applyAlignment="1">
      <alignment horizontal="left" vertical="center"/>
    </xf>
    <xf numFmtId="0" fontId="20" fillId="22" borderId="73" xfId="5" applyFont="1" applyFill="1" applyBorder="1" applyAlignment="1">
      <alignment horizontal="left" vertical="center"/>
    </xf>
    <xf numFmtId="0" fontId="1" fillId="9" borderId="0" xfId="28" applyFont="1" applyFill="1" applyAlignment="1">
      <alignment horizontal="center"/>
    </xf>
    <xf numFmtId="0" fontId="20" fillId="0" borderId="1" xfId="5" applyFont="1" applyFill="1" applyBorder="1" applyAlignment="1">
      <alignment horizontal="center" vertical="center"/>
    </xf>
    <xf numFmtId="0" fontId="0" fillId="21" borderId="48" xfId="0" applyFill="1" applyBorder="1"/>
    <xf numFmtId="0" fontId="0" fillId="21" borderId="48" xfId="0" applyFill="1" applyBorder="1" applyAlignment="1">
      <alignment horizontal="center"/>
    </xf>
    <xf numFmtId="0" fontId="20" fillId="21" borderId="9" xfId="0" applyFont="1" applyFill="1" applyBorder="1"/>
    <xf numFmtId="0" fontId="20" fillId="21" borderId="8" xfId="0" applyFont="1" applyFill="1" applyBorder="1" applyAlignment="1">
      <alignment wrapText="1"/>
    </xf>
    <xf numFmtId="0" fontId="20" fillId="21" borderId="42" xfId="0" applyFont="1" applyFill="1" applyBorder="1" applyAlignment="1">
      <alignment wrapText="1"/>
    </xf>
    <xf numFmtId="0" fontId="20" fillId="21" borderId="44" xfId="0" applyFont="1" applyFill="1" applyBorder="1" applyAlignment="1">
      <alignment horizontal="center"/>
    </xf>
    <xf numFmtId="0" fontId="20" fillId="21" borderId="8" xfId="0" applyFont="1" applyFill="1" applyBorder="1" applyAlignment="1">
      <alignment horizontal="center"/>
    </xf>
    <xf numFmtId="0" fontId="0" fillId="21" borderId="8" xfId="0" applyFill="1" applyBorder="1" applyAlignment="1">
      <alignment horizontal="center"/>
    </xf>
    <xf numFmtId="0" fontId="20" fillId="21" borderId="8" xfId="0" quotePrefix="1" applyFont="1" applyFill="1" applyBorder="1" applyAlignment="1">
      <alignment horizontal="center"/>
    </xf>
    <xf numFmtId="0" fontId="20" fillId="21" borderId="15" xfId="0" applyFont="1" applyFill="1" applyBorder="1" applyAlignment="1">
      <alignment horizontal="center"/>
    </xf>
    <xf numFmtId="0" fontId="0" fillId="21" borderId="30" xfId="0" applyFill="1" applyBorder="1" applyAlignment="1">
      <alignment horizontal="center" vertical="center"/>
    </xf>
    <xf numFmtId="0" fontId="20" fillId="22" borderId="33" xfId="0" applyFont="1" applyFill="1" applyBorder="1"/>
    <xf numFmtId="0" fontId="19" fillId="22" borderId="17" xfId="0" applyFont="1" applyFill="1" applyBorder="1" applyAlignment="1">
      <alignment vertical="top" wrapText="1"/>
    </xf>
    <xf numFmtId="0" fontId="19" fillId="22" borderId="17" xfId="0" applyFont="1" applyFill="1" applyBorder="1" applyAlignment="1">
      <alignment horizontal="center" vertical="top" wrapText="1"/>
    </xf>
    <xf numFmtId="0" fontId="18" fillId="22" borderId="17" xfId="0" applyFont="1" applyFill="1" applyBorder="1" applyAlignment="1">
      <alignment vertical="top" wrapText="1"/>
    </xf>
    <xf numFmtId="0" fontId="21" fillId="21" borderId="10" xfId="0" applyFont="1" applyFill="1" applyBorder="1" applyAlignment="1">
      <alignment horizontal="center" vertical="center" wrapText="1"/>
    </xf>
    <xf numFmtId="0" fontId="21" fillId="21" borderId="41" xfId="0" applyFont="1" applyFill="1" applyBorder="1" applyAlignment="1">
      <alignment horizontal="center" vertical="center" wrapText="1"/>
    </xf>
    <xf numFmtId="0" fontId="21" fillId="21" borderId="5" xfId="0" applyFont="1" applyFill="1" applyBorder="1" applyAlignment="1">
      <alignment horizontal="center" vertical="center" wrapText="1"/>
    </xf>
    <xf numFmtId="0" fontId="22" fillId="21" borderId="5" xfId="0" applyFont="1" applyFill="1" applyBorder="1" applyAlignment="1">
      <alignment horizontal="center" vertical="top" wrapText="1"/>
    </xf>
    <xf numFmtId="0" fontId="22" fillId="21" borderId="11" xfId="0" applyFont="1" applyFill="1" applyBorder="1" applyAlignment="1">
      <alignment horizontal="center" vertical="top" wrapText="1"/>
    </xf>
    <xf numFmtId="0" fontId="21" fillId="21" borderId="0" xfId="0" applyFont="1" applyFill="1" applyBorder="1" applyAlignment="1">
      <alignment horizontal="center" vertical="center" wrapText="1"/>
    </xf>
    <xf numFmtId="0" fontId="29" fillId="21" borderId="0" xfId="0" applyFont="1" applyFill="1"/>
    <xf numFmtId="0" fontId="16" fillId="21" borderId="0" xfId="0" applyFont="1" applyFill="1" applyBorder="1" applyAlignment="1">
      <alignment horizontal="left" wrapText="1"/>
    </xf>
    <xf numFmtId="49" fontId="27" fillId="21" borderId="0" xfId="0" applyNumberFormat="1" applyFont="1" applyFill="1" applyAlignment="1">
      <alignment horizontal="right"/>
    </xf>
    <xf numFmtId="49" fontId="27" fillId="21" borderId="0" xfId="0" applyNumberFormat="1" applyFont="1" applyFill="1" applyAlignment="1">
      <alignment horizontal="left"/>
    </xf>
    <xf numFmtId="0" fontId="27" fillId="21" borderId="0" xfId="0" applyFont="1" applyFill="1"/>
    <xf numFmtId="49" fontId="27" fillId="21" borderId="0" xfId="0" applyNumberFormat="1" applyFont="1" applyFill="1" applyAlignment="1">
      <alignment horizontal="center"/>
    </xf>
    <xf numFmtId="49" fontId="0" fillId="21" borderId="0" xfId="0" applyNumberFormat="1" applyFill="1" applyAlignment="1">
      <alignment horizontal="center"/>
    </xf>
    <xf numFmtId="49" fontId="29" fillId="21" borderId="0" xfId="0" applyNumberFormat="1" applyFont="1" applyFill="1" applyAlignment="1">
      <alignment horizontal="center"/>
    </xf>
    <xf numFmtId="49" fontId="0" fillId="21" borderId="0" xfId="0" applyNumberFormat="1" applyFill="1"/>
    <xf numFmtId="0" fontId="16" fillId="21" borderId="0" xfId="0" applyFont="1" applyFill="1"/>
    <xf numFmtId="49" fontId="15" fillId="21" borderId="0" xfId="0" applyNumberFormat="1" applyFont="1" applyFill="1" applyAlignment="1">
      <alignment horizontal="center"/>
    </xf>
    <xf numFmtId="49" fontId="0" fillId="21" borderId="46" xfId="0" applyNumberFormat="1" applyFill="1" applyBorder="1" applyAlignment="1">
      <alignment horizontal="center" wrapText="1"/>
    </xf>
    <xf numFmtId="49" fontId="0" fillId="21" borderId="20" xfId="0" applyNumberFormat="1" applyFill="1" applyBorder="1" applyAlignment="1">
      <alignment horizontal="center"/>
    </xf>
    <xf numFmtId="49" fontId="0" fillId="21" borderId="50" xfId="0" applyNumberFormat="1" applyFill="1" applyBorder="1" applyAlignment="1">
      <alignment horizontal="center"/>
    </xf>
    <xf numFmtId="0" fontId="27" fillId="21" borderId="51" xfId="0" applyFont="1" applyFill="1" applyBorder="1" applyAlignment="1">
      <alignment horizontal="center"/>
    </xf>
    <xf numFmtId="49" fontId="27" fillId="21" borderId="0" xfId="0" applyNumberFormat="1" applyFont="1" applyFill="1" applyBorder="1" applyAlignment="1">
      <alignment horizontal="center"/>
    </xf>
    <xf numFmtId="49" fontId="27" fillId="21" borderId="52" xfId="0" applyNumberFormat="1" applyFont="1" applyFill="1" applyBorder="1" applyAlignment="1">
      <alignment horizontal="center"/>
    </xf>
    <xf numFmtId="0" fontId="27" fillId="21" borderId="8" xfId="0" applyFont="1" applyFill="1" applyBorder="1" applyAlignment="1">
      <alignment horizontal="center"/>
    </xf>
    <xf numFmtId="49" fontId="0" fillId="21" borderId="53" xfId="0" applyNumberFormat="1" applyFill="1" applyBorder="1" applyAlignment="1">
      <alignment horizontal="center"/>
    </xf>
    <xf numFmtId="0" fontId="0" fillId="21" borderId="53" xfId="0" applyFill="1" applyBorder="1" applyAlignment="1">
      <alignment horizontal="center"/>
    </xf>
    <xf numFmtId="49" fontId="27" fillId="21" borderId="53" xfId="0" applyNumberFormat="1" applyFont="1" applyFill="1" applyBorder="1" applyAlignment="1">
      <alignment horizontal="center"/>
    </xf>
    <xf numFmtId="0" fontId="0" fillId="21" borderId="44" xfId="0" applyFill="1" applyBorder="1" applyAlignment="1">
      <alignment horizontal="center"/>
    </xf>
    <xf numFmtId="0" fontId="16" fillId="21" borderId="0" xfId="0" applyFont="1" applyFill="1" applyAlignment="1">
      <alignment horizontal="left"/>
    </xf>
    <xf numFmtId="49" fontId="27" fillId="21" borderId="5" xfId="0" applyNumberFormat="1" applyFont="1" applyFill="1" applyBorder="1" applyAlignment="1">
      <alignment horizontal="center"/>
    </xf>
    <xf numFmtId="49" fontId="27" fillId="21" borderId="8" xfId="0" applyNumberFormat="1" applyFont="1" applyFill="1" applyBorder="1" applyAlignment="1">
      <alignment horizontal="center"/>
    </xf>
    <xf numFmtId="49" fontId="0" fillId="21" borderId="14" xfId="0" applyNumberFormat="1" applyFill="1" applyBorder="1" applyAlignment="1">
      <alignment horizontal="center"/>
    </xf>
    <xf numFmtId="0" fontId="0" fillId="21" borderId="5" xfId="0" applyFill="1" applyBorder="1" applyAlignment="1">
      <alignment horizontal="center"/>
    </xf>
    <xf numFmtId="49" fontId="0" fillId="21" borderId="54" xfId="0" applyNumberFormat="1" applyFill="1" applyBorder="1" applyAlignment="1">
      <alignment horizontal="center"/>
    </xf>
    <xf numFmtId="0" fontId="0" fillId="21" borderId="51" xfId="0" applyFill="1" applyBorder="1" applyAlignment="1">
      <alignment horizontal="center"/>
    </xf>
    <xf numFmtId="49" fontId="27" fillId="21" borderId="44" xfId="0" applyNumberFormat="1" applyFont="1" applyFill="1" applyBorder="1" applyAlignment="1">
      <alignment horizontal="center"/>
    </xf>
    <xf numFmtId="49" fontId="0" fillId="21" borderId="15" xfId="0" applyNumberFormat="1" applyFill="1" applyBorder="1" applyAlignment="1">
      <alignment horizontal="center"/>
    </xf>
    <xf numFmtId="0" fontId="20" fillId="21" borderId="0" xfId="0" applyFont="1" applyFill="1" applyBorder="1"/>
    <xf numFmtId="49" fontId="0" fillId="21" borderId="5" xfId="0" applyNumberFormat="1" applyFill="1" applyBorder="1" applyAlignment="1">
      <alignment horizontal="center" wrapText="1"/>
    </xf>
    <xf numFmtId="49" fontId="0" fillId="21" borderId="41" xfId="0" applyNumberFormat="1" applyFill="1" applyBorder="1" applyAlignment="1">
      <alignment horizontal="center"/>
    </xf>
    <xf numFmtId="0" fontId="0" fillId="21" borderId="26" xfId="0" applyFill="1" applyBorder="1" applyAlignment="1">
      <alignment horizontal="center" vertical="center"/>
    </xf>
    <xf numFmtId="0" fontId="0" fillId="21" borderId="16" xfId="0" applyFill="1" applyBorder="1" applyAlignment="1">
      <alignment horizontal="center" vertical="center" wrapText="1"/>
    </xf>
    <xf numFmtId="0" fontId="0" fillId="21" borderId="44" xfId="0" applyFill="1" applyBorder="1" applyAlignment="1">
      <alignment horizontal="center" vertical="center"/>
    </xf>
    <xf numFmtId="0" fontId="0" fillId="21" borderId="8" xfId="0" applyFill="1" applyBorder="1" applyAlignment="1">
      <alignment horizontal="center" vertical="center"/>
    </xf>
    <xf numFmtId="0" fontId="0" fillId="21" borderId="42" xfId="0" applyFill="1" applyBorder="1" applyAlignment="1">
      <alignment horizontal="center" vertical="center"/>
    </xf>
    <xf numFmtId="0" fontId="0" fillId="21" borderId="45" xfId="0" applyFill="1" applyBorder="1" applyAlignment="1">
      <alignment horizontal="center" vertical="center"/>
    </xf>
    <xf numFmtId="0" fontId="0" fillId="21" borderId="1" xfId="0" applyFill="1" applyBorder="1" applyAlignment="1">
      <alignment horizontal="center" vertical="center"/>
    </xf>
    <xf numFmtId="0" fontId="0" fillId="21" borderId="4" xfId="0" applyFill="1" applyBorder="1" applyAlignment="1">
      <alignment horizontal="center" vertical="center"/>
    </xf>
    <xf numFmtId="0" fontId="0" fillId="21" borderId="34" xfId="0" applyFill="1" applyBorder="1" applyAlignment="1">
      <alignment horizontal="center" vertical="center" wrapText="1"/>
    </xf>
    <xf numFmtId="0" fontId="0" fillId="21" borderId="41" xfId="0" applyFill="1" applyBorder="1" applyAlignment="1">
      <alignment horizontal="center" vertical="center"/>
    </xf>
    <xf numFmtId="0" fontId="0" fillId="21" borderId="5" xfId="0" applyFill="1" applyBorder="1" applyAlignment="1">
      <alignment horizontal="center" vertical="center"/>
    </xf>
    <xf numFmtId="0" fontId="0" fillId="21" borderId="11" xfId="0" applyFill="1" applyBorder="1" applyAlignment="1">
      <alignment horizontal="center" vertical="center"/>
    </xf>
    <xf numFmtId="0" fontId="20" fillId="22" borderId="89" xfId="5" applyFont="1" applyFill="1" applyBorder="1" applyAlignment="1">
      <alignment horizontal="center" vertical="center"/>
    </xf>
    <xf numFmtId="0" fontId="0" fillId="22" borderId="3" xfId="0" applyFill="1" applyBorder="1" applyAlignment="1">
      <alignment horizontal="center"/>
    </xf>
    <xf numFmtId="0" fontId="0" fillId="22" borderId="45" xfId="0" applyFill="1" applyBorder="1" applyAlignment="1">
      <alignment horizontal="left"/>
    </xf>
    <xf numFmtId="0" fontId="20" fillId="22" borderId="35" xfId="0" applyFont="1" applyFill="1" applyBorder="1" applyAlignment="1"/>
    <xf numFmtId="0" fontId="0" fillId="22" borderId="4" xfId="0" applyFill="1" applyBorder="1"/>
    <xf numFmtId="0" fontId="0" fillId="22" borderId="0" xfId="0" applyFill="1" applyBorder="1" applyAlignment="1">
      <alignment horizontal="center"/>
    </xf>
    <xf numFmtId="0" fontId="0" fillId="22" borderId="0" xfId="0" applyFill="1" applyBorder="1"/>
    <xf numFmtId="0" fontId="0" fillId="22" borderId="10" xfId="0" applyFill="1" applyBorder="1" applyAlignment="1">
      <alignment horizontal="center"/>
    </xf>
    <xf numFmtId="0" fontId="0" fillId="22" borderId="5" xfId="0" applyFill="1" applyBorder="1"/>
    <xf numFmtId="0" fontId="0" fillId="22" borderId="11" xfId="0" applyFill="1" applyBorder="1"/>
    <xf numFmtId="0" fontId="0" fillId="24" borderId="34" xfId="0" applyFill="1" applyBorder="1" applyAlignment="1">
      <alignment horizontal="center" vertical="center"/>
    </xf>
    <xf numFmtId="0" fontId="20" fillId="21" borderId="88" xfId="5" applyFont="1" applyFill="1" applyBorder="1" applyAlignment="1">
      <alignment horizontal="center" vertical="center"/>
    </xf>
    <xf numFmtId="0" fontId="20" fillId="21" borderId="74" xfId="5" applyFont="1" applyFill="1" applyBorder="1" applyAlignment="1">
      <alignment horizontal="center" vertical="center"/>
    </xf>
    <xf numFmtId="0" fontId="20" fillId="21" borderId="72" xfId="5" applyFont="1" applyFill="1" applyBorder="1" applyAlignment="1">
      <alignment horizontal="center" vertical="center"/>
    </xf>
    <xf numFmtId="0" fontId="20" fillId="21" borderId="75" xfId="5" applyFont="1" applyFill="1" applyBorder="1" applyAlignment="1">
      <alignment horizontal="center" vertical="center"/>
    </xf>
    <xf numFmtId="0" fontId="20" fillId="21" borderId="1" xfId="5" applyFont="1" applyFill="1" applyBorder="1" applyAlignment="1">
      <alignment horizontal="center" vertical="center"/>
    </xf>
    <xf numFmtId="0" fontId="20" fillId="21" borderId="1" xfId="2" applyFont="1" applyFill="1" applyBorder="1" applyAlignment="1">
      <alignment horizontal="center" vertical="center"/>
    </xf>
    <xf numFmtId="0" fontId="20" fillId="21" borderId="78" xfId="5" applyFont="1" applyFill="1" applyBorder="1" applyAlignment="1">
      <alignment horizontal="center" vertical="center"/>
    </xf>
    <xf numFmtId="0" fontId="20" fillId="21" borderId="73" xfId="5" applyFont="1" applyFill="1" applyBorder="1" applyAlignment="1">
      <alignment horizontal="center" vertical="center"/>
    </xf>
    <xf numFmtId="0" fontId="20" fillId="21" borderId="80" xfId="5" applyFont="1" applyFill="1" applyBorder="1" applyAlignment="1">
      <alignment horizontal="center" vertical="center"/>
    </xf>
    <xf numFmtId="0" fontId="20" fillId="21" borderId="1" xfId="1" applyFont="1" applyFill="1" applyBorder="1" applyAlignment="1">
      <alignment horizontal="center" vertical="center"/>
    </xf>
    <xf numFmtId="0" fontId="47" fillId="21" borderId="1" xfId="6" applyFont="1" applyFill="1" applyBorder="1" applyAlignment="1">
      <alignment horizontal="center" vertical="center"/>
    </xf>
    <xf numFmtId="0" fontId="47" fillId="21" borderId="78" xfId="6" applyFont="1" applyFill="1" applyBorder="1" applyAlignment="1">
      <alignment horizontal="center" vertical="center"/>
    </xf>
    <xf numFmtId="0" fontId="0" fillId="21" borderId="1" xfId="0" applyFill="1" applyBorder="1" applyAlignment="1">
      <alignment wrapText="1"/>
    </xf>
    <xf numFmtId="0" fontId="0" fillId="21" borderId="3" xfId="0" applyFill="1" applyBorder="1" applyAlignment="1">
      <alignment horizontal="center" wrapText="1"/>
    </xf>
    <xf numFmtId="0" fontId="0" fillId="21" borderId="4" xfId="0" applyFill="1" applyBorder="1" applyAlignment="1">
      <alignment wrapText="1"/>
    </xf>
    <xf numFmtId="0" fontId="0" fillId="21" borderId="1" xfId="0" applyFill="1" applyBorder="1" applyAlignment="1">
      <alignment vertical="top" wrapText="1"/>
    </xf>
    <xf numFmtId="0" fontId="0" fillId="21" borderId="10" xfId="0" applyFill="1" applyBorder="1" applyAlignment="1">
      <alignment horizontal="center" wrapText="1"/>
    </xf>
    <xf numFmtId="0" fontId="0" fillId="21" borderId="5" xfId="0" applyFill="1" applyBorder="1" applyAlignment="1">
      <alignment wrapText="1"/>
    </xf>
    <xf numFmtId="0" fontId="0" fillId="21" borderId="11" xfId="0" applyFill="1" applyBorder="1" applyAlignment="1">
      <alignment wrapText="1"/>
    </xf>
    <xf numFmtId="0" fontId="0" fillId="21" borderId="0" xfId="0" applyFill="1" applyBorder="1" applyAlignment="1">
      <alignment vertical="center" wrapText="1"/>
    </xf>
    <xf numFmtId="0" fontId="0" fillId="21" borderId="28" xfId="0" applyFill="1" applyBorder="1" applyAlignment="1">
      <alignment vertical="center" wrapText="1"/>
    </xf>
    <xf numFmtId="0" fontId="20" fillId="21" borderId="1" xfId="0" applyFont="1" applyFill="1" applyBorder="1" applyAlignment="1">
      <alignment wrapText="1"/>
    </xf>
    <xf numFmtId="0" fontId="20" fillId="21" borderId="4" xfId="0" applyFont="1" applyFill="1" applyBorder="1" applyAlignment="1">
      <alignment wrapText="1"/>
    </xf>
    <xf numFmtId="0" fontId="0" fillId="21" borderId="45" xfId="0" applyFill="1" applyBorder="1" applyAlignment="1">
      <alignment horizontal="left"/>
    </xf>
    <xf numFmtId="0" fontId="0" fillId="21" borderId="1" xfId="0" applyFill="1" applyBorder="1"/>
    <xf numFmtId="0" fontId="20" fillId="21" borderId="13" xfId="0" applyFont="1" applyFill="1" applyBorder="1"/>
    <xf numFmtId="0" fontId="0" fillId="21" borderId="21" xfId="0" applyFill="1" applyBorder="1"/>
    <xf numFmtId="0" fontId="0" fillId="21" borderId="13" xfId="0" applyFill="1" applyBorder="1"/>
    <xf numFmtId="0" fontId="0" fillId="21" borderId="10" xfId="0" applyFill="1" applyBorder="1" applyAlignment="1">
      <alignment horizontal="center"/>
    </xf>
    <xf numFmtId="0" fontId="0" fillId="21" borderId="22" xfId="0" applyFill="1" applyBorder="1"/>
    <xf numFmtId="0" fontId="0" fillId="21" borderId="4" xfId="0" applyFill="1" applyBorder="1"/>
    <xf numFmtId="0" fontId="0" fillId="21" borderId="5" xfId="0" applyFill="1" applyBorder="1"/>
    <xf numFmtId="0" fontId="0" fillId="21" borderId="11" xfId="0" applyFill="1" applyBorder="1"/>
    <xf numFmtId="0" fontId="0" fillId="21" borderId="31" xfId="0" applyFill="1" applyBorder="1" applyAlignment="1">
      <alignment horizontal="center" vertical="center"/>
    </xf>
    <xf numFmtId="0" fontId="0" fillId="21" borderId="32" xfId="0" applyFill="1" applyBorder="1" applyAlignment="1">
      <alignment horizontal="center" vertical="center"/>
    </xf>
    <xf numFmtId="0" fontId="0" fillId="21" borderId="25" xfId="0" applyFill="1" applyBorder="1" applyAlignment="1">
      <alignment horizontal="center" vertical="center"/>
    </xf>
    <xf numFmtId="0" fontId="0" fillId="21" borderId="29" xfId="0" applyFill="1" applyBorder="1" applyAlignment="1">
      <alignment horizontal="left" vertical="top"/>
    </xf>
    <xf numFmtId="0" fontId="0" fillId="21" borderId="23" xfId="0" applyFill="1" applyBorder="1"/>
    <xf numFmtId="0" fontId="0" fillId="21" borderId="30" xfId="0" applyFill="1" applyBorder="1" applyAlignment="1">
      <alignment vertical="center"/>
    </xf>
    <xf numFmtId="0" fontId="0" fillId="21" borderId="37" xfId="0" applyFill="1" applyBorder="1" applyAlignment="1">
      <alignment horizontal="center" vertical="center"/>
    </xf>
    <xf numFmtId="0" fontId="0" fillId="21" borderId="35" xfId="0" applyFill="1" applyBorder="1" applyAlignment="1">
      <alignment horizontal="center" vertical="center"/>
    </xf>
    <xf numFmtId="0" fontId="0" fillId="21" borderId="35" xfId="0" applyFill="1" applyBorder="1" applyAlignment="1">
      <alignment horizontal="left" vertical="top" wrapText="1"/>
    </xf>
    <xf numFmtId="0" fontId="0" fillId="21" borderId="22" xfId="0" applyFill="1" applyBorder="1" applyAlignment="1">
      <alignment horizontal="center" vertical="center"/>
    </xf>
    <xf numFmtId="0" fontId="0" fillId="21" borderId="36" xfId="0" applyFill="1" applyBorder="1" applyAlignment="1">
      <alignment horizontal="center" vertical="center"/>
    </xf>
    <xf numFmtId="0" fontId="0" fillId="21" borderId="36" xfId="0" applyFill="1" applyBorder="1" applyAlignment="1">
      <alignment horizontal="left" vertical="top"/>
    </xf>
    <xf numFmtId="0" fontId="0" fillId="21" borderId="28" xfId="0" applyFill="1" applyBorder="1" applyAlignment="1">
      <alignment horizontal="center" vertical="center"/>
    </xf>
    <xf numFmtId="0" fontId="0" fillId="21" borderId="33" xfId="0" applyFill="1" applyBorder="1" applyAlignment="1">
      <alignment horizontal="center" vertical="center"/>
    </xf>
    <xf numFmtId="0" fontId="0" fillId="21" borderId="0" xfId="0" applyFill="1" applyBorder="1" applyAlignment="1">
      <alignment horizontal="center" vertical="center"/>
    </xf>
    <xf numFmtId="0" fontId="0" fillId="21" borderId="0" xfId="0" applyFill="1" applyBorder="1" applyAlignment="1">
      <alignment horizontal="left" vertical="top"/>
    </xf>
    <xf numFmtId="0" fontId="0" fillId="21" borderId="37" xfId="0" applyFill="1" applyBorder="1" applyAlignment="1">
      <alignment horizontal="left" vertical="top" wrapText="1"/>
    </xf>
    <xf numFmtId="0" fontId="20" fillId="21" borderId="35" xfId="0" applyFont="1" applyFill="1" applyBorder="1" applyAlignment="1">
      <alignment horizontal="left" vertical="top" wrapText="1"/>
    </xf>
    <xf numFmtId="0" fontId="20" fillId="21" borderId="33" xfId="0" applyFont="1" applyFill="1" applyBorder="1"/>
    <xf numFmtId="0" fontId="19" fillId="21" borderId="17" xfId="0" applyFont="1" applyFill="1" applyBorder="1" applyAlignment="1">
      <alignment vertical="top" wrapText="1"/>
    </xf>
    <xf numFmtId="0" fontId="19" fillId="21" borderId="17" xfId="0" applyFont="1" applyFill="1" applyBorder="1" applyAlignment="1">
      <alignment horizontal="center" vertical="top" wrapText="1"/>
    </xf>
    <xf numFmtId="0" fontId="19" fillId="21" borderId="30" xfId="0" applyFont="1" applyFill="1" applyBorder="1" applyAlignment="1">
      <alignment vertical="center" wrapText="1"/>
    </xf>
    <xf numFmtId="0" fontId="19" fillId="21" borderId="17" xfId="0" applyFont="1" applyFill="1" applyBorder="1" applyAlignment="1">
      <alignment horizontal="center" vertical="center" wrapText="1"/>
    </xf>
    <xf numFmtId="0" fontId="18" fillId="21" borderId="17" xfId="0" applyFont="1" applyFill="1" applyBorder="1" applyAlignment="1">
      <alignment horizontal="left" vertical="top" wrapText="1" indent="1"/>
    </xf>
    <xf numFmtId="0" fontId="19" fillId="21" borderId="33" xfId="0" applyFont="1" applyFill="1" applyBorder="1" applyAlignment="1">
      <alignment vertical="center" wrapText="1"/>
    </xf>
    <xf numFmtId="0" fontId="18" fillId="21" borderId="17" xfId="0" applyFont="1" applyFill="1" applyBorder="1" applyAlignment="1">
      <alignment vertical="top" wrapText="1"/>
    </xf>
    <xf numFmtId="0" fontId="19" fillId="21" borderId="18" xfId="0" applyFont="1" applyFill="1" applyBorder="1" applyAlignment="1">
      <alignment vertical="top" wrapText="1"/>
    </xf>
    <xf numFmtId="0" fontId="19" fillId="21" borderId="18" xfId="0" applyFont="1" applyFill="1" applyBorder="1" applyAlignment="1">
      <alignment horizontal="center" vertical="top" wrapText="1"/>
    </xf>
    <xf numFmtId="0" fontId="19" fillId="21" borderId="34" xfId="0" applyFont="1" applyFill="1" applyBorder="1" applyAlignment="1">
      <alignment vertical="center" wrapText="1"/>
    </xf>
    <xf numFmtId="0" fontId="19" fillId="21" borderId="18" xfId="0" applyFont="1" applyFill="1" applyBorder="1" applyAlignment="1">
      <alignment horizontal="center" vertical="center" wrapText="1"/>
    </xf>
    <xf numFmtId="0" fontId="18" fillId="21" borderId="18" xfId="0" applyFont="1" applyFill="1" applyBorder="1" applyAlignment="1">
      <alignment vertical="top" wrapText="1"/>
    </xf>
    <xf numFmtId="16" fontId="19" fillId="21" borderId="17" xfId="0" quotePrefix="1" applyNumberFormat="1" applyFont="1" applyFill="1" applyBorder="1" applyAlignment="1">
      <alignment horizontal="center" vertical="top" wrapText="1"/>
    </xf>
    <xf numFmtId="0" fontId="0" fillId="21" borderId="18" xfId="0" applyFill="1" applyBorder="1" applyAlignment="1">
      <alignment vertical="top" wrapText="1"/>
    </xf>
    <xf numFmtId="0" fontId="21" fillId="21" borderId="3" xfId="0" applyFont="1" applyFill="1" applyBorder="1" applyAlignment="1">
      <alignment horizontal="center" vertical="center" wrapText="1"/>
    </xf>
    <xf numFmtId="0" fontId="21" fillId="21" borderId="45" xfId="0" applyFont="1" applyFill="1" applyBorder="1" applyAlignment="1">
      <alignment horizontal="center" vertical="center" wrapText="1"/>
    </xf>
    <xf numFmtId="0" fontId="21" fillId="21" borderId="1" xfId="0" applyFont="1" applyFill="1" applyBorder="1" applyAlignment="1">
      <alignment horizontal="center" vertical="center" wrapText="1"/>
    </xf>
    <xf numFmtId="0" fontId="22" fillId="21" borderId="1" xfId="0" applyFont="1" applyFill="1" applyBorder="1" applyAlignment="1">
      <alignment horizontal="center" vertical="top" wrapText="1"/>
    </xf>
    <xf numFmtId="0" fontId="22" fillId="21" borderId="4" xfId="0" applyFont="1" applyFill="1" applyBorder="1" applyAlignment="1">
      <alignment horizontal="center" vertical="top" wrapText="1"/>
    </xf>
    <xf numFmtId="0" fontId="0" fillId="21" borderId="9" xfId="0" applyFill="1" applyBorder="1"/>
    <xf numFmtId="0" fontId="0" fillId="21" borderId="8" xfId="0" applyFill="1" applyBorder="1"/>
    <xf numFmtId="0" fontId="0" fillId="21" borderId="42" xfId="0" applyFill="1" applyBorder="1"/>
    <xf numFmtId="0" fontId="0" fillId="21" borderId="3" xfId="0" applyFill="1" applyBorder="1"/>
    <xf numFmtId="0" fontId="0" fillId="21" borderId="10" xfId="0" applyFill="1" applyBorder="1"/>
    <xf numFmtId="0" fontId="0" fillId="21" borderId="53" xfId="0" applyFill="1" applyBorder="1"/>
    <xf numFmtId="0" fontId="0" fillId="21" borderId="8" xfId="0" applyFill="1" applyBorder="1" applyAlignment="1">
      <alignment horizontal="right"/>
    </xf>
    <xf numFmtId="0" fontId="20" fillId="21" borderId="8" xfId="0" applyFont="1" applyFill="1" applyBorder="1"/>
    <xf numFmtId="0" fontId="31" fillId="21" borderId="9" xfId="2" applyFill="1" applyBorder="1"/>
    <xf numFmtId="0" fontId="31" fillId="21" borderId="8" xfId="2" applyFill="1" applyBorder="1"/>
    <xf numFmtId="0" fontId="31" fillId="21" borderId="42" xfId="2" applyFill="1" applyBorder="1"/>
    <xf numFmtId="0" fontId="0" fillId="21" borderId="1" xfId="0" applyFill="1" applyBorder="1" applyAlignment="1">
      <alignment horizontal="right"/>
    </xf>
    <xf numFmtId="0" fontId="20" fillId="21" borderId="1" xfId="0" applyFont="1" applyFill="1" applyBorder="1"/>
    <xf numFmtId="0" fontId="31" fillId="21" borderId="3" xfId="2" applyFill="1" applyBorder="1"/>
    <xf numFmtId="0" fontId="31" fillId="21" borderId="1" xfId="2" applyFill="1" applyBorder="1"/>
    <xf numFmtId="0" fontId="31" fillId="21" borderId="4" xfId="2" applyFill="1" applyBorder="1"/>
    <xf numFmtId="0" fontId="20" fillId="21" borderId="1" xfId="0" applyFont="1" applyFill="1" applyBorder="1" applyAlignment="1">
      <alignment horizontal="right"/>
    </xf>
    <xf numFmtId="0" fontId="31" fillId="21" borderId="10" xfId="2" applyFill="1" applyBorder="1"/>
    <xf numFmtId="0" fontId="31" fillId="21" borderId="5" xfId="2" applyFill="1" applyBorder="1"/>
    <xf numFmtId="0" fontId="31" fillId="21" borderId="11" xfId="2" applyFill="1" applyBorder="1"/>
    <xf numFmtId="49" fontId="20" fillId="21" borderId="1" xfId="0" applyNumberFormat="1" applyFont="1" applyFill="1" applyBorder="1" applyAlignment="1">
      <alignment vertical="top" wrapText="1"/>
    </xf>
    <xf numFmtId="49" fontId="0" fillId="21" borderId="1" xfId="0" applyNumberFormat="1" applyFill="1" applyBorder="1" applyAlignment="1">
      <alignment vertical="top" wrapText="1"/>
    </xf>
    <xf numFmtId="49" fontId="29" fillId="21" borderId="1" xfId="0" applyNumberFormat="1" applyFont="1" applyFill="1" applyBorder="1" applyAlignment="1">
      <alignment vertical="top" wrapText="1"/>
    </xf>
    <xf numFmtId="49" fontId="29" fillId="21" borderId="1" xfId="0" applyNumberFormat="1" applyFont="1" applyFill="1" applyBorder="1" applyAlignment="1">
      <alignment horizontal="center"/>
    </xf>
    <xf numFmtId="49" fontId="27" fillId="21" borderId="1" xfId="0" applyNumberFormat="1" applyFont="1" applyFill="1" applyBorder="1" applyAlignment="1">
      <alignment vertical="top" wrapText="1"/>
    </xf>
    <xf numFmtId="0" fontId="0" fillId="21" borderId="0" xfId="0" applyFill="1" applyAlignment="1">
      <alignment horizontal="center" vertical="top"/>
    </xf>
    <xf numFmtId="0" fontId="20" fillId="10" borderId="88" xfId="5" applyFont="1" applyFill="1" applyBorder="1" applyAlignment="1">
      <alignment horizontal="center" vertical="center"/>
    </xf>
    <xf numFmtId="0" fontId="20" fillId="10" borderId="1" xfId="5" applyFont="1" applyFill="1" applyBorder="1" applyAlignment="1">
      <alignment horizontal="center" vertical="center"/>
    </xf>
    <xf numFmtId="0" fontId="48" fillId="10" borderId="1" xfId="28" applyFont="1" applyFill="1" applyBorder="1" applyAlignment="1">
      <alignment horizontal="center" vertical="center"/>
    </xf>
    <xf numFmtId="0" fontId="20" fillId="10" borderId="74" xfId="5" applyFont="1" applyFill="1" applyBorder="1" applyAlignment="1">
      <alignment horizontal="center" vertical="center"/>
    </xf>
    <xf numFmtId="0" fontId="0" fillId="21" borderId="30" xfId="0" applyFill="1" applyBorder="1" applyAlignment="1">
      <alignment horizontal="center" vertical="center"/>
    </xf>
    <xf numFmtId="0" fontId="48" fillId="10" borderId="75" xfId="28" applyFont="1" applyFill="1" applyBorder="1" applyAlignment="1">
      <alignment horizontal="center" vertical="center"/>
    </xf>
    <xf numFmtId="0" fontId="20" fillId="10" borderId="78" xfId="5" applyFont="1" applyFill="1" applyBorder="1" applyAlignment="1">
      <alignment horizontal="center" vertical="center"/>
    </xf>
    <xf numFmtId="0" fontId="0" fillId="10" borderId="48" xfId="0" applyFill="1" applyBorder="1"/>
    <xf numFmtId="0" fontId="0" fillId="10" borderId="48" xfId="0" applyFill="1" applyBorder="1" applyAlignment="1">
      <alignment horizontal="center"/>
    </xf>
    <xf numFmtId="0" fontId="20" fillId="10" borderId="9" xfId="0" applyFont="1" applyFill="1" applyBorder="1"/>
    <xf numFmtId="0" fontId="20" fillId="10" borderId="8" xfId="0" applyFont="1" applyFill="1" applyBorder="1" applyAlignment="1">
      <alignment wrapText="1"/>
    </xf>
    <xf numFmtId="0" fontId="20" fillId="10" borderId="42" xfId="0" applyFont="1" applyFill="1" applyBorder="1" applyAlignment="1">
      <alignment wrapText="1"/>
    </xf>
    <xf numFmtId="0" fontId="20" fillId="10" borderId="44" xfId="0" applyFont="1" applyFill="1" applyBorder="1" applyAlignment="1">
      <alignment horizontal="center"/>
    </xf>
    <xf numFmtId="0" fontId="20" fillId="10" borderId="8" xfId="0" applyFont="1" applyFill="1" applyBorder="1" applyAlignment="1">
      <alignment horizontal="center"/>
    </xf>
    <xf numFmtId="0" fontId="0" fillId="10" borderId="8" xfId="0" applyFill="1" applyBorder="1" applyAlignment="1">
      <alignment horizontal="center"/>
    </xf>
    <xf numFmtId="0" fontId="20" fillId="10" borderId="8" xfId="0" quotePrefix="1" applyFont="1" applyFill="1" applyBorder="1" applyAlignment="1">
      <alignment horizontal="center"/>
    </xf>
    <xf numFmtId="0" fontId="20" fillId="10" borderId="15" xfId="0" applyFont="1" applyFill="1" applyBorder="1" applyAlignment="1">
      <alignment horizontal="center"/>
    </xf>
    <xf numFmtId="0" fontId="20" fillId="10" borderId="1" xfId="0" applyFont="1" applyFill="1" applyBorder="1" applyAlignment="1">
      <alignment horizontal="center"/>
    </xf>
    <xf numFmtId="0" fontId="0" fillId="10" borderId="0" xfId="0" applyFill="1" applyAlignment="1">
      <alignment horizontal="center"/>
    </xf>
    <xf numFmtId="0" fontId="0" fillId="10" borderId="0" xfId="0" applyFill="1"/>
    <xf numFmtId="0" fontId="0" fillId="10" borderId="0" xfId="0" applyFill="1" applyAlignment="1">
      <alignment horizontal="center" vertical="top"/>
    </xf>
    <xf numFmtId="0" fontId="0" fillId="10" borderId="3" xfId="0" applyFill="1" applyBorder="1" applyAlignment="1">
      <alignment horizontal="center"/>
    </xf>
    <xf numFmtId="0" fontId="0" fillId="10" borderId="45" xfId="0" applyFill="1" applyBorder="1" applyAlignment="1">
      <alignment horizontal="left"/>
    </xf>
    <xf numFmtId="0" fontId="0" fillId="10" borderId="1" xfId="0" applyFill="1" applyBorder="1"/>
    <xf numFmtId="0" fontId="20" fillId="10" borderId="13" xfId="0" applyFont="1" applyFill="1" applyBorder="1"/>
    <xf numFmtId="0" fontId="0" fillId="10" borderId="21" xfId="0" applyFill="1" applyBorder="1"/>
    <xf numFmtId="0" fontId="0" fillId="10" borderId="0" xfId="0" applyFill="1" applyBorder="1"/>
    <xf numFmtId="0" fontId="0" fillId="10" borderId="10" xfId="0" applyFill="1" applyBorder="1" applyAlignment="1">
      <alignment horizontal="center"/>
    </xf>
    <xf numFmtId="0" fontId="0" fillId="10" borderId="22" xfId="0" applyFill="1" applyBorder="1"/>
    <xf numFmtId="0" fontId="0" fillId="10" borderId="0" xfId="0" applyFill="1" applyBorder="1" applyAlignment="1">
      <alignment horizontal="center"/>
    </xf>
    <xf numFmtId="0" fontId="0" fillId="10" borderId="3" xfId="0" applyFill="1" applyBorder="1" applyAlignment="1">
      <alignment horizontal="center" wrapText="1"/>
    </xf>
    <xf numFmtId="0" fontId="0" fillId="10" borderId="1" xfId="0" applyFill="1" applyBorder="1" applyAlignment="1">
      <alignment wrapText="1"/>
    </xf>
    <xf numFmtId="0" fontId="0" fillId="10" borderId="1" xfId="0" applyFill="1" applyBorder="1" applyAlignment="1">
      <alignment vertical="top" wrapText="1"/>
    </xf>
    <xf numFmtId="0" fontId="0" fillId="10" borderId="4" xfId="0" applyFill="1" applyBorder="1" applyAlignment="1">
      <alignment wrapText="1"/>
    </xf>
    <xf numFmtId="0" fontId="0" fillId="10" borderId="0" xfId="0" applyFill="1" applyAlignment="1">
      <alignment wrapText="1"/>
    </xf>
    <xf numFmtId="0" fontId="0" fillId="8" borderId="3" xfId="0" applyFill="1" applyBorder="1" applyAlignment="1">
      <alignment horizontal="center" wrapText="1"/>
    </xf>
    <xf numFmtId="0" fontId="0" fillId="8" borderId="1" xfId="0" applyFill="1" applyBorder="1" applyAlignment="1">
      <alignment wrapText="1"/>
    </xf>
    <xf numFmtId="0" fontId="0" fillId="8" borderId="4" xfId="0" applyFill="1" applyBorder="1" applyAlignment="1">
      <alignment wrapText="1"/>
    </xf>
    <xf numFmtId="0" fontId="0" fillId="8" borderId="0" xfId="0" applyFill="1" applyAlignment="1">
      <alignment wrapText="1"/>
    </xf>
    <xf numFmtId="0" fontId="0" fillId="8" borderId="1" xfId="0" applyFill="1" applyBorder="1" applyAlignment="1">
      <alignment vertical="top" wrapText="1"/>
    </xf>
    <xf numFmtId="0" fontId="20" fillId="10" borderId="75" xfId="5" applyFont="1" applyFill="1" applyBorder="1" applyAlignment="1">
      <alignment horizontal="center" vertical="center"/>
    </xf>
    <xf numFmtId="0" fontId="20" fillId="8" borderId="1" xfId="0" applyFont="1" applyFill="1" applyBorder="1" applyAlignment="1">
      <alignment wrapText="1"/>
    </xf>
    <xf numFmtId="0" fontId="20" fillId="8" borderId="4" xfId="0" applyFont="1" applyFill="1" applyBorder="1" applyAlignment="1">
      <alignment wrapText="1"/>
    </xf>
    <xf numFmtId="0" fontId="0" fillId="8" borderId="48" xfId="0" applyFill="1" applyBorder="1"/>
    <xf numFmtId="0" fontId="0" fillId="8" borderId="48" xfId="0" applyFill="1" applyBorder="1" applyAlignment="1">
      <alignment horizontal="center"/>
    </xf>
    <xf numFmtId="0" fontId="20" fillId="8" borderId="9" xfId="0" applyFont="1" applyFill="1" applyBorder="1"/>
    <xf numFmtId="0" fontId="20" fillId="8" borderId="8" xfId="0" applyFont="1" applyFill="1" applyBorder="1" applyAlignment="1">
      <alignment wrapText="1"/>
    </xf>
    <xf numFmtId="0" fontId="20" fillId="8" borderId="42" xfId="0" applyFont="1" applyFill="1" applyBorder="1" applyAlignment="1">
      <alignment wrapText="1"/>
    </xf>
    <xf numFmtId="0" fontId="20" fillId="8" borderId="44" xfId="0" applyFont="1" applyFill="1" applyBorder="1" applyAlignment="1">
      <alignment horizontal="center"/>
    </xf>
    <xf numFmtId="0" fontId="20" fillId="8" borderId="8" xfId="0" applyFont="1" applyFill="1" applyBorder="1" applyAlignment="1">
      <alignment horizontal="center"/>
    </xf>
    <xf numFmtId="0" fontId="0" fillId="8" borderId="8" xfId="0" applyFill="1" applyBorder="1" applyAlignment="1">
      <alignment horizontal="center"/>
    </xf>
    <xf numFmtId="0" fontId="20" fillId="8" borderId="8" xfId="0" quotePrefix="1" applyFont="1" applyFill="1" applyBorder="1" applyAlignment="1">
      <alignment horizontal="center"/>
    </xf>
    <xf numFmtId="0" fontId="20" fillId="8" borderId="15" xfId="0" applyFont="1" applyFill="1" applyBorder="1" applyAlignment="1">
      <alignment horizontal="center"/>
    </xf>
    <xf numFmtId="0" fontId="20" fillId="8" borderId="1" xfId="0" applyFont="1" applyFill="1" applyBorder="1" applyAlignment="1">
      <alignment horizontal="center"/>
    </xf>
    <xf numFmtId="0" fontId="0" fillId="8" borderId="0" xfId="0" applyFill="1" applyAlignment="1">
      <alignment horizontal="center"/>
    </xf>
    <xf numFmtId="0" fontId="0" fillId="8" borderId="0" xfId="0" applyFill="1"/>
    <xf numFmtId="0" fontId="0" fillId="13" borderId="48" xfId="0" applyFill="1" applyBorder="1"/>
    <xf numFmtId="0" fontId="0" fillId="13" borderId="48" xfId="0" applyFill="1" applyBorder="1" applyAlignment="1">
      <alignment horizontal="center"/>
    </xf>
    <xf numFmtId="0" fontId="20" fillId="13" borderId="9" xfId="0" applyFont="1" applyFill="1" applyBorder="1"/>
    <xf numFmtId="0" fontId="20" fillId="13" borderId="8" xfId="0" applyFont="1" applyFill="1" applyBorder="1" applyAlignment="1">
      <alignment wrapText="1"/>
    </xf>
    <xf numFmtId="0" fontId="20" fillId="13" borderId="42" xfId="0" applyFont="1" applyFill="1" applyBorder="1" applyAlignment="1">
      <alignment wrapText="1"/>
    </xf>
    <xf numFmtId="0" fontId="20" fillId="13" borderId="44" xfId="0" applyFont="1" applyFill="1" applyBorder="1" applyAlignment="1">
      <alignment horizontal="center"/>
    </xf>
    <xf numFmtId="0" fontId="20" fillId="13" borderId="8" xfId="0" applyFont="1" applyFill="1" applyBorder="1" applyAlignment="1">
      <alignment horizontal="center"/>
    </xf>
    <xf numFmtId="0" fontId="0" fillId="13" borderId="8" xfId="0" applyFill="1" applyBorder="1" applyAlignment="1">
      <alignment horizontal="center"/>
    </xf>
    <xf numFmtId="0" fontId="20" fillId="13" borderId="8" xfId="0" quotePrefix="1" applyFont="1" applyFill="1" applyBorder="1" applyAlignment="1">
      <alignment horizontal="center"/>
    </xf>
    <xf numFmtId="0" fontId="20" fillId="13" borderId="15" xfId="0" applyFont="1" applyFill="1" applyBorder="1" applyAlignment="1">
      <alignment horizontal="center"/>
    </xf>
    <xf numFmtId="0" fontId="20" fillId="13" borderId="1" xfId="0" applyFont="1" applyFill="1" applyBorder="1" applyAlignment="1">
      <alignment horizontal="center"/>
    </xf>
    <xf numFmtId="0" fontId="0" fillId="13" borderId="0" xfId="0" applyFill="1" applyAlignment="1">
      <alignment horizontal="center"/>
    </xf>
    <xf numFmtId="0" fontId="0" fillId="13" borderId="0" xfId="0" applyFill="1"/>
    <xf numFmtId="0" fontId="0" fillId="13" borderId="0" xfId="0" applyFill="1" applyAlignment="1">
      <alignment horizontal="center" vertical="top"/>
    </xf>
    <xf numFmtId="0" fontId="47" fillId="21" borderId="75" xfId="6" applyFont="1" applyFill="1" applyBorder="1" applyAlignment="1">
      <alignment horizontal="center" vertical="center"/>
    </xf>
    <xf numFmtId="164" fontId="41" fillId="31" borderId="9" xfId="0" applyNumberFormat="1" applyFont="1" applyFill="1" applyBorder="1" applyAlignment="1">
      <alignment horizontal="center" vertical="center" wrapText="1"/>
    </xf>
    <xf numFmtId="0" fontId="57" fillId="31" borderId="18" xfId="0" applyFont="1" applyFill="1" applyBorder="1" applyAlignment="1">
      <alignment horizontal="center" vertical="center"/>
    </xf>
    <xf numFmtId="46" fontId="52" fillId="31" borderId="4" xfId="28" applyNumberFormat="1" applyFont="1" applyFill="1" applyBorder="1" applyAlignment="1">
      <alignment horizontal="left" vertical="center" wrapText="1"/>
    </xf>
    <xf numFmtId="0" fontId="4" fillId="31" borderId="0" xfId="28" applyFill="1"/>
    <xf numFmtId="49" fontId="4" fillId="31" borderId="0" xfId="28" applyNumberFormat="1" applyFill="1"/>
    <xf numFmtId="0" fontId="40" fillId="31" borderId="0" xfId="28" applyFont="1" applyFill="1" applyAlignment="1">
      <alignment horizontal="center" vertical="center"/>
    </xf>
    <xf numFmtId="0" fontId="41" fillId="31" borderId="0" xfId="28" applyFont="1" applyFill="1"/>
    <xf numFmtId="164" fontId="60" fillId="31" borderId="1" xfId="0" applyNumberFormat="1" applyFont="1" applyFill="1" applyBorder="1" applyAlignment="1">
      <alignment horizontal="center" vertical="center" wrapText="1"/>
    </xf>
    <xf numFmtId="0" fontId="59" fillId="10" borderId="1" xfId="0" applyFont="1" applyFill="1" applyBorder="1" applyAlignment="1">
      <alignment horizontal="center" vertical="center" wrapText="1"/>
    </xf>
    <xf numFmtId="0" fontId="50" fillId="10" borderId="1" xfId="0" applyFont="1" applyFill="1" applyBorder="1" applyAlignment="1">
      <alignment horizontal="center" vertical="center" wrapText="1"/>
    </xf>
    <xf numFmtId="0" fontId="61" fillId="0" borderId="1" xfId="0" applyFont="1" applyFill="1" applyBorder="1" applyAlignment="1">
      <alignment horizontal="center" vertical="center"/>
    </xf>
    <xf numFmtId="0" fontId="41" fillId="8" borderId="1" xfId="0" applyFont="1" applyFill="1" applyBorder="1" applyAlignment="1">
      <alignment horizontal="center" vertical="center" wrapText="1"/>
    </xf>
    <xf numFmtId="0" fontId="20" fillId="21" borderId="72" xfId="5" applyFont="1" applyFill="1" applyBorder="1" applyAlignment="1">
      <alignment horizontal="center" vertical="center" wrapText="1"/>
    </xf>
    <xf numFmtId="0" fontId="20" fillId="21" borderId="77" xfId="5" applyFont="1" applyFill="1" applyBorder="1" applyAlignment="1">
      <alignment horizontal="center" vertical="center" wrapText="1"/>
    </xf>
    <xf numFmtId="0" fontId="50" fillId="31" borderId="1" xfId="0" applyFont="1" applyFill="1" applyBorder="1" applyAlignment="1">
      <alignment horizontal="left" vertical="center" wrapText="1"/>
    </xf>
    <xf numFmtId="0" fontId="20" fillId="10" borderId="78" xfId="5" applyFont="1" applyFill="1" applyBorder="1" applyAlignment="1">
      <alignment horizontal="center" vertical="center" wrapText="1"/>
    </xf>
    <xf numFmtId="0" fontId="20" fillId="10" borderId="77" xfId="5" applyFont="1" applyFill="1" applyBorder="1" applyAlignment="1">
      <alignment horizontal="center" vertical="center"/>
    </xf>
    <xf numFmtId="0" fontId="48" fillId="10" borderId="72" xfId="28" applyFont="1" applyFill="1" applyBorder="1" applyAlignment="1">
      <alignment horizontal="center" vertical="center"/>
    </xf>
    <xf numFmtId="0" fontId="20" fillId="10" borderId="73" xfId="5" applyFont="1" applyFill="1" applyBorder="1" applyAlignment="1">
      <alignment horizontal="center" vertical="center"/>
    </xf>
    <xf numFmtId="0" fontId="20" fillId="10" borderId="76" xfId="5" applyFont="1" applyFill="1" applyBorder="1" applyAlignment="1">
      <alignment horizontal="center" vertical="center"/>
    </xf>
    <xf numFmtId="0" fontId="47" fillId="21" borderId="74" xfId="6" applyFont="1" applyFill="1" applyBorder="1" applyAlignment="1">
      <alignment horizontal="center" vertical="center"/>
    </xf>
    <xf numFmtId="0" fontId="20" fillId="10" borderId="72" xfId="5" applyFont="1" applyFill="1" applyBorder="1" applyAlignment="1">
      <alignment horizontal="center" vertical="center"/>
    </xf>
    <xf numFmtId="0" fontId="48" fillId="10" borderId="86" xfId="28" applyFont="1" applyFill="1" applyBorder="1" applyAlignment="1">
      <alignment horizontal="center" vertical="center"/>
    </xf>
    <xf numFmtId="164" fontId="60" fillId="31" borderId="3" xfId="0" applyNumberFormat="1" applyFont="1" applyFill="1" applyBorder="1" applyAlignment="1">
      <alignment horizontal="center" vertical="center" wrapText="1"/>
    </xf>
    <xf numFmtId="46" fontId="20" fillId="0" borderId="1" xfId="0" applyNumberFormat="1" applyFont="1" applyFill="1" applyBorder="1" applyAlignment="1">
      <alignment vertical="top" wrapText="1"/>
    </xf>
    <xf numFmtId="0" fontId="3" fillId="0" borderId="0" xfId="33"/>
    <xf numFmtId="0" fontId="20" fillId="10" borderId="1" xfId="5" applyFont="1" applyFill="1" applyBorder="1" applyAlignment="1">
      <alignment horizontal="center" vertical="center" wrapText="1"/>
    </xf>
    <xf numFmtId="0" fontId="20" fillId="10" borderId="1" xfId="2" applyFont="1" applyFill="1" applyBorder="1" applyAlignment="1">
      <alignment horizontal="center" vertical="center" wrapText="1"/>
    </xf>
    <xf numFmtId="0" fontId="20" fillId="10" borderId="89" xfId="5" applyFont="1" applyFill="1" applyBorder="1" applyAlignment="1">
      <alignment horizontal="center" vertical="center"/>
    </xf>
    <xf numFmtId="0" fontId="20" fillId="10" borderId="79" xfId="5" applyFont="1" applyFill="1" applyBorder="1" applyAlignment="1">
      <alignment horizontal="center" vertical="center"/>
    </xf>
    <xf numFmtId="0" fontId="20" fillId="10" borderId="87" xfId="5" applyFont="1" applyFill="1" applyBorder="1" applyAlignment="1">
      <alignment horizontal="center" vertical="center"/>
    </xf>
    <xf numFmtId="0" fontId="20" fillId="10" borderId="78" xfId="1" applyFont="1" applyFill="1" applyBorder="1" applyAlignment="1">
      <alignment horizontal="center" vertical="center" wrapText="1"/>
    </xf>
    <xf numFmtId="0" fontId="48" fillId="10" borderId="85" xfId="28" applyFont="1" applyFill="1" applyBorder="1" applyAlignment="1">
      <alignment horizontal="center" vertical="center"/>
    </xf>
    <xf numFmtId="0" fontId="48" fillId="10" borderId="74" xfId="28" applyFont="1" applyFill="1" applyBorder="1" applyAlignment="1">
      <alignment horizontal="center" vertical="center"/>
    </xf>
    <xf numFmtId="0" fontId="20" fillId="10" borderId="73" xfId="5" applyFont="1" applyFill="1" applyBorder="1" applyAlignment="1">
      <alignment horizontal="center" vertical="center" wrapText="1"/>
    </xf>
    <xf numFmtId="0" fontId="50" fillId="25" borderId="1" xfId="0" applyFont="1" applyFill="1" applyBorder="1" applyAlignment="1">
      <alignment horizontal="center" vertical="center" wrapText="1"/>
    </xf>
    <xf numFmtId="0" fontId="58" fillId="25" borderId="1" xfId="30" applyFont="1" applyFill="1" applyBorder="1" applyAlignment="1">
      <alignment horizontal="center" vertical="center"/>
    </xf>
    <xf numFmtId="0" fontId="54" fillId="25" borderId="18" xfId="0" applyFont="1" applyFill="1" applyBorder="1" applyAlignment="1">
      <alignment horizontal="center" vertical="center" wrapText="1"/>
    </xf>
    <xf numFmtId="0" fontId="50" fillId="32" borderId="1" xfId="0" applyFont="1" applyFill="1" applyBorder="1" applyAlignment="1">
      <alignment horizontal="center" vertical="center" wrapText="1"/>
    </xf>
    <xf numFmtId="0" fontId="20" fillId="25" borderId="88" xfId="5" applyFont="1" applyFill="1" applyBorder="1" applyAlignment="1">
      <alignment horizontal="center" vertical="center"/>
    </xf>
    <xf numFmtId="0" fontId="20" fillId="25" borderId="87" xfId="5" applyFont="1" applyFill="1" applyBorder="1" applyAlignment="1">
      <alignment horizontal="center" vertical="center"/>
    </xf>
    <xf numFmtId="0" fontId="20" fillId="25" borderId="72" xfId="5" applyFont="1" applyFill="1" applyBorder="1" applyAlignment="1">
      <alignment horizontal="center" vertical="center"/>
    </xf>
    <xf numFmtId="0" fontId="20" fillId="25" borderId="1" xfId="5" applyFont="1" applyFill="1" applyBorder="1" applyAlignment="1">
      <alignment horizontal="center" vertical="center"/>
    </xf>
    <xf numFmtId="0" fontId="20" fillId="25" borderId="78" xfId="5" applyFont="1" applyFill="1" applyBorder="1" applyAlignment="1">
      <alignment horizontal="center" vertical="center" wrapText="1"/>
    </xf>
    <xf numFmtId="0" fontId="20" fillId="25" borderId="1" xfId="5" applyFont="1" applyFill="1" applyBorder="1" applyAlignment="1">
      <alignment horizontal="center" vertical="center" wrapText="1"/>
    </xf>
    <xf numFmtId="0" fontId="20" fillId="25" borderId="78" xfId="1" applyFont="1" applyFill="1" applyBorder="1" applyAlignment="1">
      <alignment horizontal="center" vertical="center" wrapText="1"/>
    </xf>
    <xf numFmtId="0" fontId="20" fillId="25" borderId="1" xfId="1" applyFont="1" applyFill="1" applyBorder="1" applyAlignment="1">
      <alignment horizontal="center" vertical="center" wrapText="1"/>
    </xf>
    <xf numFmtId="0" fontId="20" fillId="25" borderId="78" xfId="5" applyFont="1" applyFill="1" applyBorder="1" applyAlignment="1">
      <alignment horizontal="center" vertical="center"/>
    </xf>
    <xf numFmtId="0" fontId="20" fillId="25" borderId="75" xfId="5" applyFont="1" applyFill="1" applyBorder="1" applyAlignment="1">
      <alignment horizontal="center" vertical="center"/>
    </xf>
    <xf numFmtId="0" fontId="20" fillId="25" borderId="1" xfId="1" applyFont="1" applyFill="1" applyBorder="1" applyAlignment="1">
      <alignment horizontal="center" vertical="center"/>
    </xf>
    <xf numFmtId="0" fontId="20" fillId="25" borderId="74" xfId="5" applyFont="1" applyFill="1" applyBorder="1" applyAlignment="1">
      <alignment horizontal="center" vertical="center"/>
    </xf>
    <xf numFmtId="0" fontId="20" fillId="25" borderId="73" xfId="5" applyFont="1" applyFill="1" applyBorder="1" applyAlignment="1">
      <alignment horizontal="center" vertical="center"/>
    </xf>
    <xf numFmtId="0" fontId="20" fillId="25" borderId="76" xfId="5" applyFont="1" applyFill="1" applyBorder="1" applyAlignment="1">
      <alignment horizontal="center" vertical="center"/>
    </xf>
    <xf numFmtId="0" fontId="20" fillId="25" borderId="81" xfId="5" applyFont="1" applyFill="1" applyBorder="1" applyAlignment="1">
      <alignment horizontal="center" vertical="center"/>
    </xf>
    <xf numFmtId="0" fontId="20" fillId="25" borderId="82" xfId="5" applyFont="1" applyFill="1" applyBorder="1" applyAlignment="1">
      <alignment horizontal="center" vertical="center"/>
    </xf>
    <xf numFmtId="0" fontId="20" fillId="25" borderId="83" xfId="5" applyFont="1" applyFill="1" applyBorder="1" applyAlignment="1">
      <alignment horizontal="center" vertical="center"/>
    </xf>
    <xf numFmtId="0" fontId="20" fillId="25" borderId="81" xfId="5" applyFont="1" applyFill="1" applyBorder="1" applyAlignment="1">
      <alignment horizontal="center"/>
    </xf>
    <xf numFmtId="0" fontId="20" fillId="25" borderId="83" xfId="5" applyFont="1" applyFill="1" applyBorder="1" applyAlignment="1">
      <alignment horizontal="center"/>
    </xf>
    <xf numFmtId="0" fontId="47" fillId="25" borderId="76" xfId="6" applyFont="1" applyFill="1" applyBorder="1" applyAlignment="1">
      <alignment horizontal="center" vertical="center"/>
    </xf>
    <xf numFmtId="0" fontId="47" fillId="25" borderId="73" xfId="6" applyFont="1" applyFill="1" applyBorder="1" applyAlignment="1">
      <alignment horizontal="center" vertical="center"/>
    </xf>
    <xf numFmtId="0" fontId="47" fillId="25" borderId="79" xfId="6" applyFont="1" applyFill="1" applyBorder="1" applyAlignment="1">
      <alignment horizontal="center" vertical="center"/>
    </xf>
    <xf numFmtId="0" fontId="20" fillId="25" borderId="1" xfId="2" applyFont="1" applyFill="1" applyBorder="1" applyAlignment="1">
      <alignment horizontal="center" vertical="center"/>
    </xf>
    <xf numFmtId="0" fontId="20" fillId="25" borderId="73" xfId="5" applyFont="1" applyFill="1" applyBorder="1" applyAlignment="1">
      <alignment horizontal="center" vertical="center" wrapText="1"/>
    </xf>
    <xf numFmtId="0" fontId="41" fillId="31" borderId="0" xfId="28" applyFont="1" applyFill="1" applyAlignment="1">
      <alignment wrapText="1"/>
    </xf>
    <xf numFmtId="14" fontId="4" fillId="31" borderId="0" xfId="28" applyNumberFormat="1" applyFill="1"/>
    <xf numFmtId="0" fontId="34" fillId="30" borderId="61" xfId="7" applyFill="1" applyBorder="1" applyAlignment="1">
      <alignment horizontal="center" vertical="center" wrapText="1"/>
    </xf>
    <xf numFmtId="0" fontId="34" fillId="3" borderId="28" xfId="7" applyFill="1" applyBorder="1" applyAlignment="1">
      <alignment horizontal="center" vertical="center" wrapText="1"/>
    </xf>
    <xf numFmtId="0" fontId="34" fillId="3" borderId="62" xfId="7" applyFill="1" applyBorder="1" applyAlignment="1">
      <alignment horizontal="center" vertical="center" wrapText="1"/>
    </xf>
    <xf numFmtId="0" fontId="20" fillId="15" borderId="94" xfId="5" applyFont="1" applyFill="1" applyBorder="1" applyAlignment="1">
      <alignment horizontal="center" vertical="center"/>
    </xf>
    <xf numFmtId="0" fontId="20" fillId="15" borderId="95" xfId="5" applyFont="1" applyFill="1" applyBorder="1" applyAlignment="1">
      <alignment horizontal="center" vertical="center"/>
    </xf>
    <xf numFmtId="0" fontId="20" fillId="15" borderId="49" xfId="28" applyFont="1" applyFill="1" applyBorder="1" applyAlignment="1">
      <alignment horizontal="center" vertical="center" wrapText="1"/>
    </xf>
    <xf numFmtId="0" fontId="20" fillId="15" borderId="54" xfId="28" applyFont="1" applyFill="1" applyBorder="1" applyAlignment="1">
      <alignment horizontal="center" vertical="center" wrapText="1"/>
    </xf>
    <xf numFmtId="0" fontId="20" fillId="15" borderId="15" xfId="28" applyFont="1" applyFill="1" applyBorder="1" applyAlignment="1">
      <alignment horizontal="center" vertical="center" wrapText="1"/>
    </xf>
    <xf numFmtId="0" fontId="20" fillId="15" borderId="13" xfId="5" applyFont="1" applyFill="1" applyBorder="1" applyAlignment="1">
      <alignment horizontal="center" vertical="center" wrapText="1"/>
    </xf>
    <xf numFmtId="0" fontId="20" fillId="15" borderId="13" xfId="5" applyFont="1" applyFill="1" applyBorder="1" applyAlignment="1">
      <alignment horizontal="center" vertical="center"/>
    </xf>
    <xf numFmtId="0" fontId="20" fillId="15" borderId="49" xfId="5" applyFont="1" applyFill="1" applyBorder="1" applyAlignment="1">
      <alignment horizontal="center" vertical="center" wrapText="1"/>
    </xf>
    <xf numFmtId="0" fontId="20" fillId="15" borderId="54" xfId="5" applyFont="1" applyFill="1" applyBorder="1" applyAlignment="1">
      <alignment horizontal="center" vertical="center" wrapText="1"/>
    </xf>
    <xf numFmtId="0" fontId="20" fillId="15" borderId="15" xfId="5" applyFont="1" applyFill="1" applyBorder="1" applyAlignment="1">
      <alignment horizontal="center" vertical="center" wrapText="1"/>
    </xf>
    <xf numFmtId="0" fontId="48" fillId="15" borderId="13" xfId="28" applyFont="1" applyFill="1" applyBorder="1" applyAlignment="1">
      <alignment horizontal="center" vertical="center"/>
    </xf>
    <xf numFmtId="0" fontId="48" fillId="15" borderId="70" xfId="28" applyFont="1" applyFill="1" applyBorder="1" applyAlignment="1">
      <alignment horizontal="center" vertical="center"/>
    </xf>
    <xf numFmtId="0" fontId="48" fillId="15" borderId="45" xfId="28" applyFont="1" applyFill="1" applyBorder="1" applyAlignment="1">
      <alignment horizontal="center" vertical="center"/>
    </xf>
    <xf numFmtId="0" fontId="20" fillId="15" borderId="92" xfId="28" applyFont="1" applyFill="1" applyBorder="1" applyAlignment="1">
      <alignment horizontal="center" vertical="center"/>
    </xf>
    <xf numFmtId="0" fontId="20" fillId="15" borderId="93" xfId="28" applyFont="1" applyFill="1" applyBorder="1" applyAlignment="1">
      <alignment horizontal="center" vertical="center"/>
    </xf>
    <xf numFmtId="0" fontId="20" fillId="15" borderId="15" xfId="5" applyFont="1" applyFill="1" applyBorder="1" applyAlignment="1">
      <alignment horizontal="center" vertical="center"/>
    </xf>
    <xf numFmtId="0" fontId="20" fillId="15" borderId="49" xfId="5" applyFont="1" applyFill="1" applyBorder="1" applyAlignment="1">
      <alignment horizontal="center" vertical="center"/>
    </xf>
    <xf numFmtId="0" fontId="20" fillId="15" borderId="54" xfId="5" applyFont="1" applyFill="1" applyBorder="1" applyAlignment="1">
      <alignment horizontal="center" vertical="center"/>
    </xf>
    <xf numFmtId="165" fontId="20" fillId="15" borderId="53" xfId="5" applyNumberFormat="1" applyFont="1" applyFill="1" applyBorder="1" applyAlignment="1">
      <alignment horizontal="center" vertical="center"/>
    </xf>
    <xf numFmtId="165" fontId="20" fillId="15" borderId="44" xfId="5" applyNumberFormat="1" applyFont="1" applyFill="1" applyBorder="1" applyAlignment="1">
      <alignment horizontal="center" vertical="center"/>
    </xf>
    <xf numFmtId="0" fontId="0" fillId="0" borderId="12" xfId="0" applyBorder="1" applyAlignment="1">
      <alignment horizontal="center"/>
    </xf>
    <xf numFmtId="0" fontId="0" fillId="0" borderId="57" xfId="0" applyBorder="1" applyAlignment="1">
      <alignment horizontal="center"/>
    </xf>
    <xf numFmtId="0" fontId="0" fillId="0" borderId="0" xfId="0" applyBorder="1" applyAlignment="1">
      <alignment horizontal="center"/>
    </xf>
    <xf numFmtId="0" fontId="0" fillId="21" borderId="37" xfId="0" applyFill="1" applyBorder="1" applyAlignment="1">
      <alignment horizontal="left" vertical="top" wrapText="1"/>
    </xf>
    <xf numFmtId="0" fontId="0" fillId="24" borderId="19" xfId="0" applyFill="1" applyBorder="1" applyAlignment="1">
      <alignment horizontal="left" vertical="top" wrapText="1"/>
    </xf>
    <xf numFmtId="0" fontId="0" fillId="21" borderId="30" xfId="0" applyFill="1" applyBorder="1" applyAlignment="1">
      <alignment horizontal="center" vertical="center"/>
    </xf>
    <xf numFmtId="0" fontId="0" fillId="24" borderId="34" xfId="0" applyFill="1" applyBorder="1" applyAlignment="1">
      <alignment horizontal="center" vertical="center"/>
    </xf>
    <xf numFmtId="0" fontId="0" fillId="21" borderId="33" xfId="0" applyFill="1" applyBorder="1" applyAlignment="1">
      <alignment horizontal="center" vertical="center"/>
    </xf>
    <xf numFmtId="0" fontId="0" fillId="21" borderId="32" xfId="0" applyFill="1" applyBorder="1" applyAlignment="1">
      <alignment horizontal="center" vertical="center"/>
    </xf>
    <xf numFmtId="0" fontId="0" fillId="21" borderId="58" xfId="0" applyFill="1" applyBorder="1" applyAlignment="1">
      <alignment horizontal="center" vertical="center"/>
    </xf>
    <xf numFmtId="0" fontId="0" fillId="21" borderId="19" xfId="0" applyFill="1" applyBorder="1" applyAlignment="1">
      <alignment horizontal="center" vertical="center"/>
    </xf>
    <xf numFmtId="0" fontId="0" fillId="21" borderId="34" xfId="0" applyFill="1" applyBorder="1" applyAlignment="1">
      <alignment horizontal="center" vertical="center"/>
    </xf>
    <xf numFmtId="0" fontId="19" fillId="21" borderId="30" xfId="0" applyFont="1" applyFill="1" applyBorder="1" applyAlignment="1">
      <alignment horizontal="center" vertical="center" wrapText="1"/>
    </xf>
    <xf numFmtId="0" fontId="19" fillId="21" borderId="33" xfId="0" applyFont="1" applyFill="1" applyBorder="1" applyAlignment="1">
      <alignment horizontal="center" vertical="center" wrapText="1"/>
    </xf>
    <xf numFmtId="0" fontId="19" fillId="22" borderId="33" xfId="0" applyFont="1" applyFill="1" applyBorder="1" applyAlignment="1">
      <alignment horizontal="center" vertical="center" wrapText="1"/>
    </xf>
    <xf numFmtId="0" fontId="19" fillId="21" borderId="30" xfId="0" applyFont="1" applyFill="1" applyBorder="1" applyAlignment="1">
      <alignment vertical="top" wrapText="1"/>
    </xf>
    <xf numFmtId="0" fontId="19" fillId="21" borderId="33" xfId="0" applyFont="1" applyFill="1" applyBorder="1" applyAlignment="1">
      <alignment vertical="top" wrapText="1"/>
    </xf>
    <xf numFmtId="0" fontId="19" fillId="22" borderId="33" xfId="0" applyFont="1" applyFill="1" applyBorder="1" applyAlignment="1">
      <alignment vertical="top" wrapText="1"/>
    </xf>
    <xf numFmtId="0" fontId="19" fillId="21" borderId="34" xfId="0" applyFont="1" applyFill="1" applyBorder="1" applyAlignment="1">
      <alignment vertical="top" wrapText="1"/>
    </xf>
    <xf numFmtId="0" fontId="19" fillId="21" borderId="34" xfId="0" applyFont="1" applyFill="1" applyBorder="1" applyAlignment="1">
      <alignment horizontal="center" vertical="center" wrapText="1"/>
    </xf>
    <xf numFmtId="0" fontId="20" fillId="0" borderId="20" xfId="0" applyFont="1" applyBorder="1" applyAlignment="1">
      <alignment horizontal="center"/>
    </xf>
    <xf numFmtId="0" fontId="0" fillId="0" borderId="20" xfId="0" applyBorder="1" applyAlignment="1">
      <alignment horizontal="center"/>
    </xf>
    <xf numFmtId="0" fontId="20" fillId="0" borderId="25" xfId="0" applyFont="1" applyBorder="1" applyAlignment="1">
      <alignment horizontal="center"/>
    </xf>
    <xf numFmtId="0" fontId="0" fillId="0" borderId="29" xfId="0" applyBorder="1" applyAlignment="1">
      <alignment horizontal="center"/>
    </xf>
    <xf numFmtId="0" fontId="0" fillId="0" borderId="16" xfId="0" applyBorder="1" applyAlignment="1">
      <alignment horizontal="center"/>
    </xf>
    <xf numFmtId="0" fontId="20" fillId="0" borderId="37" xfId="0" applyFont="1" applyBorder="1" applyAlignment="1">
      <alignment horizontal="center" wrapText="1"/>
    </xf>
    <xf numFmtId="0" fontId="20" fillId="0" borderId="28" xfId="0" applyFont="1"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xf numFmtId="0" fontId="20" fillId="0" borderId="37" xfId="0" applyFont="1" applyBorder="1" applyAlignment="1">
      <alignment horizontal="center"/>
    </xf>
    <xf numFmtId="0" fontId="20" fillId="0" borderId="32" xfId="0" applyFont="1" applyBorder="1" applyAlignment="1">
      <alignment horizontal="center"/>
    </xf>
    <xf numFmtId="0" fontId="20" fillId="0" borderId="19" xfId="0" applyFont="1" applyBorder="1" applyAlignment="1">
      <alignment horizontal="center"/>
    </xf>
    <xf numFmtId="0" fontId="20" fillId="0" borderId="18" xfId="0" applyFont="1" applyBorder="1" applyAlignment="1">
      <alignment horizontal="center"/>
    </xf>
    <xf numFmtId="0" fontId="18" fillId="0" borderId="19" xfId="0" applyFont="1" applyBorder="1" applyAlignment="1">
      <alignment horizontal="center" vertical="top" wrapText="1"/>
    </xf>
    <xf numFmtId="0" fontId="18" fillId="0" borderId="18" xfId="0" applyFont="1" applyBorder="1" applyAlignment="1">
      <alignment horizontal="center" vertical="top" wrapText="1"/>
    </xf>
    <xf numFmtId="0" fontId="21" fillId="21" borderId="1" xfId="0" applyFont="1" applyFill="1" applyBorder="1" applyAlignment="1">
      <alignment horizontal="center" vertical="center" wrapText="1"/>
    </xf>
    <xf numFmtId="0" fontId="20" fillId="0" borderId="39" xfId="0" applyFont="1" applyBorder="1" applyAlignment="1">
      <alignment horizontal="center"/>
    </xf>
    <xf numFmtId="0" fontId="20" fillId="21" borderId="39" xfId="0" applyFont="1" applyFill="1" applyBorder="1" applyAlignment="1">
      <alignment horizontal="center"/>
    </xf>
    <xf numFmtId="0" fontId="20" fillId="0" borderId="2" xfId="0" applyFont="1" applyBorder="1" applyAlignment="1">
      <alignment horizontal="center"/>
    </xf>
    <xf numFmtId="0" fontId="20" fillId="0" borderId="6" xfId="0" applyFont="1" applyBorder="1" applyAlignment="1">
      <alignment horizontal="center"/>
    </xf>
    <xf numFmtId="0" fontId="20" fillId="0" borderId="7" xfId="0" applyFont="1" applyBorder="1" applyAlignment="1">
      <alignment horizontal="center"/>
    </xf>
    <xf numFmtId="0" fontId="16" fillId="0" borderId="47" xfId="0" applyFont="1" applyFill="1" applyBorder="1" applyAlignment="1">
      <alignment horizontal="center"/>
    </xf>
    <xf numFmtId="0" fontId="16" fillId="0" borderId="6" xfId="0" applyFont="1" applyFill="1" applyBorder="1" applyAlignment="1">
      <alignment horizontal="center"/>
    </xf>
    <xf numFmtId="0" fontId="16" fillId="0" borderId="7" xfId="0" applyFont="1" applyFill="1" applyBorder="1" applyAlignment="1">
      <alignment horizontal="center"/>
    </xf>
    <xf numFmtId="0" fontId="20" fillId="0" borderId="58" xfId="0" applyFont="1" applyFill="1" applyBorder="1" applyAlignment="1">
      <alignment horizontal="center" wrapText="1"/>
    </xf>
    <xf numFmtId="0" fontId="20" fillId="0" borderId="0" xfId="0" applyFont="1" applyFill="1" applyBorder="1" applyAlignment="1">
      <alignment horizontal="center" wrapText="1"/>
    </xf>
    <xf numFmtId="0" fontId="16" fillId="0" borderId="35" xfId="0" applyFont="1" applyFill="1" applyBorder="1" applyAlignment="1">
      <alignment horizontal="center"/>
    </xf>
    <xf numFmtId="0" fontId="16" fillId="0" borderId="57" xfId="0" applyFont="1" applyFill="1" applyBorder="1" applyAlignment="1">
      <alignment horizontal="center"/>
    </xf>
    <xf numFmtId="0" fontId="16" fillId="0" borderId="55" xfId="0" applyFont="1" applyFill="1" applyBorder="1" applyAlignment="1">
      <alignment horizontal="center"/>
    </xf>
  </cellXfs>
  <cellStyles count="39">
    <cellStyle name="Bad" xfId="1" builtinId="27"/>
    <cellStyle name="Good" xfId="2" builtinId="26"/>
    <cellStyle name="Hyperlink" xfId="7" builtinId="8"/>
    <cellStyle name="Input" xfId="3" builtinId="20"/>
    <cellStyle name="Neutral" xfId="4" builtinId="28"/>
    <cellStyle name="Normal" xfId="0" builtinId="0"/>
    <cellStyle name="Normal 2" xfId="5"/>
    <cellStyle name="Normal 3" xfId="8"/>
    <cellStyle name="Normal 3 2" xfId="10"/>
    <cellStyle name="Normal 3 2 2" xfId="15"/>
    <cellStyle name="Normal 3 2 3" xfId="18"/>
    <cellStyle name="Normal 3 2 3 2" xfId="34"/>
    <cellStyle name="Normal 3 2 4" xfId="21"/>
    <cellStyle name="Normal 3 2 5" xfId="23"/>
    <cellStyle name="Normal 3 2 5 2" xfId="31"/>
    <cellStyle name="Normal 3 2 6" xfId="26"/>
    <cellStyle name="Normal 3 2 6 2" xfId="37"/>
    <cellStyle name="Normal 3 3" xfId="12"/>
    <cellStyle name="Normal 3 4" xfId="16"/>
    <cellStyle name="Normal 3 4 2" xfId="33"/>
    <cellStyle name="Normal 3 5" xfId="19"/>
    <cellStyle name="Normal 3 6" xfId="22"/>
    <cellStyle name="Normal 3 6 2" xfId="30"/>
    <cellStyle name="Normal 3 7" xfId="25"/>
    <cellStyle name="Normal 3 7 2" xfId="36"/>
    <cellStyle name="Normal 3 8" xfId="28"/>
    <cellStyle name="Normal 4" xfId="9"/>
    <cellStyle name="Normal 4 2" xfId="13"/>
    <cellStyle name="Normal 4 3" xfId="17"/>
    <cellStyle name="Normal 4 3 2" xfId="35"/>
    <cellStyle name="Normal 4 4" xfId="20"/>
    <cellStyle name="Normal 4 5" xfId="24"/>
    <cellStyle name="Normal 4 5 2" xfId="32"/>
    <cellStyle name="Normal 4 6" xfId="27"/>
    <cellStyle name="Normal 4 6 2" xfId="38"/>
    <cellStyle name="Normal 4 7" xfId="29"/>
    <cellStyle name="Normal_D9854 Stab Test Results R3.75" xfId="6"/>
    <cellStyle name="Percent 2" xfId="11"/>
    <cellStyle name="Percent 3" xfId="14"/>
  </cellStyles>
  <dxfs count="0"/>
  <tableStyles count="0" defaultTableStyle="TableStyleMedium9" defaultPivotStyle="PivotStyleLight16"/>
  <colors>
    <mruColors>
      <color rgb="FFFF99CC"/>
      <color rgb="FFC6EFCE"/>
      <color rgb="FF800080"/>
      <color rgb="FFA6A6A6"/>
      <color rgb="FF99CCFF"/>
      <color rgb="FFFFCC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usernames" Target="revisions/userNam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revisionHeaders" Target="revisions/revisionHeader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99060</xdr:colOff>
          <xdr:row>0</xdr:row>
          <xdr:rowOff>60960</xdr:rowOff>
        </xdr:from>
        <xdr:to>
          <xdr:col>2</xdr:col>
          <xdr:colOff>220980</xdr:colOff>
          <xdr:row>1</xdr:row>
          <xdr:rowOff>68580</xdr:rowOff>
        </xdr:to>
        <xdr:sp macro="" textlink="">
          <xdr:nvSpPr>
            <xdr:cNvPr id="1026" name="CommandButton1"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403860</xdr:colOff>
          <xdr:row>9</xdr:row>
          <xdr:rowOff>22860</xdr:rowOff>
        </xdr:from>
        <xdr:to>
          <xdr:col>8</xdr:col>
          <xdr:colOff>2964180</xdr:colOff>
          <xdr:row>10</xdr:row>
          <xdr:rowOff>121920</xdr:rowOff>
        </xdr:to>
        <xdr:sp macro="" textlink="">
          <xdr:nvSpPr>
            <xdr:cNvPr id="1027" name="CommandButton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11</xdr:row>
          <xdr:rowOff>22860</xdr:rowOff>
        </xdr:from>
        <xdr:to>
          <xdr:col>8</xdr:col>
          <xdr:colOff>2788920</xdr:colOff>
          <xdr:row>12</xdr:row>
          <xdr:rowOff>190500</xdr:rowOff>
        </xdr:to>
        <xdr:sp macro="" textlink="">
          <xdr:nvSpPr>
            <xdr:cNvPr id="1028" name="CommandButton3"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114300</xdr:colOff>
          <xdr:row>0</xdr:row>
          <xdr:rowOff>76200</xdr:rowOff>
        </xdr:from>
        <xdr:to>
          <xdr:col>20</xdr:col>
          <xdr:colOff>0</xdr:colOff>
          <xdr:row>2</xdr:row>
          <xdr:rowOff>0</xdr:rowOff>
        </xdr:to>
        <xdr:sp macro="" textlink="">
          <xdr:nvSpPr>
            <xdr:cNvPr id="7169" name="CommandButton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297180</xdr:colOff>
          <xdr:row>2</xdr:row>
          <xdr:rowOff>0</xdr:rowOff>
        </xdr:from>
        <xdr:to>
          <xdr:col>23</xdr:col>
          <xdr:colOff>198120</xdr:colOff>
          <xdr:row>4</xdr:row>
          <xdr:rowOff>152400</xdr:rowOff>
        </xdr:to>
        <xdr:sp macro="" textlink="">
          <xdr:nvSpPr>
            <xdr:cNvPr id="112641" name="CommandButton1" hidden="1">
              <a:extLst>
                <a:ext uri="{63B3BB69-23CF-44E3-9099-C40C66FF867C}">
                  <a14:compatExt spid="_x0000_s11264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xdr:colOff>
          <xdr:row>1</xdr:row>
          <xdr:rowOff>60960</xdr:rowOff>
        </xdr:from>
        <xdr:to>
          <xdr:col>10</xdr:col>
          <xdr:colOff>1203960</xdr:colOff>
          <xdr:row>4</xdr:row>
          <xdr:rowOff>190500</xdr:rowOff>
        </xdr:to>
        <xdr:sp macro="" textlink="">
          <xdr:nvSpPr>
            <xdr:cNvPr id="11265" name="CommandButton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1</xdr:row>
          <xdr:rowOff>121920</xdr:rowOff>
        </xdr:from>
        <xdr:to>
          <xdr:col>14</xdr:col>
          <xdr:colOff>327660</xdr:colOff>
          <xdr:row>5</xdr:row>
          <xdr:rowOff>76200</xdr:rowOff>
        </xdr:to>
        <xdr:sp macro="" textlink="">
          <xdr:nvSpPr>
            <xdr:cNvPr id="12289" name="CommandButton1"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175260</xdr:colOff>
          <xdr:row>1</xdr:row>
          <xdr:rowOff>45720</xdr:rowOff>
        </xdr:from>
        <xdr:to>
          <xdr:col>10</xdr:col>
          <xdr:colOff>30480</xdr:colOff>
          <xdr:row>5</xdr:row>
          <xdr:rowOff>106680</xdr:rowOff>
        </xdr:to>
        <xdr:sp macro="" textlink="">
          <xdr:nvSpPr>
            <xdr:cNvPr id="13313" name="CommandButton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1</xdr:row>
          <xdr:rowOff>106680</xdr:rowOff>
        </xdr:from>
        <xdr:to>
          <xdr:col>9</xdr:col>
          <xdr:colOff>533400</xdr:colOff>
          <xdr:row>5</xdr:row>
          <xdr:rowOff>99060</xdr:rowOff>
        </xdr:to>
        <xdr:sp macro="" textlink="">
          <xdr:nvSpPr>
            <xdr:cNvPr id="14337" name="CommandButton1" hidden="1">
              <a:extLst>
                <a:ext uri="{63B3BB69-23CF-44E3-9099-C40C66FF867C}">
                  <a14:compatExt spid="_x0000_s14337"/>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480060</xdr:colOff>
          <xdr:row>1</xdr:row>
          <xdr:rowOff>22860</xdr:rowOff>
        </xdr:from>
        <xdr:to>
          <xdr:col>9</xdr:col>
          <xdr:colOff>236220</xdr:colOff>
          <xdr:row>4</xdr:row>
          <xdr:rowOff>68580</xdr:rowOff>
        </xdr:to>
        <xdr:sp macro="" textlink="">
          <xdr:nvSpPr>
            <xdr:cNvPr id="15361" name="CommandButton1" hidden="1">
              <a:extLst>
                <a:ext uri="{63B3BB69-23CF-44E3-9099-C40C66FF867C}">
                  <a14:compatExt spid="_x0000_s15361"/>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xdr:colOff>
          <xdr:row>2</xdr:row>
          <xdr:rowOff>60960</xdr:rowOff>
        </xdr:from>
        <xdr:to>
          <xdr:col>11</xdr:col>
          <xdr:colOff>0</xdr:colOff>
          <xdr:row>6</xdr:row>
          <xdr:rowOff>0</xdr:rowOff>
        </xdr:to>
        <xdr:sp macro="" textlink="">
          <xdr:nvSpPr>
            <xdr:cNvPr id="16385" name="CommandButton1" hidden="1">
              <a:extLst>
                <a:ext uri="{63B3BB69-23CF-44E3-9099-C40C66FF867C}">
                  <a14:compatExt spid="_x0000_s16385"/>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121920</xdr:colOff>
          <xdr:row>2</xdr:row>
          <xdr:rowOff>22860</xdr:rowOff>
        </xdr:from>
        <xdr:to>
          <xdr:col>10</xdr:col>
          <xdr:colOff>106680</xdr:colOff>
          <xdr:row>6</xdr:row>
          <xdr:rowOff>83820</xdr:rowOff>
        </xdr:to>
        <xdr:sp macro="" textlink="">
          <xdr:nvSpPr>
            <xdr:cNvPr id="17409" name="CommandButton1" hidden="1">
              <a:extLst>
                <a:ext uri="{63B3BB69-23CF-44E3-9099-C40C66FF867C}">
                  <a14:compatExt spid="_x0000_s17409"/>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480060</xdr:colOff>
          <xdr:row>1</xdr:row>
          <xdr:rowOff>114300</xdr:rowOff>
        </xdr:from>
        <xdr:to>
          <xdr:col>11</xdr:col>
          <xdr:colOff>525780</xdr:colOff>
          <xdr:row>5</xdr:row>
          <xdr:rowOff>68580</xdr:rowOff>
        </xdr:to>
        <xdr:sp macro="" textlink="">
          <xdr:nvSpPr>
            <xdr:cNvPr id="19457" name="CommandButton1"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617220</xdr:colOff>
          <xdr:row>1</xdr:row>
          <xdr:rowOff>106680</xdr:rowOff>
        </xdr:from>
        <xdr:to>
          <xdr:col>12</xdr:col>
          <xdr:colOff>83820</xdr:colOff>
          <xdr:row>6</xdr:row>
          <xdr:rowOff>236220</xdr:rowOff>
        </xdr:to>
        <xdr:sp macro="" textlink="">
          <xdr:nvSpPr>
            <xdr:cNvPr id="21505" name="CommandButton1" hidden="1">
              <a:extLst>
                <a:ext uri="{63B3BB69-23CF-44E3-9099-C40C66FF867C}">
                  <a14:compatExt spid="_x0000_s21505"/>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1242060</xdr:colOff>
          <xdr:row>2</xdr:row>
          <xdr:rowOff>68580</xdr:rowOff>
        </xdr:from>
        <xdr:to>
          <xdr:col>6</xdr:col>
          <xdr:colOff>236220</xdr:colOff>
          <xdr:row>5</xdr:row>
          <xdr:rowOff>144780</xdr:rowOff>
        </xdr:to>
        <xdr:sp macro="" textlink="">
          <xdr:nvSpPr>
            <xdr:cNvPr id="9217" name="CommandButton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wsDr>
</file>

<file path=xl/revisions/_rels/revisionHeaders.xml.rels><?xml version="1.0" encoding="UTF-8" standalone="yes"?>
<Relationships xmlns="http://schemas.openxmlformats.org/package/2006/relationships"><Relationship Id="rId294" Type="http://schemas.openxmlformats.org/officeDocument/2006/relationships/revisionLog" Target="revisionLog17.xml"/><Relationship Id="rId281" Type="http://schemas.openxmlformats.org/officeDocument/2006/relationships/revisionLog" Target="revisionLog4.xml"/><Relationship Id="rId286" Type="http://schemas.openxmlformats.org/officeDocument/2006/relationships/revisionLog" Target="revisionLog9.xml"/><Relationship Id="rId299" Type="http://schemas.openxmlformats.org/officeDocument/2006/relationships/revisionLog" Target="revisionLog22.xml"/><Relationship Id="rId303" Type="http://schemas.openxmlformats.org/officeDocument/2006/relationships/revisionLog" Target="revisionLog26.xml"/><Relationship Id="rId308" Type="http://schemas.openxmlformats.org/officeDocument/2006/relationships/revisionLog" Target="revisionLog31.xml"/><Relationship Id="rId316" Type="http://schemas.openxmlformats.org/officeDocument/2006/relationships/revisionLog" Target="revisionLog39.xml"/><Relationship Id="rId329" Type="http://schemas.openxmlformats.org/officeDocument/2006/relationships/revisionLog" Target="revisionLog53.xml"/><Relationship Id="rId337" Type="http://schemas.openxmlformats.org/officeDocument/2006/relationships/revisionLog" Target="revisionLog61.xml"/><Relationship Id="rId311" Type="http://schemas.openxmlformats.org/officeDocument/2006/relationships/revisionLog" Target="revisionLog34.xml"/><Relationship Id="rId324" Type="http://schemas.openxmlformats.org/officeDocument/2006/relationships/revisionLog" Target="revisionLog48.xml"/><Relationship Id="rId332" Type="http://schemas.openxmlformats.org/officeDocument/2006/relationships/revisionLog" Target="revisionLog56.xml"/><Relationship Id="rId340" Type="http://schemas.openxmlformats.org/officeDocument/2006/relationships/revisionLog" Target="revisionLog64.xml"/><Relationship Id="rId345" Type="http://schemas.openxmlformats.org/officeDocument/2006/relationships/revisionLog" Target="revisionLog69.xml"/><Relationship Id="rId353" Type="http://schemas.openxmlformats.org/officeDocument/2006/relationships/revisionLog" Target="revisionLog77.xml"/><Relationship Id="rId358" Type="http://schemas.openxmlformats.org/officeDocument/2006/relationships/revisionLog" Target="revisionLog82.xml"/><Relationship Id="rId361" Type="http://schemas.openxmlformats.org/officeDocument/2006/relationships/revisionLog" Target="revisionLog85.xml"/><Relationship Id="rId366" Type="http://schemas.openxmlformats.org/officeDocument/2006/relationships/revisionLog" Target="revisionLog90.xml"/><Relationship Id="rId297" Type="http://schemas.openxmlformats.org/officeDocument/2006/relationships/revisionLog" Target="revisionLog20.xml"/><Relationship Id="rId289" Type="http://schemas.openxmlformats.org/officeDocument/2006/relationships/revisionLog" Target="revisionLog12.xml"/><Relationship Id="rId292" Type="http://schemas.openxmlformats.org/officeDocument/2006/relationships/revisionLog" Target="revisionLog15.xml"/><Relationship Id="rId284" Type="http://schemas.openxmlformats.org/officeDocument/2006/relationships/revisionLog" Target="revisionLog7.xml"/><Relationship Id="rId306" Type="http://schemas.openxmlformats.org/officeDocument/2006/relationships/revisionLog" Target="revisionLog29.xml"/><Relationship Id="rId319" Type="http://schemas.openxmlformats.org/officeDocument/2006/relationships/revisionLog" Target="revisionLog42.xml"/><Relationship Id="rId301" Type="http://schemas.openxmlformats.org/officeDocument/2006/relationships/revisionLog" Target="revisionLog24.xml"/><Relationship Id="rId314" Type="http://schemas.openxmlformats.org/officeDocument/2006/relationships/revisionLog" Target="revisionLog37.xml"/><Relationship Id="rId322" Type="http://schemas.openxmlformats.org/officeDocument/2006/relationships/revisionLog" Target="revisionLog46.xml"/><Relationship Id="rId327" Type="http://schemas.openxmlformats.org/officeDocument/2006/relationships/revisionLog" Target="revisionLog51.xml"/><Relationship Id="rId330" Type="http://schemas.openxmlformats.org/officeDocument/2006/relationships/revisionLog" Target="revisionLog54.xml"/><Relationship Id="rId335" Type="http://schemas.openxmlformats.org/officeDocument/2006/relationships/revisionLog" Target="revisionLog59.xml"/><Relationship Id="rId343" Type="http://schemas.openxmlformats.org/officeDocument/2006/relationships/revisionLog" Target="revisionLog67.xml"/><Relationship Id="rId348" Type="http://schemas.openxmlformats.org/officeDocument/2006/relationships/revisionLog" Target="revisionLog72.xml"/><Relationship Id="rId356" Type="http://schemas.openxmlformats.org/officeDocument/2006/relationships/revisionLog" Target="revisionLog80.xml"/><Relationship Id="rId364" Type="http://schemas.openxmlformats.org/officeDocument/2006/relationships/revisionLog" Target="revisionLog88.xml"/><Relationship Id="rId369" Type="http://schemas.openxmlformats.org/officeDocument/2006/relationships/revisionLog" Target="revisionLog93.xml"/><Relationship Id="rId351" Type="http://schemas.openxmlformats.org/officeDocument/2006/relationships/revisionLog" Target="revisionLog75.xml"/><Relationship Id="rId295" Type="http://schemas.openxmlformats.org/officeDocument/2006/relationships/revisionLog" Target="revisionLog18.xml"/><Relationship Id="rId287" Type="http://schemas.openxmlformats.org/officeDocument/2006/relationships/revisionLog" Target="revisionLog10.xml"/><Relationship Id="rId279" Type="http://schemas.openxmlformats.org/officeDocument/2006/relationships/revisionLog" Target="revisionLog2.xml"/><Relationship Id="rId309" Type="http://schemas.openxmlformats.org/officeDocument/2006/relationships/revisionLog" Target="revisionLog32.xml"/><Relationship Id="rId282" Type="http://schemas.openxmlformats.org/officeDocument/2006/relationships/revisionLog" Target="revisionLog5.xml"/><Relationship Id="rId290" Type="http://schemas.openxmlformats.org/officeDocument/2006/relationships/revisionLog" Target="revisionLog13.xml"/><Relationship Id="rId304" Type="http://schemas.openxmlformats.org/officeDocument/2006/relationships/revisionLog" Target="revisionLog27.xml"/><Relationship Id="rId312" Type="http://schemas.openxmlformats.org/officeDocument/2006/relationships/revisionLog" Target="revisionLog35.xml"/><Relationship Id="rId317" Type="http://schemas.openxmlformats.org/officeDocument/2006/relationships/revisionLog" Target="revisionLog40.xml"/><Relationship Id="rId320" Type="http://schemas.openxmlformats.org/officeDocument/2006/relationships/revisionLog" Target="revisionLog43.xml"/><Relationship Id="rId325" Type="http://schemas.openxmlformats.org/officeDocument/2006/relationships/revisionLog" Target="revisionLog49.xml"/><Relationship Id="rId333" Type="http://schemas.openxmlformats.org/officeDocument/2006/relationships/revisionLog" Target="revisionLog57.xml"/><Relationship Id="rId338" Type="http://schemas.openxmlformats.org/officeDocument/2006/relationships/revisionLog" Target="revisionLog62.xml"/><Relationship Id="rId346" Type="http://schemas.openxmlformats.org/officeDocument/2006/relationships/revisionLog" Target="revisionLog70.xml"/><Relationship Id="rId354" Type="http://schemas.openxmlformats.org/officeDocument/2006/relationships/revisionLog" Target="revisionLog78.xml"/><Relationship Id="rId359" Type="http://schemas.openxmlformats.org/officeDocument/2006/relationships/revisionLog" Target="revisionLog83.xml"/><Relationship Id="rId367" Type="http://schemas.openxmlformats.org/officeDocument/2006/relationships/revisionLog" Target="revisionLog91.xml"/><Relationship Id="rId341" Type="http://schemas.openxmlformats.org/officeDocument/2006/relationships/revisionLog" Target="revisionLog65.xml"/><Relationship Id="rId362" Type="http://schemas.openxmlformats.org/officeDocument/2006/relationships/revisionLog" Target="revisionLog86.xml"/><Relationship Id="rId277" Type="http://schemas.openxmlformats.org/officeDocument/2006/relationships/revisionLog" Target="revisionLog44.xml"/><Relationship Id="rId285" Type="http://schemas.openxmlformats.org/officeDocument/2006/relationships/revisionLog" Target="revisionLog8.xml"/><Relationship Id="rId298" Type="http://schemas.openxmlformats.org/officeDocument/2006/relationships/revisionLog" Target="revisionLog21.xml"/><Relationship Id="rId280" Type="http://schemas.openxmlformats.org/officeDocument/2006/relationships/revisionLog" Target="revisionLog3.xml"/><Relationship Id="rId293" Type="http://schemas.openxmlformats.org/officeDocument/2006/relationships/revisionLog" Target="revisionLog16.xml"/><Relationship Id="rId302" Type="http://schemas.openxmlformats.org/officeDocument/2006/relationships/revisionLog" Target="revisionLog25.xml"/><Relationship Id="rId307" Type="http://schemas.openxmlformats.org/officeDocument/2006/relationships/revisionLog" Target="revisionLog30.xml"/><Relationship Id="rId310" Type="http://schemas.openxmlformats.org/officeDocument/2006/relationships/revisionLog" Target="revisionLog33.xml"/><Relationship Id="rId315" Type="http://schemas.openxmlformats.org/officeDocument/2006/relationships/revisionLog" Target="revisionLog38.xml"/><Relationship Id="rId323" Type="http://schemas.openxmlformats.org/officeDocument/2006/relationships/revisionLog" Target="revisionLog47.xml"/><Relationship Id="rId328" Type="http://schemas.openxmlformats.org/officeDocument/2006/relationships/revisionLog" Target="revisionLog52.xml"/><Relationship Id="rId336" Type="http://schemas.openxmlformats.org/officeDocument/2006/relationships/revisionLog" Target="revisionLog60.xml"/><Relationship Id="rId344" Type="http://schemas.openxmlformats.org/officeDocument/2006/relationships/revisionLog" Target="revisionLog68.xml"/><Relationship Id="rId349" Type="http://schemas.openxmlformats.org/officeDocument/2006/relationships/revisionLog" Target="revisionLog73.xml"/><Relationship Id="rId357" Type="http://schemas.openxmlformats.org/officeDocument/2006/relationships/revisionLog" Target="revisionLog81.xml"/><Relationship Id="rId331" Type="http://schemas.openxmlformats.org/officeDocument/2006/relationships/revisionLog" Target="revisionLog55.xml"/><Relationship Id="rId352" Type="http://schemas.openxmlformats.org/officeDocument/2006/relationships/revisionLog" Target="revisionLog76.xml"/><Relationship Id="rId360" Type="http://schemas.openxmlformats.org/officeDocument/2006/relationships/revisionLog" Target="revisionLog84.xml"/><Relationship Id="rId365" Type="http://schemas.openxmlformats.org/officeDocument/2006/relationships/revisionLog" Target="revisionLog89.xml"/><Relationship Id="rId288" Type="http://schemas.openxmlformats.org/officeDocument/2006/relationships/revisionLog" Target="revisionLog11.xml"/><Relationship Id="rId296" Type="http://schemas.openxmlformats.org/officeDocument/2006/relationships/revisionLog" Target="revisionLog19.xml"/><Relationship Id="rId283" Type="http://schemas.openxmlformats.org/officeDocument/2006/relationships/revisionLog" Target="revisionLog6.xml"/><Relationship Id="rId291" Type="http://schemas.openxmlformats.org/officeDocument/2006/relationships/revisionLog" Target="revisionLog14.xml"/><Relationship Id="rId300" Type="http://schemas.openxmlformats.org/officeDocument/2006/relationships/revisionLog" Target="revisionLog23.xml"/><Relationship Id="rId305" Type="http://schemas.openxmlformats.org/officeDocument/2006/relationships/revisionLog" Target="revisionLog28.xml"/><Relationship Id="rId313" Type="http://schemas.openxmlformats.org/officeDocument/2006/relationships/revisionLog" Target="revisionLog36.xml"/><Relationship Id="rId318" Type="http://schemas.openxmlformats.org/officeDocument/2006/relationships/revisionLog" Target="revisionLog41.xml"/><Relationship Id="rId326" Type="http://schemas.openxmlformats.org/officeDocument/2006/relationships/revisionLog" Target="revisionLog50.xml"/><Relationship Id="rId339" Type="http://schemas.openxmlformats.org/officeDocument/2006/relationships/revisionLog" Target="revisionLog63.xml"/><Relationship Id="rId347" Type="http://schemas.openxmlformats.org/officeDocument/2006/relationships/revisionLog" Target="revisionLog71.xml"/><Relationship Id="rId321" Type="http://schemas.openxmlformats.org/officeDocument/2006/relationships/revisionLog" Target="revisionLog45.xml"/><Relationship Id="rId334" Type="http://schemas.openxmlformats.org/officeDocument/2006/relationships/revisionLog" Target="revisionLog58.xml"/><Relationship Id="rId342" Type="http://schemas.openxmlformats.org/officeDocument/2006/relationships/revisionLog" Target="revisionLog66.xml"/><Relationship Id="rId350" Type="http://schemas.openxmlformats.org/officeDocument/2006/relationships/revisionLog" Target="revisionLog74.xml"/><Relationship Id="rId355" Type="http://schemas.openxmlformats.org/officeDocument/2006/relationships/revisionLog" Target="revisionLog79.xml"/><Relationship Id="rId363" Type="http://schemas.openxmlformats.org/officeDocument/2006/relationships/revisionLog" Target="revisionLog87.xml"/><Relationship Id="rId368" Type="http://schemas.openxmlformats.org/officeDocument/2006/relationships/revisionLog" Target="revisionLog92.xml"/><Relationship Id="rId278" Type="http://schemas.openxmlformats.org/officeDocument/2006/relationships/revisionLog" Target="revisionLog1.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F38C543F-FC05-4A36-A71C-38F1F4B2CBA6}" diskRevisions="1" revisionId="10397" version="95">
  <header guid="{6133950C-AD93-4F66-94DA-17EB56166851}" dateTime="2014-02-17T15:09:28" maxSheetId="15" userName="algodin" r:id="rId277" minRId="5502" maxRId="7030">
    <sheetIdMap count="14">
      <sheetId val="1"/>
      <sheetId val="2"/>
      <sheetId val="3"/>
      <sheetId val="4"/>
      <sheetId val="5"/>
      <sheetId val="6"/>
      <sheetId val="7"/>
      <sheetId val="8"/>
      <sheetId val="9"/>
      <sheetId val="10"/>
      <sheetId val="11"/>
      <sheetId val="12"/>
      <sheetId val="13"/>
      <sheetId val="14"/>
    </sheetIdMap>
  </header>
  <header guid="{1EB4659E-0DD5-4B1B-B073-C5CB853951E2}" dateTime="2014-02-21T15:50:50" maxSheetId="15" userName="Slava Abramov" r:id="rId278" minRId="7031">
    <sheetIdMap count="14">
      <sheetId val="1"/>
      <sheetId val="2"/>
      <sheetId val="3"/>
      <sheetId val="4"/>
      <sheetId val="5"/>
      <sheetId val="6"/>
      <sheetId val="7"/>
      <sheetId val="8"/>
      <sheetId val="9"/>
      <sheetId val="10"/>
      <sheetId val="11"/>
      <sheetId val="12"/>
      <sheetId val="13"/>
      <sheetId val="14"/>
    </sheetIdMap>
  </header>
  <header guid="{AE892F5C-D6FD-4A62-8FC9-0AC8577C7051}" dateTime="2014-02-21T15:53:57" maxSheetId="15" userName="Slava Abramov" r:id="rId279" minRId="7034" maxRId="7036">
    <sheetIdMap count="14">
      <sheetId val="1"/>
      <sheetId val="2"/>
      <sheetId val="3"/>
      <sheetId val="4"/>
      <sheetId val="5"/>
      <sheetId val="6"/>
      <sheetId val="7"/>
      <sheetId val="8"/>
      <sheetId val="9"/>
      <sheetId val="10"/>
      <sheetId val="11"/>
      <sheetId val="12"/>
      <sheetId val="13"/>
      <sheetId val="14"/>
    </sheetIdMap>
  </header>
  <header guid="{CB358CF4-E9DB-463D-B72B-FAD91BF12546}" dateTime="2014-02-21T18:14:49" maxSheetId="15" userName="Yao Sun -X (yaosu - HUNTECH CONTRACTS INC at Cisco)" r:id="rId280" minRId="7039" maxRId="7062">
    <sheetIdMap count="14">
      <sheetId val="1"/>
      <sheetId val="2"/>
      <sheetId val="3"/>
      <sheetId val="4"/>
      <sheetId val="5"/>
      <sheetId val="6"/>
      <sheetId val="7"/>
      <sheetId val="8"/>
      <sheetId val="9"/>
      <sheetId val="10"/>
      <sheetId val="11"/>
      <sheetId val="12"/>
      <sheetId val="13"/>
      <sheetId val="14"/>
    </sheetIdMap>
  </header>
  <header guid="{021B5506-9DCF-4E6C-9D5A-DC51ABA2E0B5}" dateTime="2014-02-21T22:05:32" maxSheetId="15" userName="Yao Sun -X (yaosu - HUNTECH CONTRACTS INC at Cisco)" r:id="rId281" minRId="7065" maxRId="7128">
    <sheetIdMap count="14">
      <sheetId val="1"/>
      <sheetId val="2"/>
      <sheetId val="3"/>
      <sheetId val="4"/>
      <sheetId val="5"/>
      <sheetId val="6"/>
      <sheetId val="7"/>
      <sheetId val="8"/>
      <sheetId val="9"/>
      <sheetId val="10"/>
      <sheetId val="11"/>
      <sheetId val="12"/>
      <sheetId val="13"/>
      <sheetId val="14"/>
    </sheetIdMap>
  </header>
  <header guid="{1F15AFDA-03D7-4BE6-BFFC-B5068CE7D6ED}" dateTime="2014-02-24T13:06:23" maxSheetId="15" userName="Yao Sun -X (yaosu - HUNTECH CONTRACTS INC at Cisco)" r:id="rId282" minRId="7129" maxRId="7210">
    <sheetIdMap count="14">
      <sheetId val="1"/>
      <sheetId val="2"/>
      <sheetId val="3"/>
      <sheetId val="4"/>
      <sheetId val="5"/>
      <sheetId val="6"/>
      <sheetId val="7"/>
      <sheetId val="8"/>
      <sheetId val="9"/>
      <sheetId val="10"/>
      <sheetId val="11"/>
      <sheetId val="12"/>
      <sheetId val="13"/>
      <sheetId val="14"/>
    </sheetIdMap>
  </header>
  <header guid="{1C228C50-C767-47C2-B4E4-5F7E70071B5C}" dateTime="2014-02-25T14:16:21" maxSheetId="15" userName="Yao Sun -X (yaosu - HUNTECH CONTRACTS INC at Cisco)" r:id="rId283" minRId="7213" maxRId="7288">
    <sheetIdMap count="14">
      <sheetId val="1"/>
      <sheetId val="2"/>
      <sheetId val="3"/>
      <sheetId val="4"/>
      <sheetId val="5"/>
      <sheetId val="6"/>
      <sheetId val="7"/>
      <sheetId val="8"/>
      <sheetId val="9"/>
      <sheetId val="10"/>
      <sheetId val="11"/>
      <sheetId val="12"/>
      <sheetId val="13"/>
      <sheetId val="14"/>
    </sheetIdMap>
  </header>
  <header guid="{96CAB12E-F7A2-482B-BE6E-D8C34E96E959}" dateTime="2014-02-26T19:06:57" maxSheetId="15" userName="Yao Sun -X (yaosu - HUNTECH CONTRACTS INC at Cisco)" r:id="rId284" minRId="7289" maxRId="7356">
    <sheetIdMap count="14">
      <sheetId val="1"/>
      <sheetId val="2"/>
      <sheetId val="3"/>
      <sheetId val="4"/>
      <sheetId val="5"/>
      <sheetId val="6"/>
      <sheetId val="7"/>
      <sheetId val="8"/>
      <sheetId val="9"/>
      <sheetId val="10"/>
      <sheetId val="11"/>
      <sheetId val="12"/>
      <sheetId val="13"/>
      <sheetId val="14"/>
    </sheetIdMap>
  </header>
  <header guid="{917F0718-450B-49C2-AFF0-4C730E5BE89A}" dateTime="2014-02-27T13:34:51" maxSheetId="15" userName="Yao Sun -X (yaosu - HUNTECH CONTRACTS INC at Cisco)" r:id="rId285" minRId="7359" maxRId="7428">
    <sheetIdMap count="14">
      <sheetId val="1"/>
      <sheetId val="2"/>
      <sheetId val="3"/>
      <sheetId val="4"/>
      <sheetId val="5"/>
      <sheetId val="6"/>
      <sheetId val="7"/>
      <sheetId val="8"/>
      <sheetId val="9"/>
      <sheetId val="10"/>
      <sheetId val="11"/>
      <sheetId val="12"/>
      <sheetId val="13"/>
      <sheetId val="14"/>
    </sheetIdMap>
  </header>
  <header guid="{156479B9-B29A-427B-AD03-6829FC3E90AF}" dateTime="2014-02-28T14:47:00" maxSheetId="15" userName="Yao Sun -X (yaosu - HUNTECH CONTRACTS INC at Cisco)" r:id="rId286" minRId="7429" maxRId="7486">
    <sheetIdMap count="14">
      <sheetId val="1"/>
      <sheetId val="2"/>
      <sheetId val="3"/>
      <sheetId val="4"/>
      <sheetId val="5"/>
      <sheetId val="6"/>
      <sheetId val="7"/>
      <sheetId val="8"/>
      <sheetId val="9"/>
      <sheetId val="10"/>
      <sheetId val="11"/>
      <sheetId val="12"/>
      <sheetId val="13"/>
      <sheetId val="14"/>
    </sheetIdMap>
  </header>
  <header guid="{CCC4F8A2-DE2A-4FE3-AA70-7230C0574DB3}" dateTime="2014-03-03T11:41:55" maxSheetId="15" userName="Yao Sun -X (yaosu - HUNTECH CONTRACTS INC at Cisco)" r:id="rId287" minRId="7487" maxRId="7549">
    <sheetIdMap count="14">
      <sheetId val="1"/>
      <sheetId val="2"/>
      <sheetId val="3"/>
      <sheetId val="4"/>
      <sheetId val="5"/>
      <sheetId val="6"/>
      <sheetId val="7"/>
      <sheetId val="8"/>
      <sheetId val="9"/>
      <sheetId val="10"/>
      <sheetId val="11"/>
      <sheetId val="12"/>
      <sheetId val="13"/>
      <sheetId val="14"/>
    </sheetIdMap>
  </header>
  <header guid="{F985A55C-4A8D-4DED-B2AD-A2B05A996369}" dateTime="2014-03-04T11:50:57" maxSheetId="15" userName="Yao Sun -X (yaosu - HUNTECH CONTRACTS INC at Cisco)" r:id="rId288" minRId="7550" maxRId="7621">
    <sheetIdMap count="14">
      <sheetId val="1"/>
      <sheetId val="2"/>
      <sheetId val="3"/>
      <sheetId val="4"/>
      <sheetId val="5"/>
      <sheetId val="6"/>
      <sheetId val="7"/>
      <sheetId val="8"/>
      <sheetId val="9"/>
      <sheetId val="10"/>
      <sheetId val="11"/>
      <sheetId val="12"/>
      <sheetId val="13"/>
      <sheetId val="14"/>
    </sheetIdMap>
  </header>
  <header guid="{042EDA29-491F-4281-807D-A4D8A55A0193}" dateTime="2014-03-05T12:19:44" maxSheetId="15" userName="Yao Sun -X (yaosu - HUNTECH CONTRACTS INC at Cisco)" r:id="rId289" minRId="7622" maxRId="7691">
    <sheetIdMap count="14">
      <sheetId val="1"/>
      <sheetId val="2"/>
      <sheetId val="3"/>
      <sheetId val="4"/>
      <sheetId val="5"/>
      <sheetId val="6"/>
      <sheetId val="7"/>
      <sheetId val="8"/>
      <sheetId val="9"/>
      <sheetId val="10"/>
      <sheetId val="11"/>
      <sheetId val="12"/>
      <sheetId val="13"/>
      <sheetId val="14"/>
    </sheetIdMap>
  </header>
  <header guid="{67E4BFE6-9670-4A50-B56E-AA11A41234E7}" dateTime="2014-03-06T11:52:25" maxSheetId="15" userName="Yao Sun -X (yaosu - HUNTECH CONTRACTS INC at Cisco)" r:id="rId290" minRId="7692" maxRId="7750">
    <sheetIdMap count="14">
      <sheetId val="1"/>
      <sheetId val="2"/>
      <sheetId val="3"/>
      <sheetId val="4"/>
      <sheetId val="5"/>
      <sheetId val="6"/>
      <sheetId val="7"/>
      <sheetId val="8"/>
      <sheetId val="9"/>
      <sheetId val="10"/>
      <sheetId val="11"/>
      <sheetId val="12"/>
      <sheetId val="13"/>
      <sheetId val="14"/>
    </sheetIdMap>
  </header>
  <header guid="{1B1F9184-8BD5-483E-A419-236F80BA58B3}" dateTime="2014-03-07T15:15:33" maxSheetId="15" userName="Yao Sun -X (yaosu - HUNTECH CONTRACTS INC at Cisco)" r:id="rId291" minRId="7751" maxRId="7790">
    <sheetIdMap count="14">
      <sheetId val="1"/>
      <sheetId val="2"/>
      <sheetId val="3"/>
      <sheetId val="4"/>
      <sheetId val="5"/>
      <sheetId val="6"/>
      <sheetId val="7"/>
      <sheetId val="8"/>
      <sheetId val="9"/>
      <sheetId val="10"/>
      <sheetId val="11"/>
      <sheetId val="12"/>
      <sheetId val="13"/>
      <sheetId val="14"/>
    </sheetIdMap>
  </header>
  <header guid="{FBAC1DE9-CF0E-4C3A-95A0-81552443D20F}" dateTime="2014-03-10T11:59:17" maxSheetId="15" userName="Yao Sun -X (yaosu - HUNTECH CONTRACTS INC at Cisco)" r:id="rId292" minRId="7791" maxRId="7853">
    <sheetIdMap count="14">
      <sheetId val="1"/>
      <sheetId val="2"/>
      <sheetId val="3"/>
      <sheetId val="4"/>
      <sheetId val="5"/>
      <sheetId val="6"/>
      <sheetId val="7"/>
      <sheetId val="8"/>
      <sheetId val="9"/>
      <sheetId val="10"/>
      <sheetId val="11"/>
      <sheetId val="12"/>
      <sheetId val="13"/>
      <sheetId val="14"/>
    </sheetIdMap>
  </header>
  <header guid="{CA31DED6-5497-43A3-ABF8-BD4A50BA9581}" dateTime="2014-03-13T11:27:13" maxSheetId="15" userName="Yao Sun -X (yaosu - HUNTECH CONTRACTS INC at Cisco)" r:id="rId293" minRId="7854" maxRId="7936">
    <sheetIdMap count="14">
      <sheetId val="1"/>
      <sheetId val="2"/>
      <sheetId val="3"/>
      <sheetId val="4"/>
      <sheetId val="5"/>
      <sheetId val="6"/>
      <sheetId val="7"/>
      <sheetId val="8"/>
      <sheetId val="9"/>
      <sheetId val="10"/>
      <sheetId val="11"/>
      <sheetId val="12"/>
      <sheetId val="13"/>
      <sheetId val="14"/>
    </sheetIdMap>
  </header>
  <header guid="{44893100-3E7B-48AF-BC6B-89450B71E1BF}" dateTime="2014-03-13T11:33:51" maxSheetId="15" userName="Yao Sun -X (yaosu - HUNTECH CONTRACTS INC at Cisco)" r:id="rId294" minRId="7937" maxRId="8008">
    <sheetIdMap count="14">
      <sheetId val="1"/>
      <sheetId val="2"/>
      <sheetId val="3"/>
      <sheetId val="4"/>
      <sheetId val="5"/>
      <sheetId val="6"/>
      <sheetId val="7"/>
      <sheetId val="8"/>
      <sheetId val="9"/>
      <sheetId val="10"/>
      <sheetId val="11"/>
      <sheetId val="12"/>
      <sheetId val="13"/>
      <sheetId val="14"/>
    </sheetIdMap>
  </header>
  <header guid="{973A9A53-54E6-4ECF-B8F3-BA3576DE6D59}" dateTime="2014-03-14T12:18:36" maxSheetId="15" userName="Yao Sun -X (yaosu - HUNTECH CONTRACTS INC at Cisco)" r:id="rId295" minRId="8009" maxRId="8072">
    <sheetIdMap count="14">
      <sheetId val="1"/>
      <sheetId val="2"/>
      <sheetId val="3"/>
      <sheetId val="4"/>
      <sheetId val="5"/>
      <sheetId val="6"/>
      <sheetId val="7"/>
      <sheetId val="8"/>
      <sheetId val="9"/>
      <sheetId val="10"/>
      <sheetId val="11"/>
      <sheetId val="12"/>
      <sheetId val="13"/>
      <sheetId val="14"/>
    </sheetIdMap>
  </header>
  <header guid="{22874DA0-7F36-45E4-A24F-FF3F8888FAAA}" dateTime="2014-03-14T17:17:02" maxSheetId="15" userName="Yao Sun -X (yaosu - HUNTECH CONTRACTS INC at Cisco)" r:id="rId296" minRId="8073" maxRId="8090">
    <sheetIdMap count="14">
      <sheetId val="1"/>
      <sheetId val="2"/>
      <sheetId val="3"/>
      <sheetId val="4"/>
      <sheetId val="5"/>
      <sheetId val="6"/>
      <sheetId val="7"/>
      <sheetId val="8"/>
      <sheetId val="9"/>
      <sheetId val="10"/>
      <sheetId val="11"/>
      <sheetId val="12"/>
      <sheetId val="13"/>
      <sheetId val="14"/>
    </sheetIdMap>
  </header>
  <header guid="{F0CAF825-AE3F-47B1-9835-11A961E8B57D}" dateTime="2014-03-17T12:01:49" maxSheetId="15" userName="Yao Sun -X (yaosu - HUNTECH CONTRACTS INC at Cisco)" r:id="rId297" minRId="8091" maxRId="8115">
    <sheetIdMap count="14">
      <sheetId val="1"/>
      <sheetId val="2"/>
      <sheetId val="3"/>
      <sheetId val="4"/>
      <sheetId val="5"/>
      <sheetId val="6"/>
      <sheetId val="7"/>
      <sheetId val="8"/>
      <sheetId val="9"/>
      <sheetId val="10"/>
      <sheetId val="11"/>
      <sheetId val="12"/>
      <sheetId val="13"/>
      <sheetId val="14"/>
    </sheetIdMap>
  </header>
  <header guid="{5E7B71DF-BF6E-43F2-B814-9955AAA82B92}" dateTime="2014-03-18T13:23:36" maxSheetId="15" userName="Yao Sun -X (yaosu - HUNTECH CONTRACTS INC at Cisco)" r:id="rId298" minRId="8116" maxRId="8174">
    <sheetIdMap count="14">
      <sheetId val="1"/>
      <sheetId val="2"/>
      <sheetId val="3"/>
      <sheetId val="4"/>
      <sheetId val="5"/>
      <sheetId val="6"/>
      <sheetId val="7"/>
      <sheetId val="8"/>
      <sheetId val="9"/>
      <sheetId val="10"/>
      <sheetId val="11"/>
      <sheetId val="12"/>
      <sheetId val="13"/>
      <sheetId val="14"/>
    </sheetIdMap>
  </header>
  <header guid="{822EFA4C-B2EF-4D08-93C5-3E5B1F4575AD}" dateTime="2014-03-19T11:50:50" maxSheetId="15" userName="Yao Sun -X (yaosu - HUNTECH CONTRACTS INC at Cisco)" r:id="rId299" minRId="8175" maxRId="8205">
    <sheetIdMap count="14">
      <sheetId val="1"/>
      <sheetId val="2"/>
      <sheetId val="3"/>
      <sheetId val="4"/>
      <sheetId val="5"/>
      <sheetId val="6"/>
      <sheetId val="7"/>
      <sheetId val="8"/>
      <sheetId val="9"/>
      <sheetId val="10"/>
      <sheetId val="11"/>
      <sheetId val="12"/>
      <sheetId val="13"/>
      <sheetId val="14"/>
    </sheetIdMap>
  </header>
  <header guid="{6B14B5E2-89BA-4418-9E56-39A72E6FAA61}" dateTime="2014-03-20T11:54:52" maxSheetId="15" userName="Yao Sun -X (yaosu - HUNTECH CONTRACTS INC at Cisco)" r:id="rId300" minRId="8206" maxRId="8264">
    <sheetIdMap count="14">
      <sheetId val="1"/>
      <sheetId val="2"/>
      <sheetId val="3"/>
      <sheetId val="4"/>
      <sheetId val="5"/>
      <sheetId val="6"/>
      <sheetId val="7"/>
      <sheetId val="8"/>
      <sheetId val="9"/>
      <sheetId val="10"/>
      <sheetId val="11"/>
      <sheetId val="12"/>
      <sheetId val="13"/>
      <sheetId val="14"/>
    </sheetIdMap>
  </header>
  <header guid="{58EE05E6-1798-4192-9305-82524F98D63E}" dateTime="2014-03-21T11:25:42" maxSheetId="15" userName="Yao Sun -X (yaosu - HUNTECH CONTRACTS INC at Cisco)" r:id="rId301" minRId="8265" maxRId="8329">
    <sheetIdMap count="14">
      <sheetId val="1"/>
      <sheetId val="2"/>
      <sheetId val="3"/>
      <sheetId val="4"/>
      <sheetId val="5"/>
      <sheetId val="6"/>
      <sheetId val="7"/>
      <sheetId val="8"/>
      <sheetId val="9"/>
      <sheetId val="10"/>
      <sheetId val="11"/>
      <sheetId val="12"/>
      <sheetId val="13"/>
      <sheetId val="14"/>
    </sheetIdMap>
  </header>
  <header guid="{A800783E-D19B-40D5-9054-2287D63B57A5}" dateTime="2014-03-24T12:32:56" maxSheetId="15" userName="Yao Sun -X (yaosu - HUNTECH CONTRACTS INC at Cisco)" r:id="rId302" minRId="8330" maxRId="8415">
    <sheetIdMap count="14">
      <sheetId val="1"/>
      <sheetId val="2"/>
      <sheetId val="3"/>
      <sheetId val="4"/>
      <sheetId val="5"/>
      <sheetId val="6"/>
      <sheetId val="7"/>
      <sheetId val="8"/>
      <sheetId val="9"/>
      <sheetId val="10"/>
      <sheetId val="11"/>
      <sheetId val="12"/>
      <sheetId val="13"/>
      <sheetId val="14"/>
    </sheetIdMap>
  </header>
  <header guid="{004899D3-3D6E-4032-8399-5BD579C29FCC}" dateTime="2014-03-25T12:18:27" maxSheetId="15" userName="Yao Sun -X (yaosu - HUNTECH CONTRACTS INC at Cisco)" r:id="rId303" minRId="8416" maxRId="8458">
    <sheetIdMap count="14">
      <sheetId val="1"/>
      <sheetId val="2"/>
      <sheetId val="3"/>
      <sheetId val="4"/>
      <sheetId val="5"/>
      <sheetId val="6"/>
      <sheetId val="7"/>
      <sheetId val="8"/>
      <sheetId val="9"/>
      <sheetId val="10"/>
      <sheetId val="11"/>
      <sheetId val="12"/>
      <sheetId val="13"/>
      <sheetId val="14"/>
    </sheetIdMap>
  </header>
  <header guid="{B23C9168-6433-4CA8-876E-490B637B59E5}" dateTime="2014-03-26T12:06:19" maxSheetId="15" userName="Yao Sun -X (yaosu - HUNTECH CONTRACTS INC at Cisco)" r:id="rId304" minRId="8459" maxRId="8514">
    <sheetIdMap count="14">
      <sheetId val="1"/>
      <sheetId val="2"/>
      <sheetId val="3"/>
      <sheetId val="4"/>
      <sheetId val="5"/>
      <sheetId val="6"/>
      <sheetId val="7"/>
      <sheetId val="8"/>
      <sheetId val="9"/>
      <sheetId val="10"/>
      <sheetId val="11"/>
      <sheetId val="12"/>
      <sheetId val="13"/>
      <sheetId val="14"/>
    </sheetIdMap>
  </header>
  <header guid="{47EF0A51-5BF3-40E1-A687-4B0B87CA77C1}" dateTime="2014-03-27T11:44:49" maxSheetId="15" userName="Yao Sun -X (yaosu - HUNTECH CONTRACTS INC at Cisco)" r:id="rId305" minRId="8515" maxRId="8566">
    <sheetIdMap count="14">
      <sheetId val="1"/>
      <sheetId val="2"/>
      <sheetId val="3"/>
      <sheetId val="4"/>
      <sheetId val="5"/>
      <sheetId val="6"/>
      <sheetId val="7"/>
      <sheetId val="8"/>
      <sheetId val="9"/>
      <sheetId val="10"/>
      <sheetId val="11"/>
      <sheetId val="12"/>
      <sheetId val="13"/>
      <sheetId val="14"/>
    </sheetIdMap>
  </header>
  <header guid="{C998C7B8-FB0E-446B-86FC-93730265C2FA}" dateTime="2014-03-28T12:50:39" maxSheetId="15" userName="Yao Sun -X (yaosu - HUNTECH CONTRACTS INC at Cisco)" r:id="rId306" minRId="8567" maxRId="8597">
    <sheetIdMap count="14">
      <sheetId val="1"/>
      <sheetId val="2"/>
      <sheetId val="3"/>
      <sheetId val="4"/>
      <sheetId val="5"/>
      <sheetId val="6"/>
      <sheetId val="7"/>
      <sheetId val="8"/>
      <sheetId val="9"/>
      <sheetId val="10"/>
      <sheetId val="11"/>
      <sheetId val="12"/>
      <sheetId val="13"/>
      <sheetId val="14"/>
    </sheetIdMap>
  </header>
  <header guid="{CA94D222-DC98-4D73-A613-0C96AEC2242A}" dateTime="2014-03-31T11:57:00" maxSheetId="15" userName="Yao Sun -X (yaosu - HUNTECH CONTRACTS INC at Cisco)" r:id="rId307" minRId="8598" maxRId="8640">
    <sheetIdMap count="14">
      <sheetId val="1"/>
      <sheetId val="2"/>
      <sheetId val="3"/>
      <sheetId val="4"/>
      <sheetId val="5"/>
      <sheetId val="6"/>
      <sheetId val="7"/>
      <sheetId val="8"/>
      <sheetId val="9"/>
      <sheetId val="10"/>
      <sheetId val="11"/>
      <sheetId val="12"/>
      <sheetId val="13"/>
      <sheetId val="14"/>
    </sheetIdMap>
  </header>
  <header guid="{C21B57FB-7EBB-441B-9960-82E6DF045482}" dateTime="2014-04-01T11:47:20" maxSheetId="15" userName="Yao Sun -X (yaosu - HUNTECH CONTRACTS INC at Cisco)" r:id="rId308" minRId="8641" maxRId="8665">
    <sheetIdMap count="14">
      <sheetId val="1"/>
      <sheetId val="2"/>
      <sheetId val="3"/>
      <sheetId val="4"/>
      <sheetId val="5"/>
      <sheetId val="6"/>
      <sheetId val="7"/>
      <sheetId val="8"/>
      <sheetId val="9"/>
      <sheetId val="10"/>
      <sheetId val="11"/>
      <sheetId val="12"/>
      <sheetId val="13"/>
      <sheetId val="14"/>
    </sheetIdMap>
  </header>
  <header guid="{D69366FC-A6C7-4565-9D22-C506EA78E96B}" dateTime="2014-04-02T11:54:43" maxSheetId="15" userName="Yao Sun -X (yaosu - HUNTECH CONTRACTS INC at Cisco)" r:id="rId309" minRId="8666" maxRId="8689">
    <sheetIdMap count="14">
      <sheetId val="1"/>
      <sheetId val="2"/>
      <sheetId val="3"/>
      <sheetId val="4"/>
      <sheetId val="5"/>
      <sheetId val="6"/>
      <sheetId val="7"/>
      <sheetId val="8"/>
      <sheetId val="9"/>
      <sheetId val="10"/>
      <sheetId val="11"/>
      <sheetId val="12"/>
      <sheetId val="13"/>
      <sheetId val="14"/>
    </sheetIdMap>
  </header>
  <header guid="{AD485A1F-D596-4ACB-9550-F428C28848BE}" dateTime="2014-04-02T11:59:07" maxSheetId="15" userName="Yao Sun -X (yaosu - HUNTECH CONTRACTS INC at Cisco)" r:id="rId310" minRId="8690" maxRId="8707">
    <sheetIdMap count="14">
      <sheetId val="1"/>
      <sheetId val="2"/>
      <sheetId val="3"/>
      <sheetId val="4"/>
      <sheetId val="5"/>
      <sheetId val="6"/>
      <sheetId val="7"/>
      <sheetId val="8"/>
      <sheetId val="9"/>
      <sheetId val="10"/>
      <sheetId val="11"/>
      <sheetId val="12"/>
      <sheetId val="13"/>
      <sheetId val="14"/>
    </sheetIdMap>
  </header>
  <header guid="{9743ACC4-85C9-4AC7-B6BF-51CD7F6AC4F9}" dateTime="2014-04-02T12:02:32" maxSheetId="15" userName="Yao Sun -X (yaosu - HUNTECH CONTRACTS INC at Cisco)" r:id="rId311" minRId="8708" maxRId="8726">
    <sheetIdMap count="14">
      <sheetId val="1"/>
      <sheetId val="2"/>
      <sheetId val="3"/>
      <sheetId val="4"/>
      <sheetId val="5"/>
      <sheetId val="6"/>
      <sheetId val="7"/>
      <sheetId val="8"/>
      <sheetId val="9"/>
      <sheetId val="10"/>
      <sheetId val="11"/>
      <sheetId val="12"/>
      <sheetId val="13"/>
      <sheetId val="14"/>
    </sheetIdMap>
  </header>
  <header guid="{8CDC8978-6B63-4715-9A90-3B9FF69A2DA5}" dateTime="2014-04-02T12:03:27" maxSheetId="15" userName="Yao Sun -X (yaosu - HUNTECH CONTRACTS INC at Cisco)" r:id="rId312" minRId="8727" maxRId="8733">
    <sheetIdMap count="14">
      <sheetId val="1"/>
      <sheetId val="2"/>
      <sheetId val="3"/>
      <sheetId val="4"/>
      <sheetId val="5"/>
      <sheetId val="6"/>
      <sheetId val="7"/>
      <sheetId val="8"/>
      <sheetId val="9"/>
      <sheetId val="10"/>
      <sheetId val="11"/>
      <sheetId val="12"/>
      <sheetId val="13"/>
      <sheetId val="14"/>
    </sheetIdMap>
  </header>
  <header guid="{72244AD5-28A8-4ABE-9E09-F14405371E15}" dateTime="2014-04-02T12:04:07" maxSheetId="15" userName="Yao Sun -X (yaosu - HUNTECH CONTRACTS INC at Cisco)" r:id="rId313" minRId="8734" maxRId="8739">
    <sheetIdMap count="14">
      <sheetId val="1"/>
      <sheetId val="2"/>
      <sheetId val="3"/>
      <sheetId val="4"/>
      <sheetId val="5"/>
      <sheetId val="6"/>
      <sheetId val="7"/>
      <sheetId val="8"/>
      <sheetId val="9"/>
      <sheetId val="10"/>
      <sheetId val="11"/>
      <sheetId val="12"/>
      <sheetId val="13"/>
      <sheetId val="14"/>
    </sheetIdMap>
  </header>
  <header guid="{EB557524-6C91-44C6-91B3-9121B56B1349}" dateTime="2014-04-02T12:04:48" maxSheetId="15" userName="Yao Sun -X (yaosu - HUNTECH CONTRACTS INC at Cisco)" r:id="rId314" minRId="8740" maxRId="8745">
    <sheetIdMap count="14">
      <sheetId val="1"/>
      <sheetId val="2"/>
      <sheetId val="3"/>
      <sheetId val="4"/>
      <sheetId val="5"/>
      <sheetId val="6"/>
      <sheetId val="7"/>
      <sheetId val="8"/>
      <sheetId val="9"/>
      <sheetId val="10"/>
      <sheetId val="11"/>
      <sheetId val="12"/>
      <sheetId val="13"/>
      <sheetId val="14"/>
    </sheetIdMap>
  </header>
  <header guid="{BFE52EBD-7769-47DC-B1EF-3612D5EAE4AE}" dateTime="2014-04-02T12:05:40" maxSheetId="15" userName="Yao Sun -X (yaosu - HUNTECH CONTRACTS INC at Cisco)" r:id="rId315" minRId="8746" maxRId="8747">
    <sheetIdMap count="14">
      <sheetId val="1"/>
      <sheetId val="2"/>
      <sheetId val="3"/>
      <sheetId val="4"/>
      <sheetId val="5"/>
      <sheetId val="6"/>
      <sheetId val="7"/>
      <sheetId val="8"/>
      <sheetId val="9"/>
      <sheetId val="10"/>
      <sheetId val="11"/>
      <sheetId val="12"/>
      <sheetId val="13"/>
      <sheetId val="14"/>
    </sheetIdMap>
  </header>
  <header guid="{521AACBE-2471-48F4-AAE4-880EA434C78C}" dateTime="2014-04-02T12:06:19" maxSheetId="15" userName="Yao Sun -X (yaosu - HUNTECH CONTRACTS INC at Cisco)" r:id="rId316" minRId="8748" maxRId="8753">
    <sheetIdMap count="14">
      <sheetId val="1"/>
      <sheetId val="2"/>
      <sheetId val="3"/>
      <sheetId val="4"/>
      <sheetId val="5"/>
      <sheetId val="6"/>
      <sheetId val="7"/>
      <sheetId val="8"/>
      <sheetId val="9"/>
      <sheetId val="10"/>
      <sheetId val="11"/>
      <sheetId val="12"/>
      <sheetId val="13"/>
      <sheetId val="14"/>
    </sheetIdMap>
  </header>
  <header guid="{94979F15-A909-4E76-BB68-B0A9FD116003}" dateTime="2014-04-02T12:08:03" maxSheetId="15" userName="Yao Sun -X (yaosu - HUNTECH CONTRACTS INC at Cisco)" r:id="rId317" minRId="8754" maxRId="8759">
    <sheetIdMap count="14">
      <sheetId val="1"/>
      <sheetId val="2"/>
      <sheetId val="3"/>
      <sheetId val="4"/>
      <sheetId val="5"/>
      <sheetId val="6"/>
      <sheetId val="7"/>
      <sheetId val="8"/>
      <sheetId val="9"/>
      <sheetId val="10"/>
      <sheetId val="11"/>
      <sheetId val="12"/>
      <sheetId val="13"/>
      <sheetId val="14"/>
    </sheetIdMap>
  </header>
  <header guid="{D3EC30C3-46A0-4D24-A6A2-D8D608D752B0}" dateTime="2014-04-02T12:13:38" maxSheetId="15" userName="Yao Sun -X (yaosu - HUNTECH CONTRACTS INC at Cisco)" r:id="rId318" minRId="8760" maxRId="8772">
    <sheetIdMap count="14">
      <sheetId val="1"/>
      <sheetId val="2"/>
      <sheetId val="3"/>
      <sheetId val="4"/>
      <sheetId val="5"/>
      <sheetId val="6"/>
      <sheetId val="7"/>
      <sheetId val="8"/>
      <sheetId val="9"/>
      <sheetId val="10"/>
      <sheetId val="11"/>
      <sheetId val="12"/>
      <sheetId val="13"/>
      <sheetId val="14"/>
    </sheetIdMap>
  </header>
  <header guid="{206C5030-74FC-4DDE-9FFB-523D7F25C939}" dateTime="2014-04-02T12:15:40" maxSheetId="15" userName="Yao Sun -X (yaosu - HUNTECH CONTRACTS INC at Cisco)" r:id="rId319" minRId="8773" maxRId="8785">
    <sheetIdMap count="14">
      <sheetId val="1"/>
      <sheetId val="2"/>
      <sheetId val="3"/>
      <sheetId val="4"/>
      <sheetId val="5"/>
      <sheetId val="6"/>
      <sheetId val="7"/>
      <sheetId val="8"/>
      <sheetId val="9"/>
      <sheetId val="10"/>
      <sheetId val="11"/>
      <sheetId val="12"/>
      <sheetId val="13"/>
      <sheetId val="14"/>
    </sheetIdMap>
  </header>
  <header guid="{A98D73FC-58F6-44CC-BEA1-04C26074BFD3}" dateTime="2014-04-02T12:16:42" maxSheetId="15" userName="Yao Sun -X (yaosu - HUNTECH CONTRACTS INC at Cisco)" r:id="rId320" minRId="8786" maxRId="8792">
    <sheetIdMap count="14">
      <sheetId val="1"/>
      <sheetId val="2"/>
      <sheetId val="3"/>
      <sheetId val="4"/>
      <sheetId val="5"/>
      <sheetId val="6"/>
      <sheetId val="7"/>
      <sheetId val="8"/>
      <sheetId val="9"/>
      <sheetId val="10"/>
      <sheetId val="11"/>
      <sheetId val="12"/>
      <sheetId val="13"/>
      <sheetId val="14"/>
    </sheetIdMap>
  </header>
  <header guid="{A9FE2BA2-9313-4F91-8D8C-09E74C63F20C}" dateTime="2014-04-02T12:17:10" maxSheetId="15" userName="Yao Sun -X (yaosu - HUNTECH CONTRACTS INC at Cisco)" r:id="rId321" minRId="8793" maxRId="8798">
    <sheetIdMap count="14">
      <sheetId val="1"/>
      <sheetId val="2"/>
      <sheetId val="3"/>
      <sheetId val="4"/>
      <sheetId val="5"/>
      <sheetId val="6"/>
      <sheetId val="7"/>
      <sheetId val="8"/>
      <sheetId val="9"/>
      <sheetId val="10"/>
      <sheetId val="11"/>
      <sheetId val="12"/>
      <sheetId val="13"/>
      <sheetId val="14"/>
    </sheetIdMap>
  </header>
  <header guid="{6DD0B0D5-5708-44EF-AC94-19903EED70D8}" dateTime="2014-04-02T12:17:29" maxSheetId="15" userName="Yao Sun -X (yaosu - HUNTECH CONTRACTS INC at Cisco)" r:id="rId322" minRId="8799" maxRId="8805">
    <sheetIdMap count="14">
      <sheetId val="1"/>
      <sheetId val="2"/>
      <sheetId val="3"/>
      <sheetId val="4"/>
      <sheetId val="5"/>
      <sheetId val="6"/>
      <sheetId val="7"/>
      <sheetId val="8"/>
      <sheetId val="9"/>
      <sheetId val="10"/>
      <sheetId val="11"/>
      <sheetId val="12"/>
      <sheetId val="13"/>
      <sheetId val="14"/>
    </sheetIdMap>
  </header>
  <header guid="{9ED69780-6E9F-4855-9352-B3EABBFB3A94}" dateTime="2014-04-02T12:17:55" maxSheetId="15" userName="Yao Sun -X (yaosu - HUNTECH CONTRACTS INC at Cisco)" r:id="rId323" minRId="8806" maxRId="8811">
    <sheetIdMap count="14">
      <sheetId val="1"/>
      <sheetId val="2"/>
      <sheetId val="3"/>
      <sheetId val="4"/>
      <sheetId val="5"/>
      <sheetId val="6"/>
      <sheetId val="7"/>
      <sheetId val="8"/>
      <sheetId val="9"/>
      <sheetId val="10"/>
      <sheetId val="11"/>
      <sheetId val="12"/>
      <sheetId val="13"/>
      <sheetId val="14"/>
    </sheetIdMap>
  </header>
  <header guid="{55089BDF-5FDF-47D3-871A-8AD2CAD07A19}" dateTime="2014-04-02T12:18:32" maxSheetId="15" userName="Yao Sun -X (yaosu - HUNTECH CONTRACTS INC at Cisco)" r:id="rId324" minRId="8812">
    <sheetIdMap count="14">
      <sheetId val="1"/>
      <sheetId val="2"/>
      <sheetId val="3"/>
      <sheetId val="4"/>
      <sheetId val="5"/>
      <sheetId val="6"/>
      <sheetId val="7"/>
      <sheetId val="8"/>
      <sheetId val="9"/>
      <sheetId val="10"/>
      <sheetId val="11"/>
      <sheetId val="12"/>
      <sheetId val="13"/>
      <sheetId val="14"/>
    </sheetIdMap>
  </header>
  <header guid="{39C87BD6-CF8D-42D7-856B-467A7A9C9906}" dateTime="2014-04-02T12:18:42" maxSheetId="15" userName="Yao Sun -X (yaosu - HUNTECH CONTRACTS INC at Cisco)" r:id="rId325" minRId="8813" maxRId="8814">
    <sheetIdMap count="14">
      <sheetId val="1"/>
      <sheetId val="2"/>
      <sheetId val="3"/>
      <sheetId val="4"/>
      <sheetId val="5"/>
      <sheetId val="6"/>
      <sheetId val="7"/>
      <sheetId val="8"/>
      <sheetId val="9"/>
      <sheetId val="10"/>
      <sheetId val="11"/>
      <sheetId val="12"/>
      <sheetId val="13"/>
      <sheetId val="14"/>
    </sheetIdMap>
  </header>
  <header guid="{B72B8DF5-1A90-4A9F-B5BA-975D93650B6C}" dateTime="2014-04-02T12:19:18" maxSheetId="15" userName="Yao Sun -X (yaosu - HUNTECH CONTRACTS INC at Cisco)" r:id="rId326" minRId="8815" maxRId="8821">
    <sheetIdMap count="14">
      <sheetId val="1"/>
      <sheetId val="2"/>
      <sheetId val="3"/>
      <sheetId val="4"/>
      <sheetId val="5"/>
      <sheetId val="6"/>
      <sheetId val="7"/>
      <sheetId val="8"/>
      <sheetId val="9"/>
      <sheetId val="10"/>
      <sheetId val="11"/>
      <sheetId val="12"/>
      <sheetId val="13"/>
      <sheetId val="14"/>
    </sheetIdMap>
  </header>
  <header guid="{768768B3-0857-4AB6-A9A8-863B7D8B353E}" dateTime="2014-04-02T12:21:00" maxSheetId="15" userName="Yao Sun -X (yaosu - HUNTECH CONTRACTS INC at Cisco)" r:id="rId327" minRId="8822" maxRId="8842">
    <sheetIdMap count="14">
      <sheetId val="1"/>
      <sheetId val="2"/>
      <sheetId val="3"/>
      <sheetId val="4"/>
      <sheetId val="5"/>
      <sheetId val="6"/>
      <sheetId val="7"/>
      <sheetId val="8"/>
      <sheetId val="9"/>
      <sheetId val="10"/>
      <sheetId val="11"/>
      <sheetId val="12"/>
      <sheetId val="13"/>
      <sheetId val="14"/>
    </sheetIdMap>
  </header>
  <header guid="{B23B3B58-64F8-4373-B599-DAE56EBD086E}" dateTime="2014-04-03T12:25:15" maxSheetId="15" userName="Yao Sun -X (yaosu - HUNTECH CONTRACTS INC at Cisco)" r:id="rId328" minRId="8843" maxRId="8882">
    <sheetIdMap count="14">
      <sheetId val="1"/>
      <sheetId val="2"/>
      <sheetId val="3"/>
      <sheetId val="4"/>
      <sheetId val="5"/>
      <sheetId val="6"/>
      <sheetId val="7"/>
      <sheetId val="8"/>
      <sheetId val="9"/>
      <sheetId val="10"/>
      <sheetId val="11"/>
      <sheetId val="12"/>
      <sheetId val="13"/>
      <sheetId val="14"/>
    </sheetIdMap>
  </header>
  <header guid="{A42CF432-685B-47FA-B49B-BCCA2F0C9802}" dateTime="2014-04-04T13:07:59" maxSheetId="15" userName="Yao Sun -X (yaosu - HUNTECH CONTRACTS INC at Cisco)" r:id="rId329" minRId="8883" maxRId="8907">
    <sheetIdMap count="14">
      <sheetId val="1"/>
      <sheetId val="2"/>
      <sheetId val="3"/>
      <sheetId val="4"/>
      <sheetId val="5"/>
      <sheetId val="6"/>
      <sheetId val="7"/>
      <sheetId val="8"/>
      <sheetId val="9"/>
      <sheetId val="10"/>
      <sheetId val="11"/>
      <sheetId val="12"/>
      <sheetId val="13"/>
      <sheetId val="14"/>
    </sheetIdMap>
  </header>
  <header guid="{3B4F8DD2-A74B-4852-B8BB-CB22F7CC0C44}" dateTime="2014-04-07T15:11:11" maxSheetId="15" userName="Yao Sun -X (yaosu - HUNTECH CONTRACTS INC at Cisco)" r:id="rId330" minRId="8908" maxRId="8933">
    <sheetIdMap count="14">
      <sheetId val="1"/>
      <sheetId val="2"/>
      <sheetId val="3"/>
      <sheetId val="4"/>
      <sheetId val="5"/>
      <sheetId val="6"/>
      <sheetId val="7"/>
      <sheetId val="8"/>
      <sheetId val="9"/>
      <sheetId val="10"/>
      <sheetId val="11"/>
      <sheetId val="12"/>
      <sheetId val="13"/>
      <sheetId val="14"/>
    </sheetIdMap>
  </header>
  <header guid="{8CDE6BEA-8134-48FD-AF4A-5B33C93CC265}" dateTime="2014-04-07T15:56:24" maxSheetId="15" userName="Dmitri Galter (dgalter)" r:id="rId331">
    <sheetIdMap count="14">
      <sheetId val="1"/>
      <sheetId val="2"/>
      <sheetId val="3"/>
      <sheetId val="4"/>
      <sheetId val="5"/>
      <sheetId val="6"/>
      <sheetId val="7"/>
      <sheetId val="8"/>
      <sheetId val="9"/>
      <sheetId val="10"/>
      <sheetId val="11"/>
      <sheetId val="12"/>
      <sheetId val="13"/>
      <sheetId val="14"/>
    </sheetIdMap>
  </header>
  <header guid="{21E42A52-13C1-419D-8155-AB5F6CD22E05}" dateTime="2014-04-08T12:17:12" maxSheetId="15" userName="Yao Sun -X (yaosu - HUNTECH CONTRACTS INC at Cisco)" r:id="rId332" minRId="8936" maxRId="8966">
    <sheetIdMap count="14">
      <sheetId val="1"/>
      <sheetId val="2"/>
      <sheetId val="3"/>
      <sheetId val="4"/>
      <sheetId val="5"/>
      <sheetId val="6"/>
      <sheetId val="7"/>
      <sheetId val="8"/>
      <sheetId val="9"/>
      <sheetId val="10"/>
      <sheetId val="11"/>
      <sheetId val="12"/>
      <sheetId val="13"/>
      <sheetId val="14"/>
    </sheetIdMap>
  </header>
  <header guid="{93F37944-DDF6-4F40-8C54-FD98E1D45006}" dateTime="2014-04-09T11:55:01" maxSheetId="15" userName="Yao Sun -X (yaosu - HUNTECH CONTRACTS INC at Cisco)" r:id="rId333" minRId="8967" maxRId="8991">
    <sheetIdMap count="14">
      <sheetId val="1"/>
      <sheetId val="2"/>
      <sheetId val="3"/>
      <sheetId val="4"/>
      <sheetId val="5"/>
      <sheetId val="6"/>
      <sheetId val="7"/>
      <sheetId val="8"/>
      <sheetId val="9"/>
      <sheetId val="10"/>
      <sheetId val="11"/>
      <sheetId val="12"/>
      <sheetId val="13"/>
      <sheetId val="14"/>
    </sheetIdMap>
  </header>
  <header guid="{78F5F8FF-BCDA-4333-9540-18BA9A52095E}" dateTime="2014-04-10T14:19:04" maxSheetId="15" userName="Yao Sun -X (yaosu - HUNTECH CONTRACTS INC at Cisco)" r:id="rId334" minRId="8992" maxRId="9019">
    <sheetIdMap count="14">
      <sheetId val="1"/>
      <sheetId val="2"/>
      <sheetId val="3"/>
      <sheetId val="4"/>
      <sheetId val="5"/>
      <sheetId val="6"/>
      <sheetId val="7"/>
      <sheetId val="8"/>
      <sheetId val="9"/>
      <sheetId val="10"/>
      <sheetId val="11"/>
      <sheetId val="12"/>
      <sheetId val="13"/>
      <sheetId val="14"/>
    </sheetIdMap>
  </header>
  <header guid="{05228D82-00F7-4720-B2CE-C2C0AAA6A7CD}" dateTime="2014-04-11T11:55:04" maxSheetId="15" userName="Yao Sun -X (yaosu - HUNTECH CONTRACTS INC at Cisco)" r:id="rId335" minRId="9020" maxRId="9047">
    <sheetIdMap count="14">
      <sheetId val="1"/>
      <sheetId val="2"/>
      <sheetId val="3"/>
      <sheetId val="4"/>
      <sheetId val="5"/>
      <sheetId val="6"/>
      <sheetId val="7"/>
      <sheetId val="8"/>
      <sheetId val="9"/>
      <sheetId val="10"/>
      <sheetId val="11"/>
      <sheetId val="12"/>
      <sheetId val="13"/>
      <sheetId val="14"/>
    </sheetIdMap>
  </header>
  <header guid="{6D92CB71-826E-4C6A-9D57-A639F6A30B2B}" dateTime="2014-04-14T11:34:09" maxSheetId="15" userName="Yao Sun -X (yaosu - HUNTECH CONTRACTS INC at Cisco)" r:id="rId336" minRId="9048" maxRId="9072">
    <sheetIdMap count="14">
      <sheetId val="1"/>
      <sheetId val="2"/>
      <sheetId val="3"/>
      <sheetId val="4"/>
      <sheetId val="5"/>
      <sheetId val="6"/>
      <sheetId val="7"/>
      <sheetId val="8"/>
      <sheetId val="9"/>
      <sheetId val="10"/>
      <sheetId val="11"/>
      <sheetId val="12"/>
      <sheetId val="13"/>
      <sheetId val="14"/>
    </sheetIdMap>
  </header>
  <header guid="{5A3B23F9-2996-4EF1-B341-68E80D19469E}" dateTime="2014-04-14T11:56:18" maxSheetId="15" userName="Yao Sun -X (yaosu - HUNTECH CONTRACTS INC at Cisco)" r:id="rId337" minRId="9075" maxRId="9077">
    <sheetIdMap count="14">
      <sheetId val="1"/>
      <sheetId val="2"/>
      <sheetId val="3"/>
      <sheetId val="4"/>
      <sheetId val="5"/>
      <sheetId val="6"/>
      <sheetId val="7"/>
      <sheetId val="8"/>
      <sheetId val="9"/>
      <sheetId val="10"/>
      <sheetId val="11"/>
      <sheetId val="12"/>
      <sheetId val="13"/>
      <sheetId val="14"/>
    </sheetIdMap>
  </header>
  <header guid="{CEAAAD09-908D-4688-B8F7-5E27B099AF42}" dateTime="2014-04-14T17:45:30" maxSheetId="15" userName="Yao Sun -X (yaosu - HUNTECH CONTRACTS INC at Cisco)" r:id="rId338" minRId="9078" maxRId="9084">
    <sheetIdMap count="14">
      <sheetId val="1"/>
      <sheetId val="2"/>
      <sheetId val="3"/>
      <sheetId val="4"/>
      <sheetId val="5"/>
      <sheetId val="6"/>
      <sheetId val="7"/>
      <sheetId val="8"/>
      <sheetId val="9"/>
      <sheetId val="10"/>
      <sheetId val="11"/>
      <sheetId val="12"/>
      <sheetId val="13"/>
      <sheetId val="14"/>
    </sheetIdMap>
  </header>
  <header guid="{9FA14EDF-377C-4318-B5B0-60BFEF177A71}" dateTime="2014-04-15T12:10:56" maxSheetId="15" userName="Yao Sun -X (yaosu - HUNTECH CONTRACTS INC at Cisco)" r:id="rId339" minRId="9085" maxRId="9115">
    <sheetIdMap count="14">
      <sheetId val="1"/>
      <sheetId val="2"/>
      <sheetId val="3"/>
      <sheetId val="4"/>
      <sheetId val="5"/>
      <sheetId val="6"/>
      <sheetId val="7"/>
      <sheetId val="8"/>
      <sheetId val="9"/>
      <sheetId val="10"/>
      <sheetId val="11"/>
      <sheetId val="12"/>
      <sheetId val="13"/>
      <sheetId val="14"/>
    </sheetIdMap>
  </header>
  <header guid="{1DB8B3FA-27C8-4442-BF47-C755E4883112}" dateTime="2014-04-16T11:53:18" maxSheetId="15" userName="Yao Sun -X (yaosu - HUNTECH CONTRACTS INC at Cisco)" r:id="rId340" minRId="9116" maxRId="9140">
    <sheetIdMap count="14">
      <sheetId val="1"/>
      <sheetId val="2"/>
      <sheetId val="3"/>
      <sheetId val="4"/>
      <sheetId val="5"/>
      <sheetId val="6"/>
      <sheetId val="7"/>
      <sheetId val="8"/>
      <sheetId val="9"/>
      <sheetId val="10"/>
      <sheetId val="11"/>
      <sheetId val="12"/>
      <sheetId val="13"/>
      <sheetId val="14"/>
    </sheetIdMap>
  </header>
  <header guid="{D1FF9223-A778-403C-89DF-D300A77154F4}" dateTime="2014-04-17T11:54:54" maxSheetId="15" userName="Yao Sun -X (yaosu - HUNTECH CONTRACTS INC at Cisco)" r:id="rId341" minRId="9141" maxRId="9168">
    <sheetIdMap count="14">
      <sheetId val="1"/>
      <sheetId val="2"/>
      <sheetId val="3"/>
      <sheetId val="4"/>
      <sheetId val="5"/>
      <sheetId val="6"/>
      <sheetId val="7"/>
      <sheetId val="8"/>
      <sheetId val="9"/>
      <sheetId val="10"/>
      <sheetId val="11"/>
      <sheetId val="12"/>
      <sheetId val="13"/>
      <sheetId val="14"/>
    </sheetIdMap>
  </header>
  <header guid="{DB4F616B-808C-4195-A755-857B0476E590}" dateTime="2014-04-21T13:32:39" maxSheetId="15" userName="Yao Sun -X (yaosu - HUNTECH CONTRACTS INC at Cisco)" r:id="rId342" minRId="9169" maxRId="9193">
    <sheetIdMap count="14">
      <sheetId val="1"/>
      <sheetId val="2"/>
      <sheetId val="3"/>
      <sheetId val="4"/>
      <sheetId val="5"/>
      <sheetId val="6"/>
      <sheetId val="7"/>
      <sheetId val="8"/>
      <sheetId val="9"/>
      <sheetId val="10"/>
      <sheetId val="11"/>
      <sheetId val="12"/>
      <sheetId val="13"/>
      <sheetId val="14"/>
    </sheetIdMap>
  </header>
  <header guid="{99470051-6C8D-4213-BB71-E6B594589566}" dateTime="2014-04-22T13:02:46" maxSheetId="15" userName="Yao Sun -X (yaosu - HUNTECH CONTRACTS INC at Cisco)" r:id="rId343" minRId="9194" maxRId="9224">
    <sheetIdMap count="14">
      <sheetId val="1"/>
      <sheetId val="2"/>
      <sheetId val="3"/>
      <sheetId val="4"/>
      <sheetId val="5"/>
      <sheetId val="6"/>
      <sheetId val="7"/>
      <sheetId val="8"/>
      <sheetId val="9"/>
      <sheetId val="10"/>
      <sheetId val="11"/>
      <sheetId val="12"/>
      <sheetId val="13"/>
      <sheetId val="14"/>
    </sheetIdMap>
  </header>
  <header guid="{D25705AF-5A09-41B9-92B7-DAD4F24E54C7}" dateTime="2014-04-23T20:39:46" maxSheetId="15" userName="Yao Sun -X (yaosu - HUNTECH CONTRACTS INC at Cisco)" r:id="rId344" minRId="9225" maxRId="9256">
    <sheetIdMap count="14">
      <sheetId val="1"/>
      <sheetId val="2"/>
      <sheetId val="3"/>
      <sheetId val="4"/>
      <sheetId val="5"/>
      <sheetId val="6"/>
      <sheetId val="7"/>
      <sheetId val="8"/>
      <sheetId val="9"/>
      <sheetId val="10"/>
      <sheetId val="11"/>
      <sheetId val="12"/>
      <sheetId val="13"/>
      <sheetId val="14"/>
    </sheetIdMap>
  </header>
  <header guid="{37E3043B-02D0-4A0D-BDB7-7745A7650CBD}" dateTime="2014-04-24T20:48:32" maxSheetId="15" userName="Yao Sun -X (yaosu - HUNTECH CONTRACTS INC at Cisco)" r:id="rId345" minRId="9257" maxRId="9329">
    <sheetIdMap count="14">
      <sheetId val="1"/>
      <sheetId val="2"/>
      <sheetId val="3"/>
      <sheetId val="4"/>
      <sheetId val="5"/>
      <sheetId val="6"/>
      <sheetId val="7"/>
      <sheetId val="8"/>
      <sheetId val="9"/>
      <sheetId val="10"/>
      <sheetId val="11"/>
      <sheetId val="12"/>
      <sheetId val="13"/>
      <sheetId val="14"/>
    </sheetIdMap>
  </header>
  <header guid="{F6C12BB9-C33E-4385-B680-3E52B1958262}" dateTime="2014-04-25T12:27:27" maxSheetId="15" userName="Yao Sun -X (yaosu - HUNTECH CONTRACTS INC at Cisco)" r:id="rId346" minRId="9332" maxRId="9333">
    <sheetIdMap count="14">
      <sheetId val="1"/>
      <sheetId val="2"/>
      <sheetId val="3"/>
      <sheetId val="4"/>
      <sheetId val="5"/>
      <sheetId val="6"/>
      <sheetId val="7"/>
      <sheetId val="8"/>
      <sheetId val="9"/>
      <sheetId val="10"/>
      <sheetId val="11"/>
      <sheetId val="12"/>
      <sheetId val="13"/>
      <sheetId val="14"/>
    </sheetIdMap>
  </header>
  <header guid="{7EC4E074-0944-42BC-BEB2-4E5D0F98E753}" dateTime="2014-04-29T14:26:11" maxSheetId="15" userName="dparthip" r:id="rId347" minRId="9334" maxRId="9377">
    <sheetIdMap count="14">
      <sheetId val="1"/>
      <sheetId val="2"/>
      <sheetId val="3"/>
      <sheetId val="4"/>
      <sheetId val="5"/>
      <sheetId val="6"/>
      <sheetId val="7"/>
      <sheetId val="8"/>
      <sheetId val="9"/>
      <sheetId val="10"/>
      <sheetId val="11"/>
      <sheetId val="12"/>
      <sheetId val="13"/>
      <sheetId val="14"/>
    </sheetIdMap>
  </header>
  <header guid="{9A91EF17-84F0-45D8-AC51-4141B9FBD6A6}" dateTime="2014-04-29T14:35:58" maxSheetId="15" userName="dparthip" r:id="rId348" minRId="9380" maxRId="9415">
    <sheetIdMap count="14">
      <sheetId val="1"/>
      <sheetId val="2"/>
      <sheetId val="3"/>
      <sheetId val="4"/>
      <sheetId val="5"/>
      <sheetId val="6"/>
      <sheetId val="7"/>
      <sheetId val="8"/>
      <sheetId val="9"/>
      <sheetId val="10"/>
      <sheetId val="11"/>
      <sheetId val="12"/>
      <sheetId val="13"/>
      <sheetId val="14"/>
    </sheetIdMap>
  </header>
  <header guid="{AE065FD0-0AA2-4E41-B30C-3DA18024E777}" dateTime="2014-05-02T14:28:52" maxSheetId="15" userName="dparthip" r:id="rId349" minRId="9416" maxRId="9487">
    <sheetIdMap count="14">
      <sheetId val="1"/>
      <sheetId val="2"/>
      <sheetId val="3"/>
      <sheetId val="4"/>
      <sheetId val="5"/>
      <sheetId val="6"/>
      <sheetId val="7"/>
      <sheetId val="8"/>
      <sheetId val="9"/>
      <sheetId val="10"/>
      <sheetId val="11"/>
      <sheetId val="12"/>
      <sheetId val="13"/>
      <sheetId val="14"/>
    </sheetIdMap>
  </header>
  <header guid="{2816AC01-5652-4EC6-B9D4-CBA78DDF330E}" dateTime="2014-05-05T17:53:56" maxSheetId="15" userName="dparthip" r:id="rId350" minRId="9488" maxRId="9490">
    <sheetIdMap count="14">
      <sheetId val="1"/>
      <sheetId val="2"/>
      <sheetId val="3"/>
      <sheetId val="4"/>
      <sheetId val="5"/>
      <sheetId val="6"/>
      <sheetId val="7"/>
      <sheetId val="8"/>
      <sheetId val="9"/>
      <sheetId val="10"/>
      <sheetId val="11"/>
      <sheetId val="12"/>
      <sheetId val="13"/>
      <sheetId val="14"/>
    </sheetIdMap>
  </header>
  <header guid="{EE0C1137-A0B7-4A0B-87A4-F50C5DF5E236}" dateTime="2014-05-12T10:48:38" maxSheetId="15" userName="dparthip" r:id="rId351" minRId="9491" maxRId="9634">
    <sheetIdMap count="14">
      <sheetId val="1"/>
      <sheetId val="2"/>
      <sheetId val="3"/>
      <sheetId val="4"/>
      <sheetId val="5"/>
      <sheetId val="6"/>
      <sheetId val="7"/>
      <sheetId val="8"/>
      <sheetId val="9"/>
      <sheetId val="10"/>
      <sheetId val="11"/>
      <sheetId val="12"/>
      <sheetId val="13"/>
      <sheetId val="14"/>
    </sheetIdMap>
  </header>
  <header guid="{FB5CB6E6-0EFC-49E5-B3C0-571D3A1F98A6}" dateTime="2014-05-12T10:55:48" maxSheetId="15" userName="dparthip" r:id="rId352" minRId="9635" maxRId="9650">
    <sheetIdMap count="14">
      <sheetId val="1"/>
      <sheetId val="2"/>
      <sheetId val="3"/>
      <sheetId val="4"/>
      <sheetId val="5"/>
      <sheetId val="6"/>
      <sheetId val="7"/>
      <sheetId val="8"/>
      <sheetId val="9"/>
      <sheetId val="10"/>
      <sheetId val="11"/>
      <sheetId val="12"/>
      <sheetId val="13"/>
      <sheetId val="14"/>
    </sheetIdMap>
  </header>
  <header guid="{01C40603-D981-456F-B683-4413568FE5BD}" dateTime="2014-05-12T14:27:19" maxSheetId="15" userName="dparthip" r:id="rId353" minRId="9651" maxRId="9685">
    <sheetIdMap count="14">
      <sheetId val="1"/>
      <sheetId val="2"/>
      <sheetId val="3"/>
      <sheetId val="4"/>
      <sheetId val="5"/>
      <sheetId val="6"/>
      <sheetId val="7"/>
      <sheetId val="8"/>
      <sheetId val="9"/>
      <sheetId val="10"/>
      <sheetId val="11"/>
      <sheetId val="12"/>
      <sheetId val="13"/>
      <sheetId val="14"/>
    </sheetIdMap>
  </header>
  <header guid="{B3F0330C-7E3E-4B3C-B051-D8BE8E2042CC}" dateTime="2014-05-20T10:57:04" maxSheetId="15" userName="dparthip" r:id="rId354" minRId="9686" maxRId="9805">
    <sheetIdMap count="14">
      <sheetId val="1"/>
      <sheetId val="2"/>
      <sheetId val="3"/>
      <sheetId val="4"/>
      <sheetId val="5"/>
      <sheetId val="6"/>
      <sheetId val="7"/>
      <sheetId val="8"/>
      <sheetId val="9"/>
      <sheetId val="10"/>
      <sheetId val="11"/>
      <sheetId val="12"/>
      <sheetId val="13"/>
      <sheetId val="14"/>
    </sheetIdMap>
  </header>
  <header guid="{462B9B18-7610-4753-810E-7DEE4DFE74EB}" dateTime="2014-05-20T10:57:54" maxSheetId="15" userName="dparthip" r:id="rId355" minRId="9806" maxRId="9820">
    <sheetIdMap count="14">
      <sheetId val="1"/>
      <sheetId val="2"/>
      <sheetId val="3"/>
      <sheetId val="4"/>
      <sheetId val="5"/>
      <sheetId val="6"/>
      <sheetId val="7"/>
      <sheetId val="8"/>
      <sheetId val="9"/>
      <sheetId val="10"/>
      <sheetId val="11"/>
      <sheetId val="12"/>
      <sheetId val="13"/>
      <sheetId val="14"/>
    </sheetIdMap>
  </header>
  <header guid="{65E82320-2BE3-40CE-B2B7-052359A9A5B0}" dateTime="2014-05-21T11:40:47" maxSheetId="15" userName="dparthip" r:id="rId356" minRId="9821" maxRId="9846">
    <sheetIdMap count="14">
      <sheetId val="1"/>
      <sheetId val="2"/>
      <sheetId val="3"/>
      <sheetId val="4"/>
      <sheetId val="5"/>
      <sheetId val="6"/>
      <sheetId val="7"/>
      <sheetId val="8"/>
      <sheetId val="9"/>
      <sheetId val="10"/>
      <sheetId val="11"/>
      <sheetId val="12"/>
      <sheetId val="13"/>
      <sheetId val="14"/>
    </sheetIdMap>
  </header>
  <header guid="{79FD6829-5638-4D10-9317-69B5155A8A62}" dateTime="2014-05-21T11:40:59" maxSheetId="15" userName="dparthip" r:id="rId357" minRId="9847" maxRId="9853">
    <sheetIdMap count="14">
      <sheetId val="1"/>
      <sheetId val="2"/>
      <sheetId val="3"/>
      <sheetId val="4"/>
      <sheetId val="5"/>
      <sheetId val="6"/>
      <sheetId val="7"/>
      <sheetId val="8"/>
      <sheetId val="9"/>
      <sheetId val="10"/>
      <sheetId val="11"/>
      <sheetId val="12"/>
      <sheetId val="13"/>
      <sheetId val="14"/>
    </sheetIdMap>
  </header>
  <header guid="{C48CB209-ED89-4C86-932E-94FEF6586E56}" dateTime="2014-05-27T10:14:41" maxSheetId="15" userName="dparthip" r:id="rId358" minRId="9854" maxRId="9950">
    <sheetIdMap count="14">
      <sheetId val="1"/>
      <sheetId val="2"/>
      <sheetId val="3"/>
      <sheetId val="4"/>
      <sheetId val="5"/>
      <sheetId val="6"/>
      <sheetId val="7"/>
      <sheetId val="8"/>
      <sheetId val="9"/>
      <sheetId val="10"/>
      <sheetId val="11"/>
      <sheetId val="12"/>
      <sheetId val="13"/>
      <sheetId val="14"/>
    </sheetIdMap>
  </header>
  <header guid="{12ABE0F1-F5E4-497C-9B96-7F46BB9FD776}" dateTime="2014-05-27T14:58:19" maxSheetId="15" userName="dparthip" r:id="rId359" minRId="9951" maxRId="9964">
    <sheetIdMap count="14">
      <sheetId val="1"/>
      <sheetId val="2"/>
      <sheetId val="3"/>
      <sheetId val="4"/>
      <sheetId val="5"/>
      <sheetId val="6"/>
      <sheetId val="7"/>
      <sheetId val="8"/>
      <sheetId val="9"/>
      <sheetId val="10"/>
      <sheetId val="11"/>
      <sheetId val="12"/>
      <sheetId val="13"/>
      <sheetId val="14"/>
    </sheetIdMap>
  </header>
  <header guid="{EC99A68D-3357-4099-928A-9F51085D8DDF}" dateTime="2014-05-27T15:00:08" maxSheetId="15" userName="dparthip" r:id="rId360" minRId="9965" maxRId="9977">
    <sheetIdMap count="14">
      <sheetId val="1"/>
      <sheetId val="2"/>
      <sheetId val="3"/>
      <sheetId val="4"/>
      <sheetId val="5"/>
      <sheetId val="6"/>
      <sheetId val="7"/>
      <sheetId val="8"/>
      <sheetId val="9"/>
      <sheetId val="10"/>
      <sheetId val="11"/>
      <sheetId val="12"/>
      <sheetId val="13"/>
      <sheetId val="14"/>
    </sheetIdMap>
  </header>
  <header guid="{8408443A-1EAD-4430-9644-EFF65CC5762F}" dateTime="2014-05-29T17:12:01" maxSheetId="15" userName="dparthip" r:id="rId361" minRId="9978" maxRId="10001">
    <sheetIdMap count="14">
      <sheetId val="1"/>
      <sheetId val="2"/>
      <sheetId val="3"/>
      <sheetId val="4"/>
      <sheetId val="5"/>
      <sheetId val="6"/>
      <sheetId val="7"/>
      <sheetId val="8"/>
      <sheetId val="9"/>
      <sheetId val="10"/>
      <sheetId val="11"/>
      <sheetId val="12"/>
      <sheetId val="13"/>
      <sheetId val="14"/>
    </sheetIdMap>
  </header>
  <header guid="{3D187D71-65A3-4E98-A01A-5BD13937A30F}" dateTime="2014-05-29T17:18:57" maxSheetId="15" userName="dparthip" r:id="rId362" minRId="10002" maxRId="10005">
    <sheetIdMap count="14">
      <sheetId val="1"/>
      <sheetId val="2"/>
      <sheetId val="3"/>
      <sheetId val="4"/>
      <sheetId val="5"/>
      <sheetId val="6"/>
      <sheetId val="7"/>
      <sheetId val="8"/>
      <sheetId val="9"/>
      <sheetId val="10"/>
      <sheetId val="11"/>
      <sheetId val="12"/>
      <sheetId val="13"/>
      <sheetId val="14"/>
    </sheetIdMap>
  </header>
  <header guid="{91FA4C79-8CEC-44D5-91F9-39AA2127BE6E}" dateTime="2014-06-04T10:02:54" maxSheetId="15" userName="dparthip" r:id="rId363" minRId="10006" maxRId="10193">
    <sheetIdMap count="14">
      <sheetId val="1"/>
      <sheetId val="2"/>
      <sheetId val="3"/>
      <sheetId val="4"/>
      <sheetId val="5"/>
      <sheetId val="6"/>
      <sheetId val="7"/>
      <sheetId val="8"/>
      <sheetId val="9"/>
      <sheetId val="10"/>
      <sheetId val="11"/>
      <sheetId val="12"/>
      <sheetId val="13"/>
      <sheetId val="14"/>
    </sheetIdMap>
  </header>
  <header guid="{CA6D8B17-B048-449A-9CAE-45001F401042}" dateTime="2014-06-04T11:07:42" maxSheetId="15" userName="dparthip" r:id="rId364" minRId="10194" maxRId="10195">
    <sheetIdMap count="14">
      <sheetId val="1"/>
      <sheetId val="2"/>
      <sheetId val="3"/>
      <sheetId val="4"/>
      <sheetId val="5"/>
      <sheetId val="6"/>
      <sheetId val="7"/>
      <sheetId val="8"/>
      <sheetId val="9"/>
      <sheetId val="10"/>
      <sheetId val="11"/>
      <sheetId val="12"/>
      <sheetId val="13"/>
      <sheetId val="14"/>
    </sheetIdMap>
  </header>
  <header guid="{3CB9CA7E-7537-47D4-A916-EAF46F29BFBF}" dateTime="2014-06-06T10:57:17" maxSheetId="15" userName="dparthip" r:id="rId365" minRId="10196" maxRId="10241">
    <sheetIdMap count="14">
      <sheetId val="1"/>
      <sheetId val="2"/>
      <sheetId val="3"/>
      <sheetId val="4"/>
      <sheetId val="5"/>
      <sheetId val="6"/>
      <sheetId val="7"/>
      <sheetId val="8"/>
      <sheetId val="9"/>
      <sheetId val="10"/>
      <sheetId val="11"/>
      <sheetId val="12"/>
      <sheetId val="13"/>
      <sheetId val="14"/>
    </sheetIdMap>
  </header>
  <header guid="{ED4245FE-ECA7-42D7-A4BF-42F348B346CB}" dateTime="2014-06-13T15:43:25" maxSheetId="15" userName="dparthip" r:id="rId366" minRId="10242" maxRId="10363">
    <sheetIdMap count="14">
      <sheetId val="1"/>
      <sheetId val="2"/>
      <sheetId val="3"/>
      <sheetId val="4"/>
      <sheetId val="5"/>
      <sheetId val="6"/>
      <sheetId val="7"/>
      <sheetId val="8"/>
      <sheetId val="9"/>
      <sheetId val="10"/>
      <sheetId val="11"/>
      <sheetId val="12"/>
      <sheetId val="13"/>
      <sheetId val="14"/>
    </sheetIdMap>
  </header>
  <header guid="{866EE33C-4660-49BD-9056-083EE69AD9C1}" dateTime="2014-06-13T15:43:57" maxSheetId="15" userName="dparthip" r:id="rId367" minRId="10364" maxRId="10389">
    <sheetIdMap count="14">
      <sheetId val="1"/>
      <sheetId val="2"/>
      <sheetId val="3"/>
      <sheetId val="4"/>
      <sheetId val="5"/>
      <sheetId val="6"/>
      <sheetId val="7"/>
      <sheetId val="8"/>
      <sheetId val="9"/>
      <sheetId val="10"/>
      <sheetId val="11"/>
      <sheetId val="12"/>
      <sheetId val="13"/>
      <sheetId val="14"/>
    </sheetIdMap>
  </header>
  <header guid="{72ED78B3-EF58-40E0-8083-91C900F7CFDE}" dateTime="2014-06-17T17:43:10" maxSheetId="15" userName="Slava Abramov" r:id="rId368" minRId="10390" maxRId="10393">
    <sheetIdMap count="14">
      <sheetId val="1"/>
      <sheetId val="2"/>
      <sheetId val="3"/>
      <sheetId val="4"/>
      <sheetId val="5"/>
      <sheetId val="6"/>
      <sheetId val="7"/>
      <sheetId val="8"/>
      <sheetId val="9"/>
      <sheetId val="10"/>
      <sheetId val="11"/>
      <sheetId val="12"/>
      <sheetId val="13"/>
      <sheetId val="14"/>
    </sheetIdMap>
  </header>
  <header guid="{F38C543F-FC05-4A36-A71C-38F1F4B2CBA6}" dateTime="2014-06-23T13:47:43" maxSheetId="15" userName="Slava Abramov" r:id="rId369" minRId="10394" maxRId="10397">
    <sheetIdMap count="14">
      <sheetId val="1"/>
      <sheetId val="2"/>
      <sheetId val="3"/>
      <sheetId val="4"/>
      <sheetId val="5"/>
      <sheetId val="6"/>
      <sheetId val="7"/>
      <sheetId val="8"/>
      <sheetId val="9"/>
      <sheetId val="10"/>
      <sheetId val="11"/>
      <sheetId val="12"/>
      <sheetId val="13"/>
      <sheetId val="14"/>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31" sId="5">
    <nc r="F12" t="inlineStr">
      <is>
        <t>Setup Notes</t>
      </is>
    </nc>
  </rcc>
  <rdn rId="0" localSheetId="3" customView="1" name="Z_BF4A82E8_EC44_4B28_ABE7_07086B055DF8_.wvu.FilterData" hidden="1" oldHidden="1">
    <formula>'D9859 Grid'!$A$2:$Y$59</formula>
  </rdn>
  <rdn rId="0" localSheetId="14" customView="1" name="Z_BF4A82E8_EC44_4B28_ABE7_07086B055DF8_.wvu.FilterData" hidden="1" oldHidden="1">
    <formula>'Transcode Test Cases'!$A$9:$P$46</formula>
  </rdn>
  <rcv guid="{BF4A82E8-EC44-4B28-ABE7-07086B055DF8}"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34" sId="5">
    <nc r="F17" t="inlineStr">
      <is>
        <t>PVNG - max sym rate = 30.0 Msym 7/8</t>
      </is>
    </nc>
  </rcc>
  <rcc rId="7035" sId="5">
    <nc r="F18" t="inlineStr">
      <is>
        <t>PVNG - max sym rate = 30.0 Msym 7/8</t>
      </is>
    </nc>
  </rcc>
  <rcc rId="7036" sId="5">
    <nc r="F19" t="inlineStr">
      <is>
        <t>PVNG - max sym rate = 30.0 Msym 7/8</t>
      </is>
    </nc>
  </rcc>
  <rcv guid="{BF4A82E8-EC44-4B28-ABE7-07086B055DF8}" action="delete"/>
  <rdn rId="0" localSheetId="3" customView="1" name="Z_BF4A82E8_EC44_4B28_ABE7_07086B055DF8_.wvu.FilterData" hidden="1" oldHidden="1">
    <formula>'D9859 Grid'!$A$2:$Y$59</formula>
    <oldFormula>'D9859 Grid'!$A$2:$Y$59</oldFormula>
  </rdn>
  <rdn rId="0" localSheetId="14" customView="1" name="Z_BF4A82E8_EC44_4B28_ABE7_07086B055DF8_.wvu.FilterData" hidden="1" oldHidden="1">
    <formula>'Transcode Test Cases'!$A$9:$P$46</formula>
    <oldFormula>'Transcode Test Cases'!$A$9:$P$46</oldFormula>
  </rdn>
  <rcv guid="{BF4A82E8-EC44-4B28-ABE7-07086B055DF8}"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39" sId="3" odxf="1" dxf="1" numFmtId="19">
    <nc r="A7">
      <v>41690</v>
    </nc>
    <odxf>
      <font>
        <color indexed="8"/>
        <name val="Times New Roman"/>
        <scheme val="none"/>
      </font>
      <border outline="0">
        <left style="medium">
          <color indexed="64"/>
        </left>
        <top/>
      </border>
    </odxf>
    <ndxf>
      <font>
        <color rgb="FF000000"/>
        <name val="Calibri"/>
        <scheme val="minor"/>
      </font>
      <border outline="0">
        <left style="thin">
          <color indexed="64"/>
        </left>
        <top style="thin">
          <color indexed="64"/>
        </top>
      </border>
    </ndxf>
  </rcc>
  <rcc rId="7040" sId="3" odxf="1" dxf="1">
    <nc r="B7">
      <v>4</v>
    </nc>
    <odxf>
      <font>
        <sz val="9"/>
        <color indexed="8"/>
        <name val="Calibri"/>
        <scheme val="none"/>
      </font>
      <fill>
        <patternFill>
          <bgColor theme="0"/>
        </patternFill>
      </fill>
    </odxf>
    <ndxf>
      <font>
        <sz val="9"/>
        <color indexed="8"/>
        <name val="Calibri"/>
        <scheme val="minor"/>
      </font>
      <fill>
        <patternFill>
          <bgColor rgb="FFCCFFCC"/>
        </patternFill>
      </fill>
    </ndxf>
  </rcc>
  <rcc rId="7041" sId="3" odxf="1" dxf="1">
    <nc r="C7">
      <v>15</v>
    </nc>
    <odxf>
      <font>
        <sz val="9"/>
        <color indexed="8"/>
        <name val="Calibri"/>
        <scheme val="none"/>
      </font>
      <fill>
        <patternFill>
          <bgColor theme="0"/>
        </patternFill>
      </fill>
    </odxf>
    <ndxf>
      <font>
        <sz val="9"/>
        <color indexed="8"/>
        <name val="Calibri"/>
        <scheme val="minor"/>
      </font>
      <fill>
        <patternFill>
          <bgColor rgb="FFCCFFCC"/>
        </patternFill>
      </fill>
    </ndxf>
  </rcc>
  <rcc rId="7042" sId="3" odxf="1" dxf="1">
    <nc r="D7">
      <v>18</v>
    </nc>
    <odxf>
      <font>
        <sz val="9"/>
        <color indexed="8"/>
        <name val="Calibri"/>
        <scheme val="none"/>
      </font>
      <fill>
        <patternFill>
          <bgColor theme="0"/>
        </patternFill>
      </fill>
    </odxf>
    <ndxf>
      <font>
        <sz val="9"/>
        <color indexed="8"/>
        <name val="Calibri"/>
        <scheme val="minor"/>
      </font>
      <fill>
        <patternFill>
          <bgColor rgb="FFCCFFCC"/>
        </patternFill>
      </fill>
    </ndxf>
  </rcc>
  <rcc rId="7043" sId="3" odxf="1" dxf="1">
    <nc r="E7">
      <v>28</v>
    </nc>
    <odxf>
      <font>
        <sz val="9"/>
        <color indexed="8"/>
        <name val="Calibri"/>
        <scheme val="none"/>
      </font>
      <fill>
        <patternFill>
          <bgColor theme="0"/>
        </patternFill>
      </fill>
    </odxf>
    <ndxf>
      <font>
        <sz val="9"/>
        <color indexed="8"/>
        <name val="Calibri"/>
        <scheme val="minor"/>
      </font>
      <fill>
        <patternFill>
          <bgColor rgb="FFCCFFCC"/>
        </patternFill>
      </fill>
    </ndxf>
  </rcc>
  <rcc rId="7044" sId="3" odxf="1" dxf="1">
    <nc r="F7">
      <v>2</v>
    </nc>
    <odxf>
      <font>
        <sz val="9"/>
        <color indexed="8"/>
        <name val="Calibri"/>
        <scheme val="none"/>
      </font>
      <fill>
        <patternFill>
          <bgColor theme="0"/>
        </patternFill>
      </fill>
    </odxf>
    <ndxf>
      <font>
        <sz val="9"/>
        <color indexed="8"/>
        <name val="Calibri"/>
        <scheme val="minor"/>
      </font>
      <fill>
        <patternFill>
          <bgColor rgb="FFCCFFCC"/>
        </patternFill>
      </fill>
    </ndxf>
  </rcc>
  <rcc rId="7045" sId="3" odxf="1" dxf="1">
    <nc r="G7">
      <v>17</v>
    </nc>
    <odxf>
      <fill>
        <patternFill>
          <bgColor theme="0"/>
        </patternFill>
      </fill>
    </odxf>
    <ndxf>
      <fill>
        <patternFill>
          <bgColor rgb="FFCCFFCC"/>
        </patternFill>
      </fill>
    </ndxf>
  </rcc>
  <rcc rId="7046" sId="3" odxf="1" dxf="1">
    <nc r="N7">
      <v>18</v>
    </nc>
    <odxf>
      <fill>
        <patternFill>
          <bgColor theme="0"/>
        </patternFill>
      </fill>
    </odxf>
    <ndxf>
      <fill>
        <patternFill>
          <bgColor rgb="FFCCFFCC"/>
        </patternFill>
      </fill>
    </ndxf>
  </rcc>
  <rcc rId="7047" sId="3" odxf="1" dxf="1">
    <nc r="O7">
      <v>5</v>
    </nc>
    <odxf>
      <font>
        <sz val="9"/>
        <color indexed="8"/>
        <name val="Calibri"/>
        <scheme val="none"/>
      </font>
      <fill>
        <patternFill>
          <bgColor theme="0"/>
        </patternFill>
      </fill>
    </odxf>
    <ndxf>
      <font>
        <sz val="9"/>
        <color indexed="8"/>
        <name val="Calibri"/>
        <scheme val="minor"/>
      </font>
      <fill>
        <patternFill>
          <bgColor rgb="FFCCFFCC"/>
        </patternFill>
      </fill>
    </ndxf>
  </rcc>
  <rcc rId="7048" sId="3" odxf="1" dxf="1">
    <nc r="P7">
      <v>7</v>
    </nc>
    <odxf>
      <font>
        <sz val="9"/>
        <color indexed="8"/>
        <name val="Calibri"/>
        <scheme val="none"/>
      </font>
      <fill>
        <patternFill>
          <bgColor theme="0"/>
        </patternFill>
      </fill>
    </odxf>
    <ndxf>
      <font>
        <sz val="9"/>
        <color indexed="8"/>
        <name val="Calibri"/>
        <scheme val="minor"/>
      </font>
      <fill>
        <patternFill>
          <bgColor rgb="FFCCFFCC"/>
        </patternFill>
      </fill>
    </ndxf>
  </rcc>
  <rcc rId="7049" sId="3" odxf="1" dxf="1">
    <nc r="Q7">
      <v>3</v>
    </nc>
    <odxf>
      <font>
        <sz val="9"/>
        <color indexed="8"/>
        <name val="Calibri"/>
        <scheme val="none"/>
      </font>
      <fill>
        <patternFill>
          <bgColor theme="0"/>
        </patternFill>
      </fill>
    </odxf>
    <ndxf>
      <font>
        <sz val="9"/>
        <color indexed="8"/>
        <name val="Calibri"/>
        <scheme val="minor"/>
      </font>
      <fill>
        <patternFill>
          <bgColor rgb="FFCCFFCC"/>
        </patternFill>
      </fill>
    </ndxf>
  </rcc>
  <rcc rId="7050" sId="3" odxf="1" s="1" dxf="1">
    <nc r="R7">
      <v>9</v>
    </nc>
    <odxf>
      <font>
        <b val="0"/>
        <i val="0"/>
        <strike val="0"/>
        <condense val="0"/>
        <extend val="0"/>
        <outline val="0"/>
        <shadow val="0"/>
        <u val="none"/>
        <vertAlign val="baseline"/>
        <sz val="9"/>
        <color rgb="FF000000"/>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ndxf>
  </rcc>
  <rcc rId="7051" sId="3" odxf="1" dxf="1">
    <nc r="S7">
      <v>1</v>
    </nc>
    <odxf>
      <font>
        <sz val="9"/>
        <color indexed="8"/>
        <name val="Calibri"/>
        <scheme val="none"/>
      </font>
      <fill>
        <patternFill>
          <bgColor theme="0"/>
        </patternFill>
      </fill>
    </odxf>
    <ndxf>
      <font>
        <sz val="9"/>
        <color indexed="8"/>
        <name val="Calibri"/>
        <scheme val="minor"/>
      </font>
      <fill>
        <patternFill>
          <bgColor rgb="FFCCFFCC"/>
        </patternFill>
      </fill>
    </ndxf>
  </rcc>
  <rcc rId="7052" sId="3" odxf="1" dxf="1">
    <nc r="T7">
      <v>2</v>
    </nc>
    <odxf>
      <font>
        <sz val="9"/>
        <color indexed="8"/>
        <name val="Calibri"/>
        <scheme val="none"/>
      </font>
      <fill>
        <patternFill>
          <bgColor theme="0"/>
        </patternFill>
      </fill>
    </odxf>
    <ndxf>
      <font>
        <sz val="9"/>
        <color indexed="8"/>
        <name val="Calibri"/>
        <scheme val="minor"/>
      </font>
      <fill>
        <patternFill>
          <bgColor rgb="FFCCFFCC"/>
        </patternFill>
      </fill>
    </ndxf>
  </rcc>
  <rcc rId="7053" sId="3" odxf="1" dxf="1">
    <nc r="U7">
      <v>1</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7054" sId="3" odxf="1" dxf="1">
    <nc r="V7"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055" sId="3" odxf="1" dxf="1">
    <nc r="W7" t="inlineStr">
      <is>
        <t>C.Pass</t>
      </is>
    </nc>
    <odxf>
      <font>
        <color rgb="FF000000"/>
        <name val="Times New Roman"/>
        <scheme val="none"/>
      </font>
      <fill>
        <patternFill>
          <fgColor rgb="FF000000"/>
          <bgColor theme="0"/>
        </patternFill>
      </fill>
    </odxf>
    <ndxf>
      <font>
        <color indexed="8"/>
        <name val="Times New Roman"/>
        <scheme val="none"/>
      </font>
      <fill>
        <patternFill>
          <fgColor indexed="64"/>
          <bgColor rgb="FFFFFF99"/>
        </patternFill>
      </fill>
    </ndxf>
  </rcc>
  <rfmt sheetId="3" sqref="M7" start="0" length="0">
    <dxf>
      <fill>
        <patternFill>
          <bgColor rgb="FFCCFFCC"/>
        </patternFill>
      </fill>
    </dxf>
  </rfmt>
  <rfmt sheetId="3" sqref="L7" start="0" length="0">
    <dxf>
      <fill>
        <patternFill>
          <bgColor rgb="FFCCFFCC"/>
        </patternFill>
      </fill>
    </dxf>
  </rfmt>
  <rcc rId="7056" sId="3">
    <nc r="M7">
      <v>18</v>
    </nc>
  </rcc>
  <rcc rId="7057" sId="3">
    <nc r="L7">
      <v>18</v>
    </nc>
  </rcc>
  <rcc rId="7058" sId="3" odxf="1" dxf="1">
    <nc r="K7">
      <v>18</v>
    </nc>
    <odxf>
      <fill>
        <patternFill>
          <bgColor theme="0"/>
        </patternFill>
      </fill>
    </odxf>
    <ndxf>
      <fill>
        <patternFill>
          <bgColor rgb="FFCCFFCC"/>
        </patternFill>
      </fill>
    </ndxf>
  </rcc>
  <rfmt sheetId="3" sqref="H7" start="0" length="0">
    <dxf>
      <fill>
        <patternFill>
          <bgColor rgb="FFCCFFCC"/>
        </patternFill>
      </fill>
    </dxf>
  </rfmt>
  <rfmt sheetId="3" sqref="I7" start="0" length="0">
    <dxf>
      <fill>
        <patternFill>
          <bgColor rgb="FFCCFFCC"/>
        </patternFill>
      </fill>
    </dxf>
  </rfmt>
  <rcc rId="7059" sId="3">
    <nc r="H7">
      <v>17</v>
    </nc>
  </rcc>
  <rcc rId="7060" sId="3">
    <nc r="I7">
      <v>17</v>
    </nc>
  </rcc>
  <rcc rId="7061" sId="3" odxf="1" dxf="1">
    <nc r="J7">
      <v>17</v>
    </nc>
    <odxf>
      <fill>
        <patternFill>
          <bgColor theme="0"/>
        </patternFill>
      </fill>
    </odxf>
    <ndxf>
      <fill>
        <patternFill>
          <bgColor rgb="FFCCFFCC"/>
        </patternFill>
      </fill>
    </ndxf>
  </rcc>
  <rcc rId="7062" sId="3">
    <nc r="X7" t="inlineStr">
      <is>
        <t xml:space="preserve"> All units have valid video and audio output.
 Reboot is detected on unit .231. 
 TX CC  error on PID 104 co-timed on all units due to uplink issue.
 MPE warnings on all units, system issue.
 Asserts on unit.107 due to unknown issue
 VBI warnings on all due to known setup issue.</t>
      </is>
    </nc>
  </rcc>
  <rdn rId="0" localSheetId="3" customView="1" name="Z_609F876C_F41A_43C8_BD3D_0455630C6D86_.wvu.FilterData" hidden="1" oldHidden="1">
    <formula>'D9859 Grid'!$A$2:$Y$59</formula>
  </rdn>
  <rdn rId="0" localSheetId="14" customView="1" name="Z_609F876C_F41A_43C8_BD3D_0455630C6D86_.wvu.FilterData" hidden="1" oldHidden="1">
    <formula>'Transcode Test Cases'!$A$9:$P$46</formula>
  </rdn>
  <rcv guid="{609F876C-F41A-43C8-BD3D-0455630C6D86}"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65" sId="4" numFmtId="19">
    <oc r="I1">
      <v>41579</v>
    </oc>
    <nc r="I1">
      <v>41690</v>
    </nc>
  </rcc>
  <rcc rId="7066" sId="4">
    <oc r="K1" t="inlineStr">
      <is>
        <t>T1.10B5</t>
      </is>
    </oc>
    <nc r="K1" t="inlineStr">
      <is>
        <t>B04.00.16DD</t>
      </is>
    </nc>
  </rcc>
  <rcc rId="7067" sId="4" numFmtId="19">
    <oc r="I2">
      <v>41683</v>
    </oc>
    <nc r="I2">
      <v>41690</v>
    </nc>
  </rcc>
  <rcc rId="7068" sId="4">
    <oc r="K2" t="inlineStr">
      <is>
        <t xml:space="preserve">T1.05B10 </t>
      </is>
    </oc>
    <nc r="K2" t="inlineStr">
      <is>
        <t>B04.00.16DD</t>
      </is>
    </nc>
  </rcc>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2"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8" start="0" length="0">
    <dxf>
      <fill>
        <patternFill>
          <bgColor rgb="FFCCFFCC"/>
        </patternFill>
      </fill>
    </dxf>
  </rfmt>
  <rcc rId="7069" sId="3">
    <oc r="B5" t="inlineStr">
      <is>
        <t>1, 2, 6, 7, 20</t>
      </is>
    </oc>
    <nc r="B5" t="inlineStr">
      <is>
        <t>1, 2, 3, 5, 6, 7, 8, 9, 10, 11, 12, 13, 14, 16, 19, 20</t>
      </is>
    </nc>
  </rcc>
  <rcc rId="7070" sId="3" numFmtId="13">
    <oc r="B4">
      <v>0.70588235294117652</v>
    </oc>
    <nc r="B4">
      <v>5.8823529411764705E-2</v>
    </nc>
  </rcc>
  <rcc rId="7071" sId="3" numFmtId="13">
    <oc r="B3">
      <v>0.70588235294117652</v>
    </oc>
    <nc r="B3">
      <v>5.8823529411764705E-2</v>
    </nc>
  </rcc>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19" start="0" length="0">
    <dxf>
      <fill>
        <patternFill>
          <bgColor rgb="FFCCFFCC"/>
        </patternFill>
      </fill>
    </dxf>
  </rfmt>
  <rcc rId="7072" sId="3">
    <oc r="C5" t="inlineStr">
      <is>
        <t>1, 9, 10, 11</t>
      </is>
    </oc>
    <nc r="C5" t="inlineStr">
      <is>
        <t>1, 2, 3, 6, 7, 9, 10, 11, 16, 17, 18</t>
      </is>
    </nc>
  </rcc>
  <rcc rId="7073" sId="3" numFmtId="13">
    <oc r="C4">
      <v>0.66666666666666663</v>
    </oc>
    <nc r="C4">
      <v>8.3333333333333329E-2</v>
    </nc>
  </rcc>
  <rcc rId="7074" sId="3" numFmtId="13">
    <oc r="C3">
      <v>0.66666666666666663</v>
    </oc>
    <nc r="C3">
      <v>8.3333333333333329E-2</v>
    </nc>
  </rcc>
  <rfmt sheetId="4" sqref="K5" start="0" length="0">
    <dxf>
      <fill>
        <patternFill>
          <bgColor rgb="FFFFFFFF"/>
        </patternFill>
      </fill>
    </dxf>
  </rfmt>
  <rfmt sheetId="4" sqref="M5" start="0" length="0">
    <dxf>
      <fill>
        <patternFill>
          <bgColor rgb="FFFFFFFF"/>
        </patternFill>
      </fill>
    </dxf>
  </rfmt>
  <rfmt sheetId="4" sqref="N5"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L6" start="0" length="0">
    <dxf>
      <fill>
        <patternFill>
          <bgColor rgb="FFFFFFFF"/>
        </patternFill>
      </fill>
    </dxf>
  </rfmt>
  <rfmt sheetId="4" sqref="M6" start="0" length="0">
    <dxf>
      <fill>
        <patternFill>
          <bgColor rgb="FFFFFFFF"/>
        </patternFill>
      </fill>
    </dxf>
  </rfmt>
  <rfmt sheetId="4" sqref="I7" start="0" length="0">
    <dxf>
      <fill>
        <patternFill>
          <bgColor rgb="FFFFFFFF"/>
        </patternFill>
      </fill>
    </dxf>
  </rfmt>
  <rfmt sheetId="4" sqref="J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J8" start="0" length="0">
    <dxf>
      <fill>
        <patternFill>
          <bgColor rgb="FFFFFFFF"/>
        </patternFill>
      </fill>
    </dxf>
  </rfmt>
  <rfmt sheetId="4" sqref="K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M12" start="0" length="0">
    <dxf>
      <fill>
        <patternFill>
          <bgColor rgb="FFFFFFFF"/>
        </patternFill>
      </fill>
    </dxf>
  </rfmt>
  <rfmt sheetId="4" sqref="K7" start="0" length="0">
    <dxf>
      <fill>
        <patternFill>
          <bgColor rgb="FFCCFFCC"/>
        </patternFill>
      </fill>
    </dxf>
  </rfmt>
  <rcc rId="7075" sId="3">
    <oc r="D5" t="inlineStr">
      <is>
        <t>1, 4, 7, 19, 2, 5, 26, 3, 18, 21, 10, 31, 34, 37, 15, 30, 40, 41, 42, 43, 44, 45, 47, 49</t>
      </is>
    </oc>
    <nc r="D5" t="inlineStr">
      <is>
        <t>1, 4, 7, 16, 19, 22, 25, 2, 5, 8, 17, 20, 23, 26, 3, 6, 9, 21, 24, 27, 10, 13, 28, 31, 34, 37, 11, 14, 29, 32, 35, 38, 12, 15, 30, 33, 36, 39, 40, 41, 42, 43, 44, 45, 46, 47, 48, 49</t>
      </is>
    </nc>
  </rcc>
  <rcc rId="7076" sId="3" numFmtId="13">
    <oc r="D4">
      <v>0.51020408163265307</v>
    </oc>
    <nc r="D4">
      <v>2.0408163265306121E-2</v>
    </nc>
  </rcc>
  <rcc rId="7077" sId="3" numFmtId="13">
    <oc r="D3">
      <v>0.48979591836734693</v>
    </oc>
    <nc r="D3">
      <v>2.0408163265306121E-2</v>
    </nc>
  </rcc>
  <rfmt sheetId="4" sqref="I15" start="0" length="0">
    <dxf>
      <fill>
        <patternFill>
          <bgColor rgb="FFFFFFFF"/>
        </patternFill>
      </fill>
    </dxf>
  </rfmt>
  <rfmt sheetId="4" sqref="I16" start="0" length="0">
    <dxf>
      <fill>
        <patternFill>
          <bgColor rgb="FFFFFFFF"/>
        </patternFill>
      </fill>
    </dxf>
  </rfmt>
  <rfmt sheetId="4" sqref="J17" start="0" length="0">
    <dxf>
      <fill>
        <patternFill>
          <bgColor rgb="FFFFFFFF"/>
        </patternFill>
      </fill>
    </dxf>
  </rfmt>
  <rfmt sheetId="4" sqref="K17" start="0" length="0">
    <dxf>
      <fill>
        <patternFill>
          <bgColor rgb="FFFFFFFF"/>
        </patternFill>
      </fill>
    </dxf>
  </rfmt>
  <rfmt sheetId="4" sqref="H18" start="0" length="0">
    <dxf>
      <fill>
        <patternFill>
          <bgColor rgb="FFFFFFFF"/>
        </patternFill>
      </fill>
    </dxf>
  </rfmt>
  <rfmt sheetId="4" sqref="I18" start="0" length="0">
    <dxf>
      <fill>
        <patternFill>
          <bgColor rgb="FFFFFFFF"/>
        </patternFill>
      </fill>
    </dxf>
  </rfmt>
  <rfmt sheetId="4" sqref="J19" start="0" length="0">
    <dxf>
      <fill>
        <patternFill>
          <bgColor rgb="FFFFFFFF"/>
        </patternFill>
      </fill>
    </dxf>
  </rfmt>
  <rfmt sheetId="4" sqref="J20" start="0" length="0">
    <dxf>
      <fill>
        <patternFill>
          <bgColor rgb="FFFFFFFF"/>
        </patternFill>
      </fill>
    </dxf>
  </rfmt>
  <rfmt sheetId="4" sqref="H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H30"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K32" start="0" length="0">
    <dxf>
      <fill>
        <patternFill>
          <bgColor rgb="FFFFFFFF"/>
        </patternFill>
      </fill>
    </dxf>
  </rfmt>
  <rfmt sheetId="4" sqref="J33" start="0" length="0">
    <dxf>
      <fill>
        <patternFill>
          <bgColor rgb="FFFFFFFF"/>
        </patternFill>
      </fill>
    </dxf>
  </rfmt>
  <rfmt sheetId="4" sqref="H26" start="0" length="0">
    <dxf>
      <fill>
        <patternFill>
          <bgColor rgb="FFCCFFCC"/>
        </patternFill>
      </fill>
    </dxf>
  </rfmt>
  <rcc rId="7078" sId="3">
    <oc r="E5" t="inlineStr">
      <is>
        <t>1, 5, 2, 6, 7, 9, 12, 16, 19, 21, 25, 22, 26, 24, 27, 29, 33, 35, 36, 37, 40, 42, 45, 46, 47, 49, 50</t>
      </is>
    </oc>
    <nc r="E5" t="inlineStr">
      <is>
        <t>1, 3, 5, 2, 4, 6, 7, 9, 11, 15, 8, 10, 12, 16, 13, 14, 17, 19, 21, 25, 18, 20, 22, 26, 23, 24, 27, 29, 30, 31, 32, 33, 34, 35, 36, 37, 38, 40, 39, 41, 42, 43, 44, 45, 46, 47, 48, 49, 50, 51, 53, 52</t>
      </is>
    </nc>
  </rcc>
  <rcc rId="7079" sId="3" numFmtId="13">
    <oc r="E4">
      <v>0.49056603773584906</v>
    </oc>
    <nc r="E4">
      <v>1.8867924528301886E-2</v>
    </nc>
  </rcc>
  <rcc rId="7080" sId="3" numFmtId="13">
    <oc r="E3">
      <v>0.47169811320754718</v>
    </oc>
    <nc r="E3">
      <v>1.8867924528301886E-2</v>
    </nc>
  </rcc>
  <rfmt sheetId="4" sqref="N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7" start="0" length="0">
    <dxf>
      <fill>
        <patternFill>
          <bgColor rgb="FFCCFFCC"/>
        </patternFill>
      </fill>
    </dxf>
  </rfmt>
  <rcc rId="7081" sId="3">
    <oc r="F5" t="inlineStr">
      <is>
        <t>3, 9</t>
      </is>
    </oc>
    <nc r="F5" t="inlineStr">
      <is>
        <t>1, 3, 5, 4, 6, 7, 9, 11, 8, 10, 12, 13, 14</t>
      </is>
    </nc>
  </rcc>
  <rcc rId="7082" sId="3" numFmtId="13">
    <oc r="F4">
      <v>0.8571428571428571</v>
    </oc>
    <nc r="F4">
      <v>7.1428571428571425E-2</v>
    </nc>
  </rcc>
  <rcc rId="7083" sId="3" numFmtId="13">
    <oc r="F3">
      <v>0.8571428571428571</v>
    </oc>
    <nc r="F3">
      <v>7.1428571428571425E-2</v>
    </nc>
  </rcc>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O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cc rId="7084" sId="3">
    <oc r="G5" t="inlineStr">
      <is>
        <t>7, 8, 10, 27, 30, 19, 18, 20, 21, 23, 33, 34, 35, 36</t>
      </is>
    </oc>
    <nc r="G5" t="inlineStr">
      <is>
        <t>5, 7, 6, 8, 1, 3, 2, 4, 9, 10, 11, 12, 27, 28, 25, 26, 37, 29, 30, 19, 18, 20, 13, 15, 14, 16, 21, 22, 23, 24, 33, 34, 31, 32, 35, 36</t>
      </is>
    </nc>
  </rcc>
  <rcc rId="7085" sId="3" numFmtId="13">
    <oc r="G4">
      <v>0.6216216216216216</v>
    </oc>
    <nc r="G4">
      <v>2.7027027027027029E-2</v>
    </nc>
  </rcc>
  <rcc rId="7086" sId="3" numFmtId="13">
    <oc r="G3">
      <v>0.59459459459459463</v>
    </oc>
    <nc r="G3">
      <v>2.7027027027027029E-2</v>
    </nc>
  </rcc>
  <rcc rId="7087" sId="3">
    <oc r="H5" t="inlineStr">
      <is>
        <t>7, 8, 10, 27, 30, 19, 18, 20, 21, 23, 33, 34, 35, 36</t>
      </is>
    </oc>
    <nc r="H5" t="inlineStr">
      <is>
        <t>5, 7, 6, 8, 1, 3, 2, 4, 9, 10, 11, 12, 27, 28, 25, 26, 37, 29, 30, 19, 18, 20, 13, 15, 14, 16, 21, 22, 23, 24, 33, 34, 31, 32, 35, 36</t>
      </is>
    </nc>
  </rcc>
  <rcc rId="7088" sId="3" numFmtId="13">
    <oc r="H4">
      <v>0.6216216216216216</v>
    </oc>
    <nc r="H4">
      <v>2.7027027027027029E-2</v>
    </nc>
  </rcc>
  <rcc rId="7089" sId="3" numFmtId="13">
    <oc r="H3">
      <v>0.59459459459459463</v>
    </oc>
    <nc r="H3">
      <v>2.7027027027027029E-2</v>
    </nc>
  </rcc>
  <rcc rId="7090" sId="3">
    <oc r="I5" t="inlineStr">
      <is>
        <t>7, 8, 10, 27, 30, 19, 18, 20, 21, 23, 33, 34, 35, 36</t>
      </is>
    </oc>
    <nc r="I5" t="inlineStr">
      <is>
        <t>5, 7, 6, 8, 1, 3, 2, 4, 9, 10, 11, 12, 27, 28, 25, 26, 37, 29, 30, 19, 18, 20, 13, 15, 14, 16, 21, 22, 23, 24, 33, 34, 31, 32, 35, 36</t>
      </is>
    </nc>
  </rcc>
  <rcc rId="7091" sId="3" numFmtId="13">
    <oc r="I4">
      <v>0.6216216216216216</v>
    </oc>
    <nc r="I4">
      <v>2.7027027027027029E-2</v>
    </nc>
  </rcc>
  <rcc rId="7092" sId="3" numFmtId="13">
    <oc r="I3">
      <v>0.59459459459459463</v>
    </oc>
    <nc r="I3">
      <v>2.7027027027027029E-2</v>
    </nc>
  </rcc>
  <rcc rId="7093" sId="3">
    <oc r="J5" t="inlineStr">
      <is>
        <t>7, 8, 10, 27, 30, 19, 18, 20, 21, 23, 33, 34, 35, 36</t>
      </is>
    </oc>
    <nc r="J5" t="inlineStr">
      <is>
        <t>5, 7, 6, 8, 1, 3, 2, 4, 9, 10, 11, 12, 27, 28, 25, 26, 37, 29, 30, 19, 18, 20, 13, 15, 14, 16, 21, 22, 23, 24, 33, 34, 31, 32, 35, 36</t>
      </is>
    </nc>
  </rcc>
  <rcc rId="7094" sId="3" numFmtId="13">
    <oc r="J4">
      <v>0.6216216216216216</v>
    </oc>
    <nc r="J4">
      <v>2.7027027027027029E-2</v>
    </nc>
  </rcc>
  <rcc rId="7095" sId="3" numFmtId="13">
    <oc r="J3">
      <v>0.59459459459459463</v>
    </oc>
    <nc r="J3">
      <v>2.7027027027027029E-2</v>
    </nc>
  </rcc>
  <rcc rId="7096" sId="3">
    <oc r="K5" t="inlineStr">
      <is>
        <t>1, 3, 2, 4, 9, 11, 26, 29, 15, 16, 21, 23, 31, 32, 35, 36</t>
      </is>
    </oc>
    <nc r="K5" t="inlineStr">
      <is>
        <t>5, 7, 6, 8, 1, 3, 2, 4, 9, 10, 11, 12, 27, 28, 25, 26, 37, 29, 30, 17, 19, 20, 13, 15, 14, 16, 21, 22, 23, 24, 33, 34, 31, 32, 35, 36</t>
      </is>
    </nc>
  </rcc>
  <rcc rId="7097" sId="3" numFmtId="13">
    <oc r="K4">
      <v>0.56756756756756754</v>
    </oc>
    <nc r="K4">
      <v>2.7027027027027029E-2</v>
    </nc>
  </rcc>
  <rcc rId="7098" sId="3" numFmtId="13">
    <oc r="K3">
      <v>0.54054054054054057</v>
    </oc>
    <nc r="K3">
      <v>2.7027027027027029E-2</v>
    </nc>
  </rcc>
  <rcc rId="7099" sId="3">
    <oc r="L5" t="inlineStr">
      <is>
        <t>1, 3, 2, 4, 9, 11, 26, 29, 15, 16, 21, 23, 31, 32, 35, 36</t>
      </is>
    </oc>
    <nc r="L5" t="inlineStr">
      <is>
        <t>5, 7, 6, 8, 1, 3, 2, 4, 9, 10, 11, 12, 27, 28, 25, 26, 37, 29, 30, 17, 19, 20, 13, 15, 14, 16, 21, 22, 23, 24, 33, 34, 31, 32, 35, 36</t>
      </is>
    </nc>
  </rcc>
  <rcc rId="7100" sId="3" numFmtId="13">
    <oc r="L4">
      <v>0.56756756756756754</v>
    </oc>
    <nc r="L4">
      <v>2.7027027027027029E-2</v>
    </nc>
  </rcc>
  <rcc rId="7101" sId="3" numFmtId="13">
    <oc r="L3">
      <v>0.54054054054054057</v>
    </oc>
    <nc r="L3">
      <v>2.7027027027027029E-2</v>
    </nc>
  </rcc>
  <rcc rId="7102" sId="3">
    <oc r="M5" t="inlineStr">
      <is>
        <t>7, 8, 1, 3, 2, 4, 9, 11, 28, 25, 26, 29, 18, 15, 14, 16, 21, 23, 31, 32, 35, 36</t>
      </is>
    </oc>
    <nc r="M5" t="inlineStr">
      <is>
        <t>5, 7, 6, 8, 1, 3, 2, 4, 9, 10, 11, 12, 27, 28, 25, 26, 37, 29, 30, 17, 19, 20, 13, 15, 14, 16, 21, 22, 23, 24, 33, 34, 31, 32, 35, 36</t>
      </is>
    </nc>
  </rcc>
  <rcc rId="7103" sId="3" numFmtId="13">
    <oc r="M4">
      <v>0.40540540540540543</v>
    </oc>
    <nc r="M4">
      <v>2.7027027027027029E-2</v>
    </nc>
  </rcc>
  <rcc rId="7104" sId="3" numFmtId="13">
    <oc r="M3">
      <v>0.35135135135135137</v>
    </oc>
    <nc r="M3">
      <v>2.7027027027027029E-2</v>
    </nc>
  </rcc>
  <rcc rId="7105" sId="3">
    <oc r="N5" t="inlineStr">
      <is>
        <t>7, 8, 1, 3, 2, 4, 9, 11, 28, 25, 26, 29, 18, 15, 14, 16, 21, 23, 31, 32, 35, 36</t>
      </is>
    </oc>
    <nc r="N5" t="inlineStr">
      <is>
        <t>5, 7, 6, 8, 1, 3, 2, 4, 9, 10, 11, 12, 27, 28, 25, 26, 37, 29, 30, 17, 19, 20, 13, 15, 14, 16, 21, 22, 23, 24, 33, 34, 31, 32, 35, 36</t>
      </is>
    </nc>
  </rcc>
  <rcc rId="7106" sId="3" numFmtId="13">
    <oc r="N4">
      <v>0.40540540540540543</v>
    </oc>
    <nc r="N4">
      <v>2.7027027027027029E-2</v>
    </nc>
  </rcc>
  <rcc rId="7107" sId="3" numFmtId="13">
    <oc r="N3">
      <v>0.35135135135135137</v>
    </oc>
    <nc r="N3">
      <v>2.7027027027027029E-2</v>
    </nc>
  </rcc>
  <rfmt sheetId="4" sqref="Q5"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S6" start="0" length="0">
    <dxf>
      <fill>
        <patternFill>
          <bgColor rgb="FFCCFFCC"/>
        </patternFill>
      </fill>
    </dxf>
  </rfmt>
  <rcc rId="7108" sId="3">
    <oc r="O5">
      <v>2</v>
    </oc>
    <nc r="O5" t="inlineStr">
      <is>
        <t>1, 2, 6, 3, 4, 7, 8</t>
      </is>
    </nc>
  </rcc>
  <rcc rId="7109" sId="3" numFmtId="13">
    <oc r="O4">
      <v>0.875</v>
    </oc>
    <nc r="O4">
      <v>0.125</v>
    </nc>
  </rcc>
  <rcc rId="7110" sId="3" numFmtId="13">
    <oc r="O3">
      <v>0.875</v>
    </oc>
    <nc r="O3">
      <v>0.125</v>
    </nc>
  </rcc>
  <rfmt sheetId="4" sqref="Q10" start="0" length="0">
    <dxf>
      <fill>
        <patternFill>
          <bgColor rgb="FFFFFFFF"/>
        </patternFill>
      </fill>
    </dxf>
  </rfmt>
  <rfmt sheetId="4" sqref="R10"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S12" start="0" length="0">
    <dxf>
      <fill>
        <patternFill>
          <bgColor rgb="FFCCFFCC"/>
        </patternFill>
      </fill>
    </dxf>
  </rfmt>
  <rcc rId="7111" sId="3">
    <oc r="P5">
      <v>3</v>
    </oc>
    <nc r="P5" t="inlineStr">
      <is>
        <t>1, 5, 3, 2, 6, 4</t>
      </is>
    </nc>
  </rcc>
  <rcc rId="7112" sId="3" numFmtId="13">
    <oc r="P4">
      <v>0.8571428571428571</v>
    </oc>
    <nc r="P4">
      <v>0.14285714285714285</v>
    </nc>
  </rcc>
  <rcc rId="7113" sId="3" numFmtId="13">
    <oc r="P3">
      <v>0.8571428571428571</v>
    </oc>
    <nc r="P3">
      <v>0.14285714285714285</v>
    </nc>
  </rcc>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20" start="0" length="0">
    <dxf>
      <fill>
        <patternFill>
          <bgColor rgb="FFCCFFCC"/>
        </patternFill>
      </fill>
    </dxf>
  </rfmt>
  <rcc rId="7114" sId="3">
    <nc r="Q5" t="inlineStr">
      <is>
        <t>1, 2, 4</t>
      </is>
    </nc>
  </rcc>
  <rcc rId="7115" sId="3" numFmtId="13">
    <oc r="Q4">
      <v>1</v>
    </oc>
    <nc r="Q4">
      <v>0.25</v>
    </nc>
  </rcc>
  <rcc rId="7116" sId="3" numFmtId="13">
    <oc r="Q3">
      <v>1</v>
    </oc>
    <nc r="Q3">
      <v>0.25</v>
    </nc>
  </rcc>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cc rId="7117" sId="3">
    <nc r="R5" t="inlineStr">
      <is>
        <t>1, 2, 10, 5, 6, 11, 12</t>
      </is>
    </nc>
  </rcc>
  <rcc rId="7118" sId="3" numFmtId="13">
    <oc r="R4">
      <v>1</v>
    </oc>
    <nc r="R4">
      <v>0.125</v>
    </nc>
  </rcc>
  <rcc rId="7119" sId="3" numFmtId="13">
    <oc r="R3">
      <v>1</v>
    </oc>
    <nc r="R3">
      <v>0.125</v>
    </nc>
  </rcc>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cc rId="7120" sId="3">
    <nc r="S5">
      <v>2</v>
    </nc>
  </rcc>
  <rcc rId="7121" sId="3" numFmtId="13">
    <oc r="S4">
      <v>1</v>
    </oc>
    <nc r="S4">
      <v>0.5</v>
    </nc>
  </rcc>
  <rcc rId="7122" sId="3" numFmtId="13">
    <oc r="S3">
      <v>1</v>
    </oc>
    <nc r="S3">
      <v>0.5</v>
    </nc>
  </rcc>
  <rfmt sheetId="4" sqref="V14" start="0" length="0">
    <dxf>
      <fill>
        <patternFill>
          <bgColor rgb="FFFFFFFF"/>
        </patternFill>
      </fill>
    </dxf>
  </rfmt>
  <rfmt sheetId="4" sqref="V15" start="0" length="0">
    <dxf>
      <fill>
        <patternFill>
          <bgColor rgb="FFFFFFFF"/>
        </patternFill>
      </fill>
    </dxf>
  </rfmt>
  <rcc rId="7123" sId="3">
    <nc r="T5">
      <v>1</v>
    </nc>
  </rcc>
  <rfmt sheetId="4" sqref="V15" start="0" length="0">
    <dxf>
      <fill>
        <patternFill>
          <bgColor rgb="FFCCFFCC"/>
        </patternFill>
      </fill>
    </dxf>
  </rfmt>
  <rcc rId="7124" sId="3" numFmtId="13">
    <oc r="T4">
      <v>1</v>
    </oc>
    <nc r="T4">
      <v>0.5</v>
    </nc>
  </rcc>
  <rcc rId="7125" sId="3" numFmtId="13">
    <oc r="T3">
      <v>1</v>
    </oc>
    <nc r="T3">
      <v>0.5</v>
    </nc>
  </rcc>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7" start="0" length="0">
    <dxf>
      <fill>
        <patternFill>
          <bgColor rgb="FFCCFFCC"/>
        </patternFill>
      </fill>
    </dxf>
  </rfmt>
  <rcc rId="7126" sId="3">
    <oc r="U5" t="inlineStr">
      <is>
        <t>1, 2, 3, 4</t>
      </is>
    </oc>
    <nc r="U5" t="inlineStr">
      <is>
        <t>2, 3, 4, 5, 6, 7</t>
      </is>
    </nc>
  </rcc>
  <rcc rId="7127" sId="3" numFmtId="13">
    <oc r="U4">
      <v>0.42857142857142855</v>
    </oc>
    <nc r="U4">
      <v>0.14285714285714285</v>
    </nc>
  </rcc>
  <rcc rId="7128" sId="3" numFmtId="13">
    <oc r="U3">
      <v>0.42857142857142855</v>
    </oc>
    <nc r="U3">
      <v>0.14285714285714285</v>
    </nc>
  </rcc>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29" sId="3">
    <oc r="U7">
      <v>1</v>
    </oc>
    <nc r="U7">
      <v>5</v>
    </nc>
  </rcc>
  <rcc rId="7130" sId="3" xfDxf="1" dxf="1" numFmtId="19">
    <nc r="A8">
      <v>41691</v>
    </nc>
    <ndxf>
      <font>
        <color indexed="8"/>
        <name val="Times New Roman"/>
        <scheme val="none"/>
      </font>
      <numFmt numFmtId="164" formatCode="yyyy/mm/dd;@"/>
      <fill>
        <patternFill patternType="solid">
          <bgColor theme="0"/>
        </patternFill>
      </fill>
      <alignment horizontal="center" vertical="center" wrapText="1" readingOrder="0"/>
      <border outline="0">
        <left style="medium">
          <color indexed="64"/>
        </left>
        <right style="thin">
          <color indexed="64"/>
        </right>
        <bottom style="thin">
          <color indexed="64"/>
        </bottom>
      </border>
    </ndxf>
  </rcc>
  <rfmt sheetId="3" xfDxf="1" sqref="B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C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D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E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F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G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H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I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J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K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L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M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N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1" sqref="O8" start="0" length="0">
    <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cc rId="7131" sId="3" xfDxf="1" s="1" dxf="1">
    <nc r="P8" t="inlineStr">
      <is>
        <t>B04.00.16DD</t>
      </is>
    </nc>
    <n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ndxf>
  </rcc>
  <rfmt sheetId="3" xfDxf="1" sqref="Q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R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S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T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U8" start="0" length="0">
    <dxf>
      <font>
        <sz val="9"/>
        <color rgb="FF000000"/>
        <name val="Calibri"/>
        <scheme val="none"/>
      </font>
      <fill>
        <patternFill patternType="solid">
          <bgColor theme="0"/>
        </patternFill>
      </fill>
      <alignment horizontal="center" vertical="center" wrapText="1" readingOrder="0"/>
      <border outline="0">
        <right style="medium">
          <color indexed="64"/>
        </right>
        <bottom style="medium">
          <color indexed="64"/>
        </bottom>
      </border>
    </dxf>
  </rfmt>
  <rm rId="7132" sheetId="3" source="I8:R8" destination="O8:X8" sourceSheetId="3">
    <rfmt sheetId="3" sqref="S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T8"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U8" start="0" length="0">
      <dxf>
        <font>
          <sz val="9"/>
          <color rgb="FF000000"/>
          <name val="Calibri"/>
          <scheme val="none"/>
        </font>
        <fill>
          <patternFill patternType="solid">
            <bgColor theme="0"/>
          </patternFill>
        </fill>
        <alignment horizontal="center" vertical="center" wrapText="1" readingOrder="0"/>
        <border outline="0">
          <right style="medium">
            <color indexed="64"/>
          </right>
          <bottom style="medium">
            <color indexed="64"/>
          </bottom>
        </border>
      </dxf>
    </rfmt>
    <rfmt sheetId="3" sqref="V8" start="0" length="0">
      <dxf>
        <font>
          <sz val="11"/>
          <color rgb="FF000000"/>
          <name val="Calibri"/>
          <scheme val="none"/>
        </font>
        <fill>
          <patternFill patternType="solid">
            <bgColor theme="0"/>
          </patternFill>
        </fill>
        <alignment horizontal="center" vertical="center" readingOrder="0"/>
        <border outline="0">
          <right style="medium">
            <color indexed="64"/>
          </right>
          <bottom style="medium">
            <color indexed="64"/>
          </bottom>
        </border>
      </dxf>
    </rfmt>
    <rfmt sheetId="3" s="1" sqref="W8" start="0" length="0">
      <dxf>
        <font>
          <sz val="10"/>
          <color theme="1"/>
          <name val="Calibri"/>
          <scheme val="minor"/>
        </font>
        <fill>
          <patternFill patternType="solid">
            <bgColor theme="0"/>
          </patternFill>
        </fill>
        <alignment horizontal="center" vertical="center" readingOrder="0"/>
        <border outline="0">
          <left style="thin">
            <color indexed="64"/>
          </left>
          <right style="thin">
            <color indexed="64"/>
          </right>
          <top style="thin">
            <color indexed="64"/>
          </top>
          <bottom style="thin">
            <color indexed="64"/>
          </bottom>
        </border>
      </dxf>
    </rfmt>
    <rfmt sheetId="3" s="1" sqref="X8" start="0" length="0">
      <dxf>
        <font>
          <sz val="9"/>
          <color auto="1"/>
          <name val="Calibri"/>
          <scheme val="minor"/>
        </font>
        <numFmt numFmtId="31" formatCode="[h]:mm:ss"/>
        <fill>
          <patternFill patternType="solid">
            <bgColor theme="0"/>
          </patternFill>
        </fill>
        <alignment horizontal="left" vertical="center" wrapText="1" readingOrder="0"/>
        <border outline="0">
          <left style="thin">
            <color indexed="64"/>
          </left>
          <right style="medium">
            <color indexed="64"/>
          </right>
          <top style="thin">
            <color indexed="64"/>
          </top>
          <bottom style="thin">
            <color indexed="64"/>
          </bottom>
        </border>
      </dxf>
    </rfmt>
  </rm>
  <rcc rId="7133" sId="3" odxf="1" s="1" dxf="1">
    <nc r="W8" t="inlineStr">
      <is>
        <t>Pass</t>
      </is>
    </nc>
    <ndxf>
      <font>
        <sz val="9"/>
        <color indexed="8"/>
        <name val="Calibri"/>
        <scheme val="minor"/>
      </font>
      <fill>
        <patternFill>
          <bgColor rgb="FFCCFFCC"/>
        </patternFill>
      </fill>
    </ndxf>
  </rcc>
  <rcc rId="7134" sId="3" odxf="1" dxf="1">
    <nc r="B8">
      <v>5</v>
    </nc>
    <ndxf>
      <font>
        <sz val="9"/>
        <color indexed="8"/>
        <name val="Calibri"/>
        <scheme val="minor"/>
      </font>
      <fill>
        <patternFill>
          <bgColor rgb="FFCCFFCC"/>
        </patternFill>
      </fill>
    </ndxf>
  </rcc>
  <rcc rId="7135" sId="3" odxf="1" dxf="1">
    <nc r="C8">
      <v>16</v>
    </nc>
    <ndxf>
      <font>
        <sz val="9"/>
        <color indexed="8"/>
        <name val="Calibri"/>
        <scheme val="minor"/>
      </font>
      <fill>
        <patternFill>
          <bgColor rgb="FFCCFFCC"/>
        </patternFill>
      </fill>
    </ndxf>
  </rcc>
  <rcc rId="7136" sId="3" odxf="1" dxf="1">
    <nc r="D8">
      <v>39</v>
    </nc>
    <ndxf>
      <font>
        <sz val="9"/>
        <color indexed="8"/>
        <name val="Calibri"/>
        <scheme val="minor"/>
      </font>
      <fill>
        <patternFill>
          <bgColor rgb="FFCCFFCC"/>
        </patternFill>
      </fill>
    </ndxf>
  </rcc>
  <rcc rId="7137" sId="3" odxf="1" dxf="1">
    <nc r="E8">
      <v>43</v>
    </nc>
    <ndxf>
      <font>
        <sz val="9"/>
        <color indexed="8"/>
        <name val="Calibri"/>
        <scheme val="minor"/>
      </font>
      <fill>
        <patternFill>
          <bgColor rgb="FFCCFFCC"/>
        </patternFill>
      </fill>
    </ndxf>
  </rcc>
  <rcc rId="7138" sId="3" odxf="1" dxf="1">
    <nc r="F8">
      <v>8</v>
    </nc>
    <ndxf>
      <font>
        <sz val="9"/>
        <color indexed="8"/>
        <name val="Calibri"/>
        <scheme val="minor"/>
      </font>
      <fill>
        <patternFill>
          <bgColor rgb="FFCCFFCC"/>
        </patternFill>
      </fill>
    </ndxf>
  </rcc>
  <rfmt sheetId="3" sqref="G8" start="0" length="0">
    <dxf>
      <fill>
        <patternFill>
          <bgColor rgb="FFCCFFCC"/>
        </patternFill>
      </fill>
    </dxf>
  </rfmt>
  <rcc rId="7139" sId="3" odxf="1" dxf="1">
    <nc r="H8">
      <v>8</v>
    </nc>
    <ndxf>
      <fill>
        <patternFill>
          <bgColor rgb="FFCCFFCC"/>
        </patternFill>
      </fill>
    </ndxf>
  </rcc>
  <rfmt sheetId="3" s="1" sqref="I8"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8"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K8"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L8"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M8"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N8"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cc rId="7140" sId="3" odxf="1" dxf="1">
    <nc r="O8">
      <v>7</v>
    </nc>
    <ndxf>
      <font>
        <sz val="9"/>
        <color indexed="8"/>
        <name val="Calibri"/>
        <scheme val="minor"/>
      </font>
      <fill>
        <patternFill>
          <bgColor rgb="FFCCFFCC"/>
        </patternFill>
      </fill>
    </ndxf>
  </rcc>
  <rcc rId="7141" sId="3" odxf="1" dxf="1">
    <nc r="P8">
      <v>4</v>
    </nc>
    <ndxf>
      <font>
        <sz val="9"/>
        <color indexed="8"/>
        <name val="Calibri"/>
        <scheme val="minor"/>
      </font>
      <fill>
        <patternFill>
          <bgColor rgb="FFCCFFCC"/>
        </patternFill>
      </fill>
    </ndxf>
  </rcc>
  <rcc rId="7142" sId="3" odxf="1" dxf="1">
    <nc r="Q8">
      <v>2</v>
    </nc>
    <ndxf>
      <font>
        <sz val="9"/>
        <color indexed="8"/>
        <name val="Calibri"/>
        <scheme val="minor"/>
      </font>
      <fill>
        <patternFill>
          <bgColor rgb="FFCCFFCC"/>
        </patternFill>
      </fill>
    </ndxf>
  </rcc>
  <rcc rId="7143" sId="3" odxf="1" dxf="1">
    <nc r="R8">
      <v>11</v>
    </nc>
    <ndxf>
      <font>
        <sz val="9"/>
        <color indexed="8"/>
        <name val="Calibri"/>
        <scheme val="minor"/>
      </font>
      <fill>
        <patternFill>
          <bgColor rgb="FFCCFFCC"/>
        </patternFill>
      </fill>
    </ndxf>
  </rcc>
  <rcc rId="7144" sId="3" odxf="1" dxf="1">
    <nc r="S8">
      <v>1</v>
    </nc>
    <ndxf>
      <font>
        <sz val="9"/>
        <color indexed="8"/>
        <name val="Calibri"/>
        <scheme val="minor"/>
      </font>
      <fill>
        <patternFill>
          <bgColor rgb="FFCCFFCC"/>
        </patternFill>
      </fill>
    </ndxf>
  </rcc>
  <rcc rId="7145" sId="3" odxf="1" dxf="1">
    <nc r="T8">
      <v>2</v>
    </nc>
    <ndxf>
      <font>
        <sz val="9"/>
        <color indexed="8"/>
        <name val="Calibri"/>
        <scheme val="minor"/>
      </font>
      <fill>
        <patternFill>
          <bgColor rgb="FFCCFFCC"/>
        </patternFill>
      </fill>
    </ndxf>
  </rcc>
  <rcc rId="7146" sId="3" odxf="1" s="1" dxf="1">
    <nc r="U8">
      <v>7</v>
    </nc>
    <ndxf>
      <font>
        <sz val="10"/>
        <color indexed="8"/>
        <name val="Calibri"/>
        <scheme val="minor"/>
      </font>
      <fill>
        <patternFill>
          <bgColor rgb="FFCCFFCC"/>
        </patternFill>
      </fill>
      <alignment wrapText="1" readingOrder="0"/>
    </ndxf>
  </rcc>
  <rcc rId="7147" sId="3">
    <nc r="G8">
      <v>4</v>
    </nc>
  </rcc>
  <rm rId="7148" sheetId="3" source="H8" destination="K8" sourceSheetId="3">
    <rfmt sheetId="3" sqref="K8"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m>
  <rcc rId="7149" sId="3">
    <nc r="L8">
      <v>8</v>
    </nc>
  </rcc>
  <rcc rId="7150" sId="3">
    <nc r="M8">
      <v>8</v>
    </nc>
  </rcc>
  <rcc rId="7151" sId="3">
    <nc r="N8">
      <v>8</v>
    </nc>
  </rcc>
  <rfmt sheetId="3" s="1" sqref="H8"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cc rId="7152" sId="3">
    <nc r="H8">
      <v>4</v>
    </nc>
  </rcc>
  <rcc rId="7153" sId="3">
    <nc r="I8">
      <v>4</v>
    </nc>
  </rcc>
  <rcc rId="7154" sId="3">
    <nc r="J8">
      <v>4</v>
    </nc>
  </rcc>
  <rfmt sheetId="3" sqref="X8">
    <dxf>
      <alignment horizontal="left" readingOrder="0"/>
    </dxf>
  </rfmt>
  <rcc rId="7155" sId="3">
    <nc r="X8" t="inlineStr">
      <is>
        <t xml:space="preserve"> All units have valid video and audio output.
FE asserts on unit .125 is detected.
TX CC  error on PID 1010() co-timed on all units due to uplink issue.
 AUD2 warnings on most units, known issue CSCuh25081.</t>
      </is>
    </nc>
  </rcc>
  <rcc rId="7156" sId="4" numFmtId="19">
    <oc r="I2">
      <v>41690</v>
    </oc>
    <nc r="I2">
      <v>41691</v>
    </nc>
  </rcc>
  <rfmt sheetId="4" sqref="B8" start="0" length="0">
    <dxf>
      <fill>
        <patternFill>
          <bgColor rgb="FFFFFFFF"/>
        </patternFill>
      </fill>
    </dxf>
  </rfmt>
  <rfmt sheetId="4" sqref="B8" start="0" length="0">
    <dxf>
      <fill>
        <patternFill>
          <bgColor rgb="FFCCFFCC"/>
        </patternFill>
      </fill>
    </dxf>
  </rfmt>
  <rfmt sheetId="4" sqref="B9" start="0" length="0">
    <dxf>
      <fill>
        <patternFill>
          <bgColor rgb="FFCCFFCC"/>
        </patternFill>
      </fill>
    </dxf>
  </rfmt>
  <rcc rId="7157" sId="3">
    <oc r="B5" t="inlineStr">
      <is>
        <t>1, 2, 3, 5, 6, 7, 8, 9, 10, 11, 12, 13, 14, 16, 19, 20</t>
      </is>
    </oc>
    <nc r="B5" t="inlineStr">
      <is>
        <t>1, 2, 3, 6, 7, 8, 9, 10, 11, 12, 13, 14, 16, 19, 20</t>
      </is>
    </nc>
  </rcc>
  <rcc rId="7158" sId="3" numFmtId="13">
    <oc r="B4">
      <v>5.8823529411764705E-2</v>
    </oc>
    <nc r="B4">
      <v>0.11764705882352941</v>
    </nc>
  </rcc>
  <rcc rId="7159" sId="3" numFmtId="13">
    <oc r="B3">
      <v>5.8823529411764705E-2</v>
    </oc>
    <nc r="B3">
      <v>0.11764705882352941</v>
    </nc>
  </rcc>
  <rfmt sheetId="4" sqref="E19" start="0" length="0">
    <dxf>
      <fill>
        <patternFill>
          <bgColor rgb="FFFFFFFF"/>
        </patternFill>
      </fill>
    </dxf>
  </rfmt>
  <rfmt sheetId="4" sqref="E19" start="0" length="0">
    <dxf>
      <fill>
        <patternFill>
          <bgColor rgb="FFCCFFCC"/>
        </patternFill>
      </fill>
    </dxf>
  </rfmt>
  <rfmt sheetId="4" sqref="E20" start="0" length="0">
    <dxf>
      <fill>
        <patternFill>
          <bgColor rgb="FFCCFFCC"/>
        </patternFill>
      </fill>
    </dxf>
  </rfmt>
  <rcc rId="7160" sId="3">
    <oc r="C5" t="inlineStr">
      <is>
        <t>1, 2, 3, 6, 7, 9, 10, 11, 16, 17, 18</t>
      </is>
    </oc>
    <nc r="C5" t="inlineStr">
      <is>
        <t>1, 2, 3, 6, 7, 9, 10, 11, 17, 18</t>
      </is>
    </nc>
  </rcc>
  <rcc rId="7161" sId="3" numFmtId="13">
    <oc r="C4">
      <v>8.3333333333333329E-2</v>
    </oc>
    <nc r="C4">
      <v>0.16666666666666666</v>
    </nc>
  </rcc>
  <rcc rId="7162" sId="3" numFmtId="13">
    <oc r="C3">
      <v>8.3333333333333329E-2</v>
    </oc>
    <nc r="C3">
      <v>0.16666666666666666</v>
    </nc>
  </rcc>
  <rfmt sheetId="4" sqref="K7" start="0" length="0">
    <dxf>
      <fill>
        <patternFill>
          <bgColor rgb="FFFFFFFF"/>
        </patternFill>
      </fill>
    </dxf>
  </rfmt>
  <rfmt sheetId="4" sqref="K7" start="0" length="0">
    <dxf>
      <fill>
        <patternFill>
          <bgColor rgb="FFCCFFCC"/>
        </patternFill>
      </fill>
    </dxf>
  </rfmt>
  <rfmt sheetId="4" sqref="N10" start="0" length="0">
    <dxf>
      <fill>
        <patternFill>
          <bgColor rgb="FFCCFFCC"/>
        </patternFill>
      </fill>
    </dxf>
  </rfmt>
  <rcc rId="7163" sId="3">
    <oc r="D5" t="inlineStr">
      <is>
        <t>1, 4, 7, 16, 19, 22, 25, 2, 5, 8, 17, 20, 23, 26, 3, 6, 9, 21, 24, 27, 10, 13, 28, 31, 34, 37, 11, 14, 29, 32, 35, 38, 12, 15, 30, 33, 36, 39, 40, 41, 42, 43, 44, 45, 46, 47, 48, 49</t>
      </is>
    </oc>
    <nc r="D5" t="inlineStr">
      <is>
        <t>1, 4, 7, 16, 19, 22, 25, 2, 5, 8, 17, 20, 23, 26, 3, 6, 9, 21, 24, 27, 10, 13, 28, 31, 34, 37, 11, 14, 29, 32, 35, 38, 12, 15, 30, 33, 36, 40, 41, 42, 43, 44, 45, 46, 47, 48, 49</t>
      </is>
    </nc>
  </rcc>
  <rcc rId="7164" sId="3" numFmtId="13">
    <oc r="D4">
      <v>2.0408163265306121E-2</v>
    </oc>
    <nc r="D4">
      <v>4.0816326530612242E-2</v>
    </nc>
  </rcc>
  <rcc rId="7165" sId="3" numFmtId="13">
    <oc r="D3">
      <v>2.0408163265306121E-2</v>
    </oc>
    <nc r="D3">
      <v>4.0816326530612242E-2</v>
    </nc>
  </rcc>
  <rfmt sheetId="4" sqref="H26" start="0" length="0">
    <dxf>
      <fill>
        <patternFill>
          <bgColor rgb="FFFFFFFF"/>
        </patternFill>
      </fill>
    </dxf>
  </rfmt>
  <rfmt sheetId="4" sqref="H26" start="0" length="0">
    <dxf>
      <fill>
        <patternFill>
          <bgColor rgb="FFCCFFCC"/>
        </patternFill>
      </fill>
    </dxf>
  </rfmt>
  <rfmt sheetId="4" sqref="J30" start="0" length="0">
    <dxf>
      <fill>
        <patternFill>
          <bgColor rgb="FFCCFFCC"/>
        </patternFill>
      </fill>
    </dxf>
  </rfmt>
  <rcc rId="7166" sId="3">
    <oc r="E5" t="inlineStr">
      <is>
        <t>1, 3, 5, 2, 4, 6, 7, 9, 11, 15, 8, 10, 12, 16, 13, 14, 17, 19, 21, 25, 18, 20, 22, 26, 23, 24, 27, 29, 30, 31, 32, 33, 34, 35, 36, 37, 38, 40, 39, 41, 42, 43, 44, 45, 46, 47, 48, 49, 50, 51, 53, 52</t>
      </is>
    </oc>
    <nc r="E5" t="inlineStr">
      <is>
        <t>1, 3, 5, 2, 4, 6, 7, 9, 11, 15, 8, 10, 12, 16, 13, 14, 17, 19, 21, 25, 18, 20, 22, 26, 23, 24, 27, 29, 30, 31, 32, 33, 34, 35, 36, 37, 38, 40, 39, 41, 42, 44, 45, 46, 47, 48, 49, 50, 51, 53, 52</t>
      </is>
    </nc>
  </rcc>
  <rcc rId="7167" sId="3" numFmtId="13">
    <oc r="E4">
      <v>1.8867924528301886E-2</v>
    </oc>
    <nc r="E4">
      <v>3.7735849056603772E-2</v>
    </nc>
  </rcc>
  <rcc rId="7168" sId="3" numFmtId="13">
    <oc r="E3">
      <v>1.8867924528301886E-2</v>
    </oc>
    <nc r="E3">
      <v>3.7735849056603772E-2</v>
    </nc>
  </rcc>
  <rfmt sheetId="4" sqref="N17" start="0" length="0">
    <dxf>
      <fill>
        <patternFill>
          <bgColor rgb="FFFFFFFF"/>
        </patternFill>
      </fill>
    </dxf>
  </rfmt>
  <rfmt sheetId="4" sqref="N17" start="0" length="0">
    <dxf>
      <fill>
        <patternFill>
          <bgColor rgb="FFCCFFCC"/>
        </patternFill>
      </fill>
    </dxf>
  </rfmt>
  <rfmt sheetId="4" sqref="N19" start="0" length="0">
    <dxf>
      <fill>
        <patternFill>
          <bgColor rgb="FFCCFFCC"/>
        </patternFill>
      </fill>
    </dxf>
  </rfmt>
  <rcc rId="7169" sId="3">
    <oc r="F5" t="inlineStr">
      <is>
        <t>1, 3, 5, 4, 6, 7, 9, 11, 8, 10, 12, 13, 14</t>
      </is>
    </oc>
    <nc r="F5" t="inlineStr">
      <is>
        <t>1, 3, 5, 4, 6, 7, 9, 11, 10, 12, 13, 14</t>
      </is>
    </nc>
  </rcc>
  <rcc rId="7170" sId="3" numFmtId="13">
    <oc r="F4">
      <v>7.1428571428571425E-2</v>
    </oc>
    <nc r="F4">
      <v>0.14285714285714285</v>
    </nc>
  </rcc>
  <rcc rId="7171" sId="3" numFmtId="13">
    <oc r="F3">
      <v>7.1428571428571425E-2</v>
    </oc>
    <nc r="F3">
      <v>0.14285714285714285</v>
    </nc>
  </rcc>
  <rfmt sheetId="4" sqref="N36" start="0" length="0">
    <dxf>
      <fill>
        <patternFill>
          <bgColor rgb="FFFFFFFF"/>
        </patternFill>
      </fill>
    </dxf>
  </rfmt>
  <rfmt sheetId="4" sqref="P36"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cc rId="7172" sId="3">
    <oc r="G5" t="inlineStr">
      <is>
        <t>5, 7, 6, 8, 1, 3, 2, 4, 9, 10, 11, 12, 27, 28, 25, 26, 37, 29, 30, 19, 18, 20, 13, 15, 14, 16, 21, 22, 23, 24, 33, 34, 31, 32, 35, 36</t>
      </is>
    </oc>
    <nc r="G5" t="inlineStr">
      <is>
        <t>5, 7, 6, 8, 1, 3, 2, 9, 10, 11, 12, 27, 28, 25, 26, 37, 29, 30, 19, 18, 20, 13, 15, 14, 16, 21, 22, 23, 24, 33, 34, 31, 32, 35, 36</t>
      </is>
    </nc>
  </rcc>
  <rcc rId="7173" sId="3" numFmtId="13">
    <oc r="G4">
      <v>2.7027027027027029E-2</v>
    </oc>
    <nc r="G4">
      <v>5.4054054054054057E-2</v>
    </nc>
  </rcc>
  <rcc rId="7174" sId="3" numFmtId="13">
    <oc r="G3">
      <v>2.7027027027027029E-2</v>
    </oc>
    <nc r="G3">
      <v>5.4054054054054057E-2</v>
    </nc>
  </rcc>
  <rcc rId="7175" sId="3">
    <oc r="H5" t="inlineStr">
      <is>
        <t>5, 7, 6, 8, 1, 3, 2, 4, 9, 10, 11, 12, 27, 28, 25, 26, 37, 29, 30, 19, 18, 20, 13, 15, 14, 16, 21, 22, 23, 24, 33, 34, 31, 32, 35, 36</t>
      </is>
    </oc>
    <nc r="H5" t="inlineStr">
      <is>
        <t>5, 7, 6, 8, 1, 3, 2, 9, 10, 11, 12, 27, 28, 25, 26, 37, 29, 30, 19, 18, 20, 13, 15, 14, 16, 21, 22, 23, 24, 33, 34, 31, 32, 35, 36</t>
      </is>
    </nc>
  </rcc>
  <rcc rId="7176" sId="3" numFmtId="13">
    <oc r="H4">
      <v>2.7027027027027029E-2</v>
    </oc>
    <nc r="H4">
      <v>5.4054054054054057E-2</v>
    </nc>
  </rcc>
  <rcc rId="7177" sId="3" numFmtId="13">
    <oc r="H3">
      <v>2.7027027027027029E-2</v>
    </oc>
    <nc r="H3">
      <v>5.4054054054054057E-2</v>
    </nc>
  </rcc>
  <rcc rId="7178" sId="3">
    <oc r="I5" t="inlineStr">
      <is>
        <t>5, 7, 6, 8, 1, 3, 2, 4, 9, 10, 11, 12, 27, 28, 25, 26, 37, 29, 30, 19, 18, 20, 13, 15, 14, 16, 21, 22, 23, 24, 33, 34, 31, 32, 35, 36</t>
      </is>
    </oc>
    <nc r="I5" t="inlineStr">
      <is>
        <t>5, 7, 6, 8, 1, 3, 2, 9, 10, 11, 12, 27, 28, 25, 26, 37, 29, 30, 19, 18, 20, 13, 15, 14, 16, 21, 22, 23, 24, 33, 34, 31, 32, 35, 36</t>
      </is>
    </nc>
  </rcc>
  <rcc rId="7179" sId="3" numFmtId="13">
    <oc r="I4">
      <v>2.7027027027027029E-2</v>
    </oc>
    <nc r="I4">
      <v>5.4054054054054057E-2</v>
    </nc>
  </rcc>
  <rcc rId="7180" sId="3" numFmtId="13">
    <oc r="I3">
      <v>2.7027027027027029E-2</v>
    </oc>
    <nc r="I3">
      <v>5.4054054054054057E-2</v>
    </nc>
  </rcc>
  <rcc rId="7181" sId="3">
    <oc r="J5" t="inlineStr">
      <is>
        <t>5, 7, 6, 8, 1, 3, 2, 4, 9, 10, 11, 12, 27, 28, 25, 26, 37, 29, 30, 19, 18, 20, 13, 15, 14, 16, 21, 22, 23, 24, 33, 34, 31, 32, 35, 36</t>
      </is>
    </oc>
    <nc r="J5" t="inlineStr">
      <is>
        <t>5, 7, 6, 8, 1, 3, 2, 9, 10, 11, 12, 27, 28, 25, 26, 37, 29, 30, 19, 18, 20, 13, 15, 14, 16, 21, 22, 23, 24, 33, 34, 31, 32, 35, 36</t>
      </is>
    </nc>
  </rcc>
  <rcc rId="7182" sId="3" numFmtId="13">
    <oc r="J4">
      <v>2.7027027027027029E-2</v>
    </oc>
    <nc r="J4">
      <v>5.4054054054054057E-2</v>
    </nc>
  </rcc>
  <rcc rId="7183" sId="3" numFmtId="13">
    <oc r="J3">
      <v>2.7027027027027029E-2</v>
    </oc>
    <nc r="J3">
      <v>5.4054054054054057E-2</v>
    </nc>
  </rcc>
  <rcc rId="7184" sId="3">
    <oc r="K5" t="inlineStr">
      <is>
        <t>5, 7, 6, 8, 1, 3, 2, 4, 9, 10, 11, 12, 27, 28, 25, 26, 37, 29, 30, 17, 19, 20, 13, 15, 14, 16, 21, 22, 23, 24, 33, 34, 31, 32, 35, 36</t>
      </is>
    </oc>
    <nc r="K5" t="inlineStr">
      <is>
        <t>5, 7, 6, 1, 3, 2, 4, 9, 10, 11, 12, 27, 28, 25, 26, 37, 29, 30, 17, 19, 20, 13, 15, 14, 16, 21, 22, 23, 24, 33, 34, 31, 32, 35, 36</t>
      </is>
    </nc>
  </rcc>
  <rcc rId="7185" sId="3" numFmtId="13">
    <oc r="K4">
      <v>2.7027027027027029E-2</v>
    </oc>
    <nc r="K4">
      <v>5.4054054054054057E-2</v>
    </nc>
  </rcc>
  <rcc rId="7186" sId="3" numFmtId="13">
    <oc r="K3">
      <v>2.7027027027027029E-2</v>
    </oc>
    <nc r="K3">
      <v>5.4054054054054057E-2</v>
    </nc>
  </rcc>
  <rcc rId="7187" sId="3">
    <oc r="L5" t="inlineStr">
      <is>
        <t>5, 7, 6, 8, 1, 3, 2, 4, 9, 10, 11, 12, 27, 28, 25, 26, 37, 29, 30, 17, 19, 20, 13, 15, 14, 16, 21, 22, 23, 24, 33, 34, 31, 32, 35, 36</t>
      </is>
    </oc>
    <nc r="L5" t="inlineStr">
      <is>
        <t>5, 7, 6, 1, 3, 2, 4, 9, 10, 11, 12, 27, 28, 25, 26, 37, 29, 30, 17, 19, 20, 13, 15, 14, 16, 21, 22, 23, 24, 33, 34, 31, 32, 35, 36</t>
      </is>
    </nc>
  </rcc>
  <rcc rId="7188" sId="3" numFmtId="13">
    <oc r="L4">
      <v>2.7027027027027029E-2</v>
    </oc>
    <nc r="L4">
      <v>5.4054054054054057E-2</v>
    </nc>
  </rcc>
  <rcc rId="7189" sId="3" numFmtId="13">
    <oc r="L3">
      <v>2.7027027027027029E-2</v>
    </oc>
    <nc r="L3">
      <v>5.4054054054054057E-2</v>
    </nc>
  </rcc>
  <rcc rId="7190" sId="3">
    <oc r="M5" t="inlineStr">
      <is>
        <t>5, 7, 6, 8, 1, 3, 2, 4, 9, 10, 11, 12, 27, 28, 25, 26, 37, 29, 30, 17, 19, 20, 13, 15, 14, 16, 21, 22, 23, 24, 33, 34, 31, 32, 35, 36</t>
      </is>
    </oc>
    <nc r="M5" t="inlineStr">
      <is>
        <t>5, 7, 6, 1, 3, 2, 4, 9, 10, 11, 12, 27, 28, 25, 26, 37, 29, 30, 17, 19, 20, 13, 15, 14, 16, 21, 22, 23, 24, 33, 34, 31, 32, 35, 36</t>
      </is>
    </nc>
  </rcc>
  <rcc rId="7191" sId="3" numFmtId="13">
    <oc r="M4">
      <v>2.7027027027027029E-2</v>
    </oc>
    <nc r="M4">
      <v>5.4054054054054057E-2</v>
    </nc>
  </rcc>
  <rcc rId="7192" sId="3" numFmtId="13">
    <oc r="M3">
      <v>2.7027027027027029E-2</v>
    </oc>
    <nc r="M3">
      <v>5.4054054054054057E-2</v>
    </nc>
  </rcc>
  <rcc rId="7193" sId="3">
    <oc r="N5" t="inlineStr">
      <is>
        <t>5, 7, 6, 8, 1, 3, 2, 4, 9, 10, 11, 12, 27, 28, 25, 26, 37, 29, 30, 17, 19, 20, 13, 15, 14, 16, 21, 22, 23, 24, 33, 34, 31, 32, 35, 36</t>
      </is>
    </oc>
    <nc r="N5" t="inlineStr">
      <is>
        <t>5, 7, 6, 1, 3, 2, 4, 9, 10, 11, 12, 27, 28, 25, 26, 37, 29, 30, 17, 19, 20, 13, 15, 14, 16, 21, 22, 23, 24, 33, 34, 31, 32, 35, 36</t>
      </is>
    </nc>
  </rcc>
  <rcc rId="7194" sId="3" numFmtId="13">
    <oc r="N4">
      <v>2.7027027027027029E-2</v>
    </oc>
    <nc r="N4">
      <v>5.4054054054054057E-2</v>
    </nc>
  </rcc>
  <rcc rId="7195" sId="3" numFmtId="13">
    <oc r="N3">
      <v>2.7027027027027029E-2</v>
    </oc>
    <nc r="N3">
      <v>5.4054054054054057E-2</v>
    </nc>
  </rcc>
  <rfmt sheetId="4" sqref="S6" start="0" length="0">
    <dxf>
      <fill>
        <patternFill>
          <bgColor rgb="FFFFFFFF"/>
        </patternFill>
      </fill>
    </dxf>
  </rfmt>
  <rfmt sheetId="4" sqref="S6" start="0" length="0">
    <dxf>
      <fill>
        <patternFill>
          <bgColor rgb="FFCCFFCC"/>
        </patternFill>
      </fill>
    </dxf>
  </rfmt>
  <rfmt sheetId="4" sqref="S7" start="0" length="0">
    <dxf>
      <fill>
        <patternFill>
          <bgColor rgb="FFCCFFCC"/>
        </patternFill>
      </fill>
    </dxf>
  </rfmt>
  <rcc rId="7196" sId="3">
    <oc r="O5" t="inlineStr">
      <is>
        <t>1, 2, 6, 3, 4, 7, 8</t>
      </is>
    </oc>
    <nc r="O5" t="inlineStr">
      <is>
        <t>1, 2, 6, 3, 4, 8</t>
      </is>
    </nc>
  </rcc>
  <rcc rId="7197" sId="3" numFmtId="13">
    <oc r="O4">
      <v>0.125</v>
    </oc>
    <nc r="O4">
      <v>0.25</v>
    </nc>
  </rcc>
  <rcc rId="7198" sId="3" numFmtId="13">
    <oc r="O3">
      <v>0.125</v>
    </oc>
    <nc r="O3">
      <v>0.25</v>
    </nc>
  </rcc>
  <rfmt sheetId="4" sqref="S12" start="0" length="0">
    <dxf>
      <fill>
        <patternFill>
          <bgColor rgb="FFFFFFFF"/>
        </patternFill>
      </fill>
    </dxf>
  </rfmt>
  <rcc rId="7199" sId="3">
    <oc r="P5" t="inlineStr">
      <is>
        <t>1, 5, 3, 2, 6, 4</t>
      </is>
    </oc>
    <nc r="P5" t="inlineStr">
      <is>
        <t>1, 5, 3, 2, 6</t>
      </is>
    </nc>
  </rcc>
  <rfmt sheetId="4" sqref="S12" start="0" length="0">
    <dxf>
      <fill>
        <patternFill>
          <bgColor rgb="FFCCFFCC"/>
        </patternFill>
      </fill>
    </dxf>
  </rfmt>
  <rfmt sheetId="4" sqref="Q13" start="0" length="0">
    <dxf>
      <fill>
        <patternFill>
          <bgColor rgb="FFCCFFCC"/>
        </patternFill>
      </fill>
    </dxf>
  </rfmt>
  <rcc rId="7200" sId="3" numFmtId="13">
    <oc r="P4">
      <v>0.14285714285714285</v>
    </oc>
    <nc r="P4">
      <v>0.2857142857142857</v>
    </nc>
  </rcc>
  <rcc rId="7201" sId="3" numFmtId="13">
    <oc r="P3">
      <v>0.14285714285714285</v>
    </oc>
    <nc r="P3">
      <v>0.2857142857142857</v>
    </nc>
  </rcc>
  <rfmt sheetId="4" sqref="V20" start="0" length="0">
    <dxf>
      <fill>
        <patternFill>
          <bgColor rgb="FFFFFFFF"/>
        </patternFill>
      </fill>
    </dxf>
  </rfmt>
  <rfmt sheetId="4" sqref="V19" start="0" length="0">
    <dxf>
      <fill>
        <patternFill>
          <bgColor rgb="FFCCFFCC"/>
        </patternFill>
      </fill>
    </dxf>
  </rfmt>
  <rfmt sheetId="4" sqref="V20" start="0" length="0">
    <dxf>
      <fill>
        <patternFill>
          <bgColor rgb="FFCCFFCC"/>
        </patternFill>
      </fill>
    </dxf>
  </rfmt>
  <rcc rId="7202" sId="3">
    <oc r="Q5" t="inlineStr">
      <is>
        <t>1, 2, 4</t>
      </is>
    </oc>
    <nc r="Q5" t="inlineStr">
      <is>
        <t>1, 4</t>
      </is>
    </nc>
  </rcc>
  <rcc rId="7203" sId="3" numFmtId="13">
    <oc r="Q4">
      <v>0.25</v>
    </oc>
    <nc r="Q4">
      <v>0.5</v>
    </nc>
  </rcc>
  <rcc rId="7204" sId="3" numFmtId="13">
    <oc r="Q3">
      <v>0.25</v>
    </oc>
    <nc r="Q3">
      <v>0.5</v>
    </nc>
  </rcc>
  <rfmt sheetId="4" sqref="N25" start="0" length="0">
    <dxf>
      <fill>
        <patternFill>
          <bgColor rgb="FFFFFFFF"/>
        </patternFill>
      </fill>
    </dxf>
  </rfmt>
  <rfmt sheetId="4" sqref="N25" start="0" length="0">
    <dxf>
      <fill>
        <patternFill>
          <bgColor rgb="FFCCFFCC"/>
        </patternFill>
      </fill>
    </dxf>
  </rfmt>
  <rfmt sheetId="4" sqref="S26" start="0" length="0">
    <dxf>
      <fill>
        <patternFill>
          <bgColor rgb="FFCCFFCC"/>
        </patternFill>
      </fill>
    </dxf>
  </rfmt>
  <rcc rId="7205" sId="3">
    <oc r="R5" t="inlineStr">
      <is>
        <t>1, 2, 10, 5, 6, 11, 12</t>
      </is>
    </oc>
    <nc r="R5" t="inlineStr">
      <is>
        <t>1, 2, 10, 5, 6, 12</t>
      </is>
    </nc>
  </rcc>
  <rcc rId="7206" sId="3" numFmtId="13">
    <oc r="R4">
      <v>0.125</v>
    </oc>
    <nc r="R4">
      <v>0.25</v>
    </nc>
  </rcc>
  <rcc rId="7207" sId="3" numFmtId="13">
    <oc r="R3">
      <v>0.125</v>
    </oc>
    <nc r="R3">
      <v>0.25</v>
    </nc>
  </rcc>
  <rfmt sheetId="4" sqref="V10" start="0" length="0">
    <dxf>
      <fill>
        <patternFill>
          <bgColor rgb="FFFFFFFF"/>
        </patternFill>
      </fill>
    </dxf>
  </rfmt>
  <rfmt sheetId="4" sqref="V10" start="0" length="0">
    <dxf>
      <fill>
        <patternFill>
          <bgColor rgb="FFCCFFCC"/>
        </patternFill>
      </fill>
    </dxf>
  </rfmt>
  <rfmt sheetId="4" sqref="V15" start="0" length="0">
    <dxf>
      <fill>
        <patternFill>
          <bgColor rgb="FFFFFFFF"/>
        </patternFill>
      </fill>
    </dxf>
  </rfmt>
  <rfmt sheetId="4" sqref="V15" start="0" length="0">
    <dxf>
      <fill>
        <patternFill>
          <bgColor rgb="FFCCFFCC"/>
        </patternFill>
      </fill>
    </dxf>
  </rfmt>
  <rfmt sheetId="4" sqref="H37" start="0" length="0">
    <dxf>
      <fill>
        <patternFill>
          <bgColor rgb="FFFFFFFF"/>
        </patternFill>
      </fill>
    </dxf>
  </rfmt>
  <rfmt sheetId="4" sqref="H39" start="0" length="0">
    <dxf>
      <fill>
        <patternFill>
          <bgColor rgb="FFCCFFCC"/>
        </patternFill>
      </fill>
    </dxf>
  </rfmt>
  <rcc rId="7208" sId="3">
    <oc r="U5" t="inlineStr">
      <is>
        <t>2, 3, 4, 5, 6, 7</t>
      </is>
    </oc>
    <nc r="U5" t="inlineStr">
      <is>
        <t>1, 2, 3, 4, 6</t>
      </is>
    </nc>
  </rcc>
  <rfmt sheetId="4" sqref="J39" start="0" length="0">
    <dxf>
      <fill>
        <patternFill>
          <bgColor rgb="FFCCFFCC"/>
        </patternFill>
      </fill>
    </dxf>
  </rfmt>
  <rcc rId="7209" sId="3" numFmtId="13">
    <oc r="U4">
      <v>0.14285714285714285</v>
    </oc>
    <nc r="U4">
      <v>0.2857142857142857</v>
    </nc>
  </rcc>
  <rcc rId="7210" sId="3" numFmtId="13">
    <oc r="U3">
      <v>0.14285714285714285</v>
    </oc>
    <nc r="U3">
      <v>0.2857142857142857</v>
    </nc>
  </rcc>
  <rcv guid="{609F876C-F41A-43C8-BD3D-0455630C6D86}" action="delete"/>
  <rdn rId="0" localSheetId="3" customView="1" name="Z_609F876C_F41A_43C8_BD3D_0455630C6D86_.wvu.FilterData" hidden="1" oldHidden="1">
    <formula>'D9859 Grid'!$A$2:$Y$59</formula>
    <oldFormula>'D9859 Grid'!$A$2:$Y$59</oldFormula>
  </rdn>
  <rdn rId="0" localSheetId="14" customView="1" name="Z_609F876C_F41A_43C8_BD3D_0455630C6D86_.wvu.FilterData" hidden="1" oldHidden="1">
    <formula>'Transcode Test Cases'!$A$9:$P$46</formula>
    <oldFormula>'Transcode Test Cases'!$A$9:$P$46</oldFormula>
  </rdn>
  <rcv guid="{609F876C-F41A-43C8-BD3D-0455630C6D86}"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B9" start="0" length="0">
    <dxf>
      <font>
        <sz val="9"/>
        <color indexed="8"/>
        <name val="Calibri"/>
        <scheme val="minor"/>
      </font>
      <fill>
        <patternFill>
          <bgColor rgb="FFCCFFCC"/>
        </patternFill>
      </fill>
    </dxf>
  </rfmt>
  <rfmt sheetId="3" sqref="C9" start="0" length="0">
    <dxf>
      <font>
        <sz val="9"/>
        <color indexed="8"/>
        <name val="Calibri"/>
        <scheme val="minor"/>
      </font>
      <fill>
        <patternFill>
          <bgColor rgb="FFCCFFCC"/>
        </patternFill>
      </fill>
    </dxf>
  </rfmt>
  <rfmt sheetId="3" sqref="D9" start="0" length="0">
    <dxf>
      <font>
        <sz val="9"/>
        <color indexed="8"/>
        <name val="Calibri"/>
        <scheme val="minor"/>
      </font>
      <fill>
        <patternFill>
          <bgColor rgb="FFCCFFCC"/>
        </patternFill>
      </fill>
    </dxf>
  </rfmt>
  <rfmt sheetId="3" sqref="E9" start="0" length="0">
    <dxf>
      <font>
        <sz val="9"/>
        <color indexed="8"/>
        <name val="Calibri"/>
        <scheme val="minor"/>
      </font>
      <fill>
        <patternFill>
          <bgColor rgb="FFCCFFCC"/>
        </patternFill>
      </fill>
    </dxf>
  </rfmt>
  <rfmt sheetId="3" sqref="F9" start="0" length="0">
    <dxf>
      <font>
        <sz val="9"/>
        <color indexed="8"/>
        <name val="Calibri"/>
        <scheme val="minor"/>
      </font>
      <fill>
        <patternFill>
          <bgColor rgb="FFCCFFCC"/>
        </patternFill>
      </fill>
    </dxf>
  </rfmt>
  <rfmt sheetId="3" sqref="G9" start="0" length="0">
    <dxf>
      <fill>
        <patternFill>
          <bgColor rgb="FFCCFFCC"/>
        </patternFill>
      </fill>
    </dxf>
  </rfmt>
  <rfmt sheetId="3" sqref="H9" start="0" length="0">
    <dxf>
      <fill>
        <patternFill>
          <bgColor rgb="FFCCFFCC"/>
        </patternFill>
      </fill>
    </dxf>
  </rfmt>
  <rfmt sheetId="3" sqref="I9" start="0" length="0">
    <dxf>
      <fill>
        <patternFill>
          <bgColor rgb="FFCCFFCC"/>
        </patternFill>
      </fill>
    </dxf>
  </rfmt>
  <rfmt sheetId="3" sqref="J9" start="0" length="0">
    <dxf>
      <fill>
        <patternFill>
          <bgColor rgb="FFCCFFCC"/>
        </patternFill>
      </fill>
    </dxf>
  </rfmt>
  <rfmt sheetId="3" sqref="K9" start="0" length="0">
    <dxf>
      <fill>
        <patternFill>
          <bgColor rgb="FFCCFFCC"/>
        </patternFill>
      </fill>
    </dxf>
  </rfmt>
  <rfmt sheetId="3" sqref="L9" start="0" length="0">
    <dxf>
      <fill>
        <patternFill>
          <bgColor rgb="FFCCFFCC"/>
        </patternFill>
      </fill>
    </dxf>
  </rfmt>
  <rfmt sheetId="3" sqref="M9" start="0" length="0">
    <dxf>
      <fill>
        <patternFill>
          <bgColor rgb="FFCCFFCC"/>
        </patternFill>
      </fill>
    </dxf>
  </rfmt>
  <rfmt sheetId="3" sqref="N9" start="0" length="0">
    <dxf>
      <fill>
        <patternFill>
          <bgColor rgb="FFCCFFCC"/>
        </patternFill>
      </fill>
    </dxf>
  </rfmt>
  <rfmt sheetId="3" sqref="O9" start="0" length="0">
    <dxf>
      <font>
        <sz val="9"/>
        <color indexed="8"/>
        <name val="Calibri"/>
        <scheme val="minor"/>
      </font>
      <fill>
        <patternFill>
          <bgColor rgb="FFCCFFCC"/>
        </patternFill>
      </fill>
    </dxf>
  </rfmt>
  <rfmt sheetId="3" sqref="P9" start="0" length="0">
    <dxf>
      <font>
        <sz val="9"/>
        <color indexed="8"/>
        <name val="Calibri"/>
        <scheme val="minor"/>
      </font>
      <fill>
        <patternFill>
          <bgColor rgb="FFCCFFCC"/>
        </patternFill>
      </fill>
    </dxf>
  </rfmt>
  <rfmt sheetId="3" sqref="Q9" start="0" length="0">
    <dxf>
      <font>
        <sz val="9"/>
        <color indexed="8"/>
        <name val="Calibri"/>
        <scheme val="minor"/>
      </font>
      <fill>
        <patternFill>
          <bgColor rgb="FFCCFFCC"/>
        </patternFill>
      </fill>
    </dxf>
  </rfmt>
  <rfmt sheetId="3" sqref="R9" start="0" length="0">
    <dxf>
      <font>
        <sz val="9"/>
        <color indexed="8"/>
        <name val="Calibri"/>
        <scheme val="minor"/>
      </font>
      <fill>
        <patternFill>
          <bgColor rgb="FFCCFFCC"/>
        </patternFill>
      </fill>
    </dxf>
  </rfmt>
  <rfmt sheetId="3" sqref="S9" start="0" length="0">
    <dxf>
      <font>
        <sz val="9"/>
        <color indexed="8"/>
        <name val="Calibri"/>
        <scheme val="minor"/>
      </font>
      <fill>
        <patternFill>
          <bgColor rgb="FFCCFFCC"/>
        </patternFill>
      </fill>
    </dxf>
  </rfmt>
  <rcc rId="7213" sId="3" odxf="1" dxf="1">
    <nc r="T9">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9"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7214" sId="3" odxf="1" s="1" dxf="1">
    <nc r="V9" t="inlineStr">
      <is>
        <t>B04.00.16DD</t>
      </is>
    </nc>
    <odxf>
      <font>
        <b val="0"/>
        <i val="0"/>
        <strike val="0"/>
        <condense val="0"/>
        <extend val="0"/>
        <outline val="0"/>
        <shadow val="0"/>
        <u val="none"/>
        <vertAlign val="baseline"/>
        <sz val="11"/>
        <color rgb="FF000000"/>
        <name val="Calibri"/>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style="medium">
          <color indexed="64"/>
        </right>
        <top/>
        <bottom style="medium">
          <color indexed="64"/>
        </bottom>
      </border>
      <protection locked="1" hidden="0"/>
    </odxf>
    <ndxf>
      <font>
        <sz val="10"/>
        <color theme="1"/>
        <name val="Calibri"/>
        <scheme val="minor"/>
      </font>
      <border outline="0">
        <left style="thin">
          <color indexed="64"/>
        </left>
        <right style="thin">
          <color indexed="64"/>
        </right>
        <top style="thin">
          <color indexed="64"/>
        </top>
        <bottom style="thin">
          <color indexed="64"/>
        </bottom>
      </border>
    </ndxf>
  </rcc>
  <rcc rId="7215" sId="3" odxf="1" s="1" dxf="1">
    <nc r="W9" t="inlineStr">
      <is>
        <t>Pass</t>
      </is>
    </nc>
    <odxf>
      <font>
        <b val="0"/>
        <i val="0"/>
        <strike val="0"/>
        <condense val="0"/>
        <extend val="0"/>
        <outline val="0"/>
        <shadow val="0"/>
        <u val="none"/>
        <vertAlign val="baseline"/>
        <sz val="9"/>
        <color indexed="8"/>
        <name val="Calibri"/>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9"/>
        <color indexed="8"/>
        <name val="Calibri"/>
        <scheme val="minor"/>
      </font>
      <fill>
        <patternFill>
          <bgColor rgb="FFCCFFCC"/>
        </patternFill>
      </fill>
    </ndxf>
  </rcc>
  <rfmt sheetId="3" s="1" sqref="X9" start="0" length="0">
    <dxf>
      <font>
        <sz val="9"/>
        <color indexed="8"/>
        <name val="Calibri"/>
        <scheme val="none"/>
      </font>
      <numFmt numFmtId="0" formatCode="General"/>
      <border outline="0">
        <right style="thin">
          <color indexed="64"/>
        </right>
      </border>
    </dxf>
  </rfmt>
  <rcc rId="7216" sId="3">
    <nc r="B9">
      <v>11</v>
    </nc>
  </rcc>
  <rcc rId="7217" sId="3">
    <nc r="C9">
      <v>17</v>
    </nc>
  </rcc>
  <rcc rId="7218" sId="3">
    <nc r="D9">
      <v>11</v>
    </nc>
  </rcc>
  <rcc rId="7219" sId="3">
    <nc r="E9">
      <v>17</v>
    </nc>
  </rcc>
  <rcc rId="7220" sId="3">
    <nc r="F9">
      <v>5</v>
    </nc>
  </rcc>
  <rcc rId="7221" sId="3">
    <nc r="G9">
      <v>9</v>
    </nc>
  </rcc>
  <rcc rId="7222" sId="3">
    <nc r="H9">
      <v>9</v>
    </nc>
  </rcc>
  <rcc rId="7223" sId="3">
    <nc r="I9">
      <v>9</v>
    </nc>
  </rcc>
  <rcc rId="7224" sId="3">
    <nc r="J9">
      <v>9</v>
    </nc>
  </rcc>
  <rcc rId="7225" sId="3">
    <nc r="K9">
      <v>10</v>
    </nc>
  </rcc>
  <rcc rId="7226" sId="3">
    <nc r="L9">
      <v>10</v>
    </nc>
  </rcc>
  <rcc rId="7227" sId="3">
    <nc r="M9">
      <v>10</v>
    </nc>
  </rcc>
  <rcc rId="7228" sId="3">
    <nc r="N9">
      <v>10</v>
    </nc>
  </rcc>
  <rcc rId="7229" sId="3">
    <nc r="O9">
      <v>4</v>
    </nc>
  </rcc>
  <rcc rId="7230" sId="3">
    <nc r="P9">
      <v>6</v>
    </nc>
  </rcc>
  <rcc rId="7231" sId="3">
    <nc r="Q9">
      <v>3</v>
    </nc>
  </rcc>
  <rcc rId="7232" sId="3">
    <nc r="R9">
      <v>5</v>
    </nc>
  </rcc>
  <rcc rId="7233" sId="3">
    <nc r="S9">
      <v>2</v>
    </nc>
  </rcc>
  <rcc rId="7234" sId="3">
    <nc r="U9">
      <v>5</v>
    </nc>
  </rcc>
  <rcc rId="7235" sId="3">
    <nc r="X9" t="inlineStr">
      <is>
        <t>All units have valid video and audio output.
FE asserts on unit .114 is detected.
Unit #114
2014-02-25 ;03:45:13 ;FE;WARNING;;; ;WARNING;;3224;Failed to get tuner status
VBI warnings on all due to known setup issue.
MPE warnings on all units, refer to CSCzr06824,system issue</t>
      </is>
    </nc>
  </rcc>
  <rcc rId="7236" sId="3">
    <oc r="S5">
      <v>2</v>
    </oc>
    <nc r="S5"/>
  </rcc>
  <rfmt sheetId="4" sqref="B8" start="0" length="0">
    <dxf>
      <fill>
        <patternFill>
          <bgColor rgb="FFFFFFFF"/>
        </patternFill>
      </fill>
    </dxf>
  </rfmt>
  <rfmt sheetId="4" sqref="B9" start="0" length="0">
    <dxf>
      <fill>
        <patternFill>
          <bgColor rgb="FFFFFFFF"/>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E19" start="0" length="0">
    <dxf>
      <fill>
        <patternFill>
          <bgColor rgb="FFFFFFFF"/>
        </patternFill>
      </fill>
    </dxf>
  </rfmt>
  <rfmt sheetId="4" sqref="E20" start="0" length="0">
    <dxf>
      <fill>
        <patternFill>
          <bgColor rgb="FFFFFFFF"/>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K7" start="0" length="0">
    <dxf>
      <fill>
        <patternFill>
          <bgColor rgb="FFFFFFFF"/>
        </patternFill>
      </fill>
    </dxf>
  </rfmt>
  <rfmt sheetId="4" sqref="N10" start="0" length="0">
    <dxf>
      <fill>
        <patternFill>
          <bgColor rgb="FFFFFFFF"/>
        </patternFill>
      </fill>
    </dxf>
  </rfmt>
  <rfmt sheetId="4" sqref="K7" start="0" length="0">
    <dxf>
      <fill>
        <patternFill>
          <bgColor rgb="FFCCFFCC"/>
        </patternFill>
      </fill>
    </dxf>
  </rfmt>
  <rfmt sheetId="4" sqref="I9" start="0" length="0">
    <dxf>
      <fill>
        <patternFill>
          <bgColor rgb="FFCCFFCC"/>
        </patternFill>
      </fill>
    </dxf>
  </rfmt>
  <rfmt sheetId="4" sqref="N10" start="0" length="0">
    <dxf>
      <fill>
        <patternFill>
          <bgColor rgb="FFCCFFCC"/>
        </patternFill>
      </fill>
    </dxf>
  </rfmt>
  <rfmt sheetId="4" sqref="H26" start="0" length="0">
    <dxf>
      <fill>
        <patternFill>
          <bgColor rgb="FFFFFFFF"/>
        </patternFill>
      </fill>
    </dxf>
  </rfmt>
  <rfmt sheetId="4" sqref="J30" start="0" length="0">
    <dxf>
      <fill>
        <patternFill>
          <bgColor rgb="FFFFFFFF"/>
        </patternFill>
      </fill>
    </dxf>
  </rfmt>
  <rfmt sheetId="4" sqref="H21"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N17" start="0" length="0">
    <dxf>
      <fill>
        <patternFill>
          <bgColor rgb="FFFFFFFF"/>
        </patternFill>
      </fill>
    </dxf>
  </rfmt>
  <rfmt sheetId="4" sqref="N19" start="0" length="0">
    <dxf>
      <fill>
        <patternFill>
          <bgColor rgb="FFFFFFFF"/>
        </patternFill>
      </fill>
    </dxf>
  </rfmt>
  <rfmt sheetId="4" sqref="P16" start="0" length="0">
    <dxf>
      <fill>
        <patternFill>
          <bgColor rgb="FFCCFFCC"/>
        </patternFill>
      </fill>
    </dxf>
  </rfmt>
  <rfmt sheetId="4" sqref="N17" start="0" length="0">
    <dxf>
      <fill>
        <patternFill>
          <bgColor rgb="FFCCFFCC"/>
        </patternFill>
      </fill>
    </dxf>
  </rfmt>
  <rfmt sheetId="4" sqref="N19" start="0" length="0">
    <dxf>
      <fill>
        <patternFill>
          <bgColor rgb="FFCCFFCC"/>
        </patternFill>
      </fill>
    </dxf>
  </rfmt>
  <rfmt sheetId="4" sqref="Q32" start="0" length="0">
    <dxf>
      <fill>
        <patternFill>
          <bgColor rgb="FFFFFFFF"/>
        </patternFill>
      </fill>
    </dxf>
  </rfmt>
  <rfmt sheetId="4" sqref="U32" start="0" length="0">
    <dxf>
      <fill>
        <patternFill>
          <bgColor rgb="FFFFFFFF"/>
        </patternFill>
      </fill>
    </dxf>
  </rfmt>
  <rfmt sheetId="4" sqref="N36" start="0" length="0">
    <dxf>
      <fill>
        <patternFill>
          <bgColor rgb="FFFFFFFF"/>
        </patternFill>
      </fill>
    </dxf>
  </rfmt>
  <rfmt sheetId="4" sqref="P36"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6" start="0" length="0">
    <dxf>
      <fill>
        <patternFill>
          <bgColor rgb="FFFFFFFF"/>
        </patternFill>
      </fill>
    </dxf>
  </rfmt>
  <rfmt sheetId="4" sqref="S7" start="0" length="0">
    <dxf>
      <fill>
        <patternFill>
          <bgColor rgb="FFFFFFFF"/>
        </patternFill>
      </fill>
    </dxf>
  </rfmt>
  <rfmt sheetId="4" sqref="S6"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S12" start="0" length="0">
    <dxf>
      <fill>
        <patternFill>
          <bgColor rgb="FFFFFFFF"/>
        </patternFill>
      </fill>
    </dxf>
  </rfmt>
  <rfmt sheetId="4" sqref="Q13" start="0" length="0">
    <dxf>
      <fill>
        <patternFill>
          <bgColor rgb="FFFFFFFF"/>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9" start="0" length="0">
    <dxf>
      <fill>
        <patternFill>
          <bgColor rgb="FFFFFFFF"/>
        </patternFill>
      </fill>
    </dxf>
  </rfmt>
  <rfmt sheetId="4" sqref="V20" start="0" length="0">
    <dxf>
      <fill>
        <patternFill>
          <bgColor rgb="FFFFFFFF"/>
        </patternFill>
      </fill>
    </dxf>
  </rfmt>
  <rfmt sheetId="4" sqref="V19" start="0" length="0">
    <dxf>
      <fill>
        <patternFill>
          <bgColor rgb="FFCCFFCC"/>
        </patternFill>
      </fill>
    </dxf>
  </rfmt>
  <rfmt sheetId="4" sqref="V20" start="0" length="0">
    <dxf>
      <fill>
        <patternFill>
          <bgColor rgb="FFCCFFCC"/>
        </patternFill>
      </fill>
    </dxf>
  </rfmt>
  <rfmt sheetId="4" sqref="N25"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V10"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5" start="0" length="0">
    <dxf>
      <fill>
        <patternFill>
          <bgColor rgb="FFFFFFFF"/>
        </patternFill>
      </fill>
    </dxf>
  </rfmt>
  <rfmt sheetId="4" sqref="V15" start="0" length="0">
    <dxf>
      <fill>
        <patternFill>
          <bgColor rgb="FFCCFFCC"/>
        </patternFill>
      </fill>
    </dxf>
  </rfmt>
  <rfmt sheetId="4" sqref="H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J39" start="0" length="0">
    <dxf>
      <fill>
        <patternFill>
          <bgColor rgb="FFCCFFCC"/>
        </patternFill>
      </fill>
    </dxf>
  </rfmt>
  <rcc rId="7237" sId="3" numFmtId="19">
    <nc r="A9">
      <v>41694</v>
    </nc>
  </rcc>
  <rcc rId="7238" sId="4" numFmtId="19">
    <oc r="I2">
      <v>41691</v>
    </oc>
    <nc r="I2">
      <v>41694</v>
    </nc>
  </rcc>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cc rId="7239" sId="3">
    <oc r="B5" t="inlineStr">
      <is>
        <t>1, 2, 3, 6, 7, 8, 9, 10, 11, 12, 13, 14, 16, 19, 20</t>
      </is>
    </oc>
    <nc r="B5" t="inlineStr">
      <is>
        <t>1, 2, 3, 6, 7, 8, 9, 10, 12, 13, 14, 16, 19, 20</t>
      </is>
    </nc>
  </rcc>
  <rcc rId="7240" sId="3" numFmtId="13">
    <oc r="B4">
      <v>0.11764705882352941</v>
    </oc>
    <nc r="B4">
      <v>0.17647058823529413</v>
    </nc>
  </rcc>
  <rcc rId="7241" sId="3" numFmtId="13">
    <oc r="B3">
      <v>0.11764705882352941</v>
    </oc>
    <nc r="B3">
      <v>0.17647058823529413</v>
    </nc>
  </rcc>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cc rId="7242" sId="3">
    <oc r="C5" t="inlineStr">
      <is>
        <t>1, 2, 3, 6, 7, 9, 10, 11, 17, 18</t>
      </is>
    </oc>
    <nc r="C5" t="inlineStr">
      <is>
        <t>1, 2, 3, 6, 7, 9, 10, 11, 18</t>
      </is>
    </nc>
  </rcc>
  <rcc rId="7243" sId="3" numFmtId="13">
    <oc r="C4">
      <v>0.16666666666666666</v>
    </oc>
    <nc r="C4">
      <v>0.25</v>
    </nc>
  </rcc>
  <rcc rId="7244" sId="3" numFmtId="13">
    <oc r="C3">
      <v>0.16666666666666666</v>
    </oc>
    <nc r="C3">
      <v>0.25</v>
    </nc>
  </rcc>
  <rfmt sheetId="4" sqref="K7" start="0" length="0">
    <dxf>
      <fill>
        <patternFill>
          <bgColor rgb="FFFFFFFF"/>
        </patternFill>
      </fill>
    </dxf>
  </rfmt>
  <rfmt sheetId="4" sqref="I9" start="0" length="0">
    <dxf>
      <fill>
        <patternFill>
          <bgColor rgb="FFFFFFFF"/>
        </patternFill>
      </fill>
    </dxf>
  </rfmt>
  <rfmt sheetId="4" sqref="N10" start="0" length="0">
    <dxf>
      <fill>
        <patternFill>
          <bgColor rgb="FFFFFFFF"/>
        </patternFill>
      </fill>
    </dxf>
  </rfmt>
  <rfmt sheetId="4" sqref="K7" start="0" length="0">
    <dxf>
      <fill>
        <patternFill>
          <bgColor rgb="FFCCFFCC"/>
        </patternFill>
      </fill>
    </dxf>
  </rfmt>
  <rfmt sheetId="4" sqref="I9" start="0" length="0">
    <dxf>
      <fill>
        <patternFill>
          <bgColor rgb="FFCCFFCC"/>
        </patternFill>
      </fill>
    </dxf>
  </rfmt>
  <rfmt sheetId="4" sqref="N10" start="0" length="0">
    <dxf>
      <fill>
        <patternFill>
          <bgColor rgb="FFCCFFCC"/>
        </patternFill>
      </fill>
    </dxf>
  </rfmt>
  <rcc rId="7245" sId="3">
    <oc r="D5" t="inlineStr">
      <is>
        <t>1, 4, 7, 16, 19, 22, 25, 2, 5, 8, 17, 20, 23, 26, 3, 6, 9, 21, 24, 27, 10, 13, 28, 31, 34, 37, 11, 14, 29, 32, 35, 38, 12, 15, 30, 33, 36, 40, 41, 42, 43, 44, 45, 46, 47, 48, 49</t>
      </is>
    </oc>
    <nc r="D5" t="inlineStr">
      <is>
        <t>1, 4, 7, 16, 19, 22, 25, 2, 5, 8, 17, 20, 23, 26, 3, 6, 9, 21, 24, 27, 10, 13, 28, 31, 34, 37, 14, 29, 32, 35, 38, 12, 15, 30, 33, 36, 40, 41, 42, 43, 44, 45, 46, 47, 48, 49</t>
      </is>
    </nc>
  </rcc>
  <rcc rId="7246" sId="3" numFmtId="13">
    <oc r="D4">
      <v>4.0816326530612242E-2</v>
    </oc>
    <nc r="D4">
      <v>6.1224489795918366E-2</v>
    </nc>
  </rcc>
  <rcc rId="7247" sId="3" numFmtId="13">
    <oc r="D3">
      <v>4.0816326530612242E-2</v>
    </oc>
    <nc r="D3">
      <v>6.1224489795918366E-2</v>
    </nc>
  </rcc>
  <rfmt sheetId="4" sqref="H21"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H21"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cc rId="7248" sId="3">
    <oc r="E5" t="inlineStr">
      <is>
        <t>1, 3, 5, 2, 4, 6, 7, 9, 11, 15, 8, 10, 12, 16, 13, 14, 17, 19, 21, 25, 18, 20, 22, 26, 23, 24, 27, 29, 30, 31, 32, 33, 34, 35, 36, 37, 38, 40, 39, 41, 42, 44, 45, 46, 47, 48, 49, 50, 51, 53, 52</t>
      </is>
    </oc>
    <nc r="E5" t="inlineStr">
      <is>
        <t>1, 3, 5, 2, 4, 6, 7, 9, 11, 15, 8, 10, 12, 16, 13, 14, 19, 21, 25, 18, 20, 22, 26, 23, 24, 27, 29, 30, 31, 32, 33, 34, 35, 36, 37, 38, 40, 39, 41, 42, 44, 45, 46, 47, 48, 49, 50, 51, 53, 52</t>
      </is>
    </nc>
  </rcc>
  <rcc rId="7249" sId="3" numFmtId="13">
    <oc r="E4">
      <v>3.7735849056603772E-2</v>
    </oc>
    <nc r="E4">
      <v>5.6603773584905662E-2</v>
    </nc>
  </rcc>
  <rcc rId="7250" sId="3" numFmtId="13">
    <oc r="E3">
      <v>3.7735849056603772E-2</v>
    </oc>
    <nc r="E3">
      <v>5.6603773584905662E-2</v>
    </nc>
  </rcc>
  <rfmt sheetId="4" sqref="P16" start="0" length="0">
    <dxf>
      <fill>
        <patternFill>
          <bgColor rgb="FFFFFFFF"/>
        </patternFill>
      </fill>
    </dxf>
  </rfmt>
  <rfmt sheetId="4" sqref="N17" start="0" length="0">
    <dxf>
      <fill>
        <patternFill>
          <bgColor rgb="FFFFFFFF"/>
        </patternFill>
      </fill>
    </dxf>
  </rfmt>
  <rfmt sheetId="4" sqref="N19" start="0" length="0">
    <dxf>
      <fill>
        <patternFill>
          <bgColor rgb="FFFFFFFF"/>
        </patternFill>
      </fill>
    </dxf>
  </rfmt>
  <rfmt sheetId="4" sqref="P16" start="0" length="0">
    <dxf>
      <fill>
        <patternFill>
          <bgColor rgb="FFCCFFCC"/>
        </patternFill>
      </fill>
    </dxf>
  </rfmt>
  <rfmt sheetId="4" sqref="N17" start="0" length="0">
    <dxf>
      <fill>
        <patternFill>
          <bgColor rgb="FFCCFFCC"/>
        </patternFill>
      </fill>
    </dxf>
  </rfmt>
  <rfmt sheetId="4" sqref="N19" start="0" length="0">
    <dxf>
      <fill>
        <patternFill>
          <bgColor rgb="FFCCFFCC"/>
        </patternFill>
      </fill>
    </dxf>
  </rfmt>
  <rcc rId="7251" sId="3">
    <oc r="F5" t="inlineStr">
      <is>
        <t>1, 3, 5, 4, 6, 7, 9, 11, 10, 12, 13, 14</t>
      </is>
    </oc>
    <nc r="F5" t="inlineStr">
      <is>
        <t>1, 3, 4, 6, 7, 9, 11, 10, 12, 13, 14</t>
      </is>
    </nc>
  </rcc>
  <rcc rId="7252" sId="3" numFmtId="13">
    <oc r="F4">
      <v>0.14285714285714285</v>
    </oc>
    <nc r="F4">
      <v>0.21428571428571427</v>
    </nc>
  </rcc>
  <rcc rId="7253" sId="3" numFmtId="13">
    <oc r="F3">
      <v>0.14285714285714285</v>
    </oc>
    <nc r="F3">
      <v>0.21428571428571427</v>
    </nc>
  </rcc>
  <rfmt sheetId="4" sqref="Q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N36" start="0" length="0">
    <dxf>
      <fill>
        <patternFill>
          <bgColor rgb="FFFFFFFF"/>
        </patternFill>
      </fill>
    </dxf>
  </rfmt>
  <rfmt sheetId="4" sqref="P36"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cc rId="7254" sId="3">
    <oc r="G5" t="inlineStr">
      <is>
        <t>5, 7, 6, 8, 1, 3, 2, 9, 10, 11, 12, 27, 28, 25, 26, 37, 29, 30, 19, 18, 20, 13, 15, 14, 16, 21, 22, 23, 24, 33, 34, 31, 32, 35, 36</t>
      </is>
    </oc>
    <nc r="G5" t="inlineStr">
      <is>
        <t>5, 7, 6, 8, 1, 3, 2, 10, 11, 12, 27, 28, 25, 26, 37, 29, 30, 19, 18, 20, 13, 15, 14, 16, 21, 22, 23, 24, 33, 34, 31, 32, 35, 36</t>
      </is>
    </nc>
  </rcc>
  <rcc rId="7255" sId="3" numFmtId="13">
    <oc r="G4">
      <v>5.4054054054054057E-2</v>
    </oc>
    <nc r="G4">
      <v>8.1081081081081086E-2</v>
    </nc>
  </rcc>
  <rcc rId="7256" sId="3" numFmtId="13">
    <oc r="G3">
      <v>5.4054054054054057E-2</v>
    </oc>
    <nc r="G3">
      <v>8.1081081081081086E-2</v>
    </nc>
  </rcc>
  <rcc rId="7257" sId="3">
    <oc r="H5" t="inlineStr">
      <is>
        <t>5, 7, 6, 8, 1, 3, 2, 9, 10, 11, 12, 27, 28, 25, 26, 37, 29, 30, 19, 18, 20, 13, 15, 14, 16, 21, 22, 23, 24, 33, 34, 31, 32, 35, 36</t>
      </is>
    </oc>
    <nc r="H5" t="inlineStr">
      <is>
        <t>5, 7, 6, 8, 1, 3, 2, 10, 11, 12, 27, 28, 25, 26, 37, 29, 30, 19, 18, 20, 13, 15, 14, 16, 21, 22, 23, 24, 33, 34, 31, 32, 35, 36</t>
      </is>
    </nc>
  </rcc>
  <rcc rId="7258" sId="3" numFmtId="13">
    <oc r="H4">
      <v>5.4054054054054057E-2</v>
    </oc>
    <nc r="H4">
      <v>8.1081081081081086E-2</v>
    </nc>
  </rcc>
  <rcc rId="7259" sId="3" numFmtId="13">
    <oc r="H3">
      <v>5.4054054054054057E-2</v>
    </oc>
    <nc r="H3">
      <v>8.1081081081081086E-2</v>
    </nc>
  </rcc>
  <rcc rId="7260" sId="3">
    <oc r="I5" t="inlineStr">
      <is>
        <t>5, 7, 6, 8, 1, 3, 2, 9, 10, 11, 12, 27, 28, 25, 26, 37, 29, 30, 19, 18, 20, 13, 15, 14, 16, 21, 22, 23, 24, 33, 34, 31, 32, 35, 36</t>
      </is>
    </oc>
    <nc r="I5" t="inlineStr">
      <is>
        <t>5, 7, 6, 8, 1, 3, 2, 10, 11, 12, 27, 28, 25, 26, 37, 29, 30, 19, 18, 20, 13, 15, 14, 16, 21, 22, 23, 24, 33, 34, 31, 32, 35, 36</t>
      </is>
    </nc>
  </rcc>
  <rcc rId="7261" sId="3" numFmtId="13">
    <oc r="I4">
      <v>5.4054054054054057E-2</v>
    </oc>
    <nc r="I4">
      <v>8.1081081081081086E-2</v>
    </nc>
  </rcc>
  <rcc rId="7262" sId="3" numFmtId="13">
    <oc r="I3">
      <v>5.4054054054054057E-2</v>
    </oc>
    <nc r="I3">
      <v>8.1081081081081086E-2</v>
    </nc>
  </rcc>
  <rcc rId="7263" sId="3">
    <oc r="J5" t="inlineStr">
      <is>
        <t>5, 7, 6, 8, 1, 3, 2, 9, 10, 11, 12, 27, 28, 25, 26, 37, 29, 30, 19, 18, 20, 13, 15, 14, 16, 21, 22, 23, 24, 33, 34, 31, 32, 35, 36</t>
      </is>
    </oc>
    <nc r="J5" t="inlineStr">
      <is>
        <t>5, 7, 6, 8, 1, 3, 2, 10, 11, 12, 27, 28, 25, 26, 37, 29, 30, 19, 18, 20, 13, 15, 14, 16, 21, 22, 23, 24, 33, 34, 31, 32, 35, 36</t>
      </is>
    </nc>
  </rcc>
  <rcc rId="7264" sId="3" numFmtId="13">
    <oc r="J4">
      <v>5.4054054054054057E-2</v>
    </oc>
    <nc r="J4">
      <v>8.1081081081081086E-2</v>
    </nc>
  </rcc>
  <rcc rId="7265" sId="3" numFmtId="13">
    <oc r="J3">
      <v>5.4054054054054057E-2</v>
    </oc>
    <nc r="J3">
      <v>8.1081081081081086E-2</v>
    </nc>
  </rcc>
  <rcc rId="7266" sId="3">
    <oc r="K5" t="inlineStr">
      <is>
        <t>5, 7, 6, 1, 3, 2, 4, 9, 10, 11, 12, 27, 28, 25, 26, 37, 29, 30, 17, 19, 20, 13, 15, 14, 16, 21, 22, 23, 24, 33, 34, 31, 32, 35, 36</t>
      </is>
    </oc>
    <nc r="K5" t="inlineStr">
      <is>
        <t>5, 7, 6, 1, 3, 2, 4, 9, 11, 12, 27, 28, 25, 26, 37, 29, 30, 17, 19, 20, 13, 15, 14, 16, 21, 22, 23, 24, 33, 34, 31, 32, 35, 36</t>
      </is>
    </nc>
  </rcc>
  <rcc rId="7267" sId="3" numFmtId="13">
    <oc r="K4">
      <v>5.4054054054054057E-2</v>
    </oc>
    <nc r="K4">
      <v>8.1081081081081086E-2</v>
    </nc>
  </rcc>
  <rcc rId="7268" sId="3" numFmtId="13">
    <oc r="K3">
      <v>5.4054054054054057E-2</v>
    </oc>
    <nc r="K3">
      <v>8.1081081081081086E-2</v>
    </nc>
  </rcc>
  <rcc rId="7269" sId="3">
    <oc r="L5" t="inlineStr">
      <is>
        <t>5, 7, 6, 1, 3, 2, 4, 9, 10, 11, 12, 27, 28, 25, 26, 37, 29, 30, 17, 19, 20, 13, 15, 14, 16, 21, 22, 23, 24, 33, 34, 31, 32, 35, 36</t>
      </is>
    </oc>
    <nc r="L5" t="inlineStr">
      <is>
        <t>5, 7, 6, 1, 3, 2, 4, 9, 11, 12, 27, 28, 25, 26, 37, 29, 30, 17, 19, 20, 13, 15, 14, 16, 21, 22, 23, 24, 33, 34, 31, 32, 35, 36</t>
      </is>
    </nc>
  </rcc>
  <rcc rId="7270" sId="3" numFmtId="13">
    <oc r="L4">
      <v>5.4054054054054057E-2</v>
    </oc>
    <nc r="L4">
      <v>8.1081081081081086E-2</v>
    </nc>
  </rcc>
  <rcc rId="7271" sId="3" numFmtId="13">
    <oc r="L3">
      <v>5.4054054054054057E-2</v>
    </oc>
    <nc r="L3">
      <v>8.1081081081081086E-2</v>
    </nc>
  </rcc>
  <rcc rId="7272" sId="3">
    <oc r="M5" t="inlineStr">
      <is>
        <t>5, 7, 6, 1, 3, 2, 4, 9, 10, 11, 12, 27, 28, 25, 26, 37, 29, 30, 17, 19, 20, 13, 15, 14, 16, 21, 22, 23, 24, 33, 34, 31, 32, 35, 36</t>
      </is>
    </oc>
    <nc r="M5" t="inlineStr">
      <is>
        <t>5, 7, 6, 1, 3, 2, 4, 9, 11, 12, 27, 28, 25, 26, 37, 29, 30, 17, 19, 20, 13, 15, 14, 16, 21, 22, 23, 24, 33, 34, 31, 32, 35, 36</t>
      </is>
    </nc>
  </rcc>
  <rcc rId="7273" sId="3" numFmtId="13">
    <oc r="M4">
      <v>5.4054054054054057E-2</v>
    </oc>
    <nc r="M4">
      <v>8.1081081081081086E-2</v>
    </nc>
  </rcc>
  <rcc rId="7274" sId="3" numFmtId="13">
    <oc r="M3">
      <v>5.4054054054054057E-2</v>
    </oc>
    <nc r="M3">
      <v>8.1081081081081086E-2</v>
    </nc>
  </rcc>
  <rcc rId="7275" sId="3">
    <oc r="N5" t="inlineStr">
      <is>
        <t>5, 7, 6, 1, 3, 2, 4, 9, 10, 11, 12, 27, 28, 25, 26, 37, 29, 30, 17, 19, 20, 13, 15, 14, 16, 21, 22, 23, 24, 33, 34, 31, 32, 35, 36</t>
      </is>
    </oc>
    <nc r="N5" t="inlineStr">
      <is>
        <t>5, 7, 6, 1, 3, 2, 4, 9, 11, 12, 27, 28, 25, 26, 37, 29, 30, 17, 19, 20, 13, 15, 14, 16, 21, 22, 23, 24, 33, 34, 31, 32, 35, 36</t>
      </is>
    </nc>
  </rcc>
  <rcc rId="7276" sId="3" numFmtId="13">
    <oc r="N4">
      <v>5.4054054054054057E-2</v>
    </oc>
    <nc r="N4">
      <v>8.1081081081081086E-2</v>
    </nc>
  </rcc>
  <rcc rId="7277" sId="3" numFmtId="13">
    <oc r="N3">
      <v>5.4054054054054057E-2</v>
    </oc>
    <nc r="N3">
      <v>8.1081081081081086E-2</v>
    </nc>
  </rcc>
  <rfmt sheetId="4" sqref="S6"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S6"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cc rId="7278" sId="3">
    <oc r="O5" t="inlineStr">
      <is>
        <t>1, 2, 6, 3, 4, 8</t>
      </is>
    </oc>
    <nc r="O5" t="inlineStr">
      <is>
        <t>1, 2, 6, 3, 8</t>
      </is>
    </nc>
  </rcc>
  <rcc rId="7279" sId="3" numFmtId="13">
    <oc r="O4">
      <v>0.25</v>
    </oc>
    <nc r="O4">
      <v>0.375</v>
    </nc>
  </rcc>
  <rcc rId="7280" sId="3" numFmtId="13">
    <oc r="O3">
      <v>0.25</v>
    </oc>
    <nc r="O3">
      <v>0.375</v>
    </nc>
  </rcc>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cc rId="7281" sId="3">
    <oc r="P5" t="inlineStr">
      <is>
        <t>1, 5, 3, 2, 6</t>
      </is>
    </oc>
    <nc r="P5" t="inlineStr">
      <is>
        <t>1, 5, 3, 2</t>
      </is>
    </nc>
  </rcc>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cc rId="7282" sId="3" numFmtId="13">
    <oc r="P4">
      <v>0.2857142857142857</v>
    </oc>
    <nc r="P4">
      <v>0.42857142857142855</v>
    </nc>
  </rcc>
  <rcc rId="7283" sId="3" numFmtId="13">
    <oc r="P3">
      <v>0.2857142857142857</v>
    </oc>
    <nc r="P3">
      <v>0.42857142857142855</v>
    </nc>
  </rcc>
  <rfmt sheetId="4" sqref="V19" start="0" length="0">
    <dxf>
      <fill>
        <patternFill>
          <bgColor rgb="FFFFFFFF"/>
        </patternFill>
      </fill>
    </dxf>
  </rfmt>
  <rfmt sheetId="4" sqref="V20" start="0" length="0">
    <dxf>
      <fill>
        <patternFill>
          <bgColor rgb="FFFFFFFF"/>
        </patternFill>
      </fill>
    </dxf>
  </rfmt>
  <rfmt sheetId="4" sqref="V19" start="0" length="0">
    <dxf>
      <fill>
        <patternFill>
          <bgColor rgb="FFCCFFCC"/>
        </patternFill>
      </fill>
    </dxf>
  </rfmt>
  <rfmt sheetId="4" sqref="V20" start="0" length="0">
    <dxf>
      <fill>
        <patternFill>
          <bgColor rgb="FFCCFFCC"/>
        </patternFill>
      </fill>
    </dxf>
  </rfmt>
  <rfmt sheetId="4" sqref="N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cc rId="7284" sId="3">
    <oc r="R5" t="inlineStr">
      <is>
        <t>1, 2, 10, 5, 6, 12</t>
      </is>
    </oc>
    <nc r="R5" t="inlineStr">
      <is>
        <t>1, 2, 10, 6, 12</t>
      </is>
    </nc>
  </rcc>
  <rcc rId="7285" sId="3" numFmtId="13">
    <oc r="R4">
      <v>0.25</v>
    </oc>
    <nc r="R4">
      <v>0.375</v>
    </nc>
  </rcc>
  <rcc rId="7286" sId="3" numFmtId="13">
    <oc r="R3">
      <v>0.25</v>
    </oc>
    <nc r="R3">
      <v>0.375</v>
    </nc>
  </rcc>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cc rId="7287" sId="3" numFmtId="13">
    <oc r="S4">
      <v>0.5</v>
    </oc>
    <nc r="S4">
      <v>1</v>
    </nc>
  </rcc>
  <rcc rId="7288" sId="3" numFmtId="13">
    <oc r="S3">
      <v>0.5</v>
    </oc>
    <nc r="S3">
      <v>1</v>
    </nc>
  </rcc>
  <rfmt sheetId="4" sqref="V15" start="0" length="0">
    <dxf>
      <fill>
        <patternFill>
          <bgColor rgb="FFFFFFFF"/>
        </patternFill>
      </fill>
    </dxf>
  </rfmt>
  <rfmt sheetId="4" sqref="V15" start="0" length="0">
    <dxf>
      <fill>
        <patternFill>
          <bgColor rgb="FFCCFFCC"/>
        </patternFill>
      </fill>
    </dxf>
  </rfmt>
  <rfmt sheetId="4" sqref="H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J39" start="0" length="0">
    <dxf>
      <fill>
        <patternFill>
          <bgColor rgb="FFCCFFCC"/>
        </patternFill>
      </fill>
    </dxf>
  </rfmt>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89" sId="3" odxf="1" dxf="1" numFmtId="19">
    <nc r="A10">
      <v>41695</v>
    </nc>
    <odxf>
      <font>
        <color indexed="8"/>
        <name val="Times New Roman"/>
        <scheme val="none"/>
      </font>
      <border outline="0">
        <top/>
      </border>
    </odxf>
    <ndxf>
      <font>
        <color rgb="FF000000"/>
        <name val="Calibri"/>
        <scheme val="minor"/>
      </font>
      <border outline="0">
        <top style="thin">
          <color indexed="64"/>
        </top>
      </border>
    </ndxf>
  </rcc>
  <rcc rId="7290" sId="3" odxf="1" dxf="1">
    <nc r="B10">
      <v>14</v>
    </nc>
    <odxf>
      <font>
        <sz val="9"/>
        <color indexed="8"/>
        <name val="Calibri"/>
        <scheme val="none"/>
      </font>
      <fill>
        <patternFill>
          <bgColor theme="0"/>
        </patternFill>
      </fill>
    </odxf>
    <ndxf>
      <font>
        <sz val="9"/>
        <color indexed="8"/>
        <name val="Calibri"/>
        <scheme val="minor"/>
      </font>
      <fill>
        <patternFill>
          <bgColor rgb="FFCCFFCC"/>
        </patternFill>
      </fill>
    </ndxf>
  </rcc>
  <rcc rId="7291" sId="3" odxf="1" dxf="1">
    <nc r="C10">
      <v>17</v>
    </nc>
    <odxf>
      <font>
        <sz val="9"/>
        <color indexed="8"/>
        <name val="Calibri"/>
        <scheme val="none"/>
      </font>
      <fill>
        <patternFill>
          <bgColor theme="0"/>
        </patternFill>
      </fill>
    </odxf>
    <ndxf>
      <font>
        <sz val="9"/>
        <color indexed="8"/>
        <name val="Calibri"/>
        <scheme val="minor"/>
      </font>
      <fill>
        <patternFill>
          <bgColor rgb="FFCCFFCC"/>
        </patternFill>
      </fill>
    </ndxf>
  </rcc>
  <rcc rId="7292" sId="3" odxf="1" dxf="1">
    <nc r="D10">
      <v>24</v>
    </nc>
    <odxf>
      <font>
        <sz val="9"/>
        <color indexed="8"/>
        <name val="Calibri"/>
        <scheme val="none"/>
      </font>
      <fill>
        <patternFill>
          <bgColor theme="0"/>
        </patternFill>
      </fill>
    </odxf>
    <ndxf>
      <font>
        <sz val="9"/>
        <color indexed="8"/>
        <name val="Calibri"/>
        <scheme val="minor"/>
      </font>
      <fill>
        <patternFill>
          <bgColor rgb="FFCCFFCC"/>
        </patternFill>
      </fill>
    </ndxf>
  </rcc>
  <rcc rId="7293" sId="3" odxf="1" dxf="1">
    <nc r="E10">
      <v>52</v>
    </nc>
    <odxf>
      <font>
        <sz val="9"/>
        <color indexed="8"/>
        <name val="Calibri"/>
        <scheme val="none"/>
      </font>
      <fill>
        <patternFill>
          <bgColor theme="0"/>
        </patternFill>
      </fill>
    </odxf>
    <ndxf>
      <font>
        <sz val="9"/>
        <color indexed="8"/>
        <name val="Calibri"/>
        <scheme val="minor"/>
      </font>
      <fill>
        <patternFill>
          <bgColor rgb="FFCCFFCC"/>
        </patternFill>
      </fill>
    </ndxf>
  </rcc>
  <rcc rId="7294" sId="3" odxf="1" s="1" dxf="1">
    <nc r="F10">
      <v>11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7295" sId="3" odxf="1" dxf="1">
    <nc r="G10">
      <v>6</v>
    </nc>
    <odxf>
      <font>
        <sz val="9"/>
        <color indexed="8"/>
        <name val="Calibri"/>
        <scheme val="none"/>
      </font>
      <fill>
        <patternFill>
          <bgColor theme="0"/>
        </patternFill>
      </fill>
    </odxf>
    <ndxf>
      <font>
        <sz val="9"/>
        <color indexed="8"/>
        <name val="Calibri"/>
        <scheme val="minor"/>
      </font>
      <fill>
        <patternFill>
          <bgColor rgb="FFCCFFCC"/>
        </patternFill>
      </fill>
    </ndxf>
  </rcc>
  <rcc rId="7296" sId="3" odxf="1" dxf="1">
    <nc r="H10">
      <v>6</v>
    </nc>
    <odxf>
      <font>
        <sz val="9"/>
        <color indexed="8"/>
        <name val="Calibri"/>
        <scheme val="none"/>
      </font>
      <fill>
        <patternFill>
          <bgColor theme="0"/>
        </patternFill>
      </fill>
    </odxf>
    <ndxf>
      <font>
        <sz val="9"/>
        <color indexed="8"/>
        <name val="Calibri"/>
        <scheme val="minor"/>
      </font>
      <fill>
        <patternFill>
          <bgColor rgb="FFCCFFCC"/>
        </patternFill>
      </fill>
    </ndxf>
  </rcc>
  <rcc rId="7297" sId="3" odxf="1" dxf="1">
    <nc r="I10">
      <v>2</v>
    </nc>
    <odxf>
      <font>
        <sz val="9"/>
        <color indexed="8"/>
        <name val="Calibri"/>
        <scheme val="none"/>
      </font>
      <fill>
        <patternFill>
          <bgColor theme="0"/>
        </patternFill>
      </fill>
    </odxf>
    <ndxf>
      <font>
        <sz val="9"/>
        <color indexed="8"/>
        <name val="Calibri"/>
        <scheme val="minor"/>
      </font>
      <fill>
        <patternFill>
          <bgColor rgb="FFCCFFCC"/>
        </patternFill>
      </fill>
    </ndxf>
  </rcc>
  <rcc rId="7298" sId="3" odxf="1" dxf="1">
    <nc r="J10">
      <v>2</v>
    </nc>
    <odxf>
      <font>
        <sz val="9"/>
        <color indexed="8"/>
        <name val="Calibri"/>
        <scheme val="none"/>
      </font>
      <fill>
        <patternFill>
          <bgColor theme="0"/>
        </patternFill>
      </fill>
    </odxf>
    <ndxf>
      <font>
        <sz val="9"/>
        <color indexed="8"/>
        <name val="Calibri"/>
        <scheme val="minor"/>
      </font>
      <fill>
        <patternFill>
          <bgColor rgb="FFCCFFCC"/>
        </patternFill>
      </fill>
    </ndxf>
  </rcc>
  <rcc rId="7299" sId="3" odxf="1" dxf="1">
    <nc r="K10">
      <v>1</v>
    </nc>
    <odxf>
      <font>
        <sz val="9"/>
        <color indexed="8"/>
        <name val="Calibri"/>
        <scheme val="none"/>
      </font>
      <fill>
        <patternFill>
          <bgColor theme="0"/>
        </patternFill>
      </fill>
    </odxf>
    <ndxf>
      <font>
        <sz val="9"/>
        <color indexed="8"/>
        <name val="Calibri"/>
        <scheme val="minor"/>
      </font>
      <fill>
        <patternFill>
          <bgColor rgb="FFCCFFCC"/>
        </patternFill>
      </fill>
    </ndxf>
  </rcc>
  <rcc rId="7300" sId="3" odxf="1" dxf="1">
    <nc r="L10">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M10" start="0" length="0">
    <dxf>
      <font>
        <sz val="9"/>
        <color indexed="8"/>
        <name val="Calibri"/>
        <scheme val="minor"/>
      </font>
      <fill>
        <patternFill>
          <bgColor rgb="FFCCFFCC"/>
        </patternFill>
      </fill>
    </dxf>
  </rfmt>
  <rfmt sheetId="3" sqref="N10" start="0" length="0">
    <dxf>
      <font>
        <sz val="9"/>
        <color indexed="8"/>
        <name val="Calibri"/>
        <scheme val="minor"/>
      </font>
      <fill>
        <patternFill patternType="none">
          <bgColor indexed="65"/>
        </patternFill>
      </fill>
      <alignment wrapText="0" readingOrder="0"/>
    </dxf>
  </rfmt>
  <rcc rId="7301" sId="3" odxf="1" dxf="1">
    <nc r="O10"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fmt sheetId="3" sqref="P10" start="0" length="0">
    <dxf>
      <font>
        <sz val="9"/>
        <color indexed="8"/>
        <name val="Calibri"/>
        <scheme val="none"/>
      </font>
      <numFmt numFmtId="31" formatCode="[h]:mm:ss"/>
      <fill>
        <patternFill patternType="none">
          <bgColor indexed="65"/>
        </patternFill>
      </fill>
      <alignment horizontal="general" vertical="top" readingOrder="0"/>
    </dxf>
  </rfmt>
  <rfmt sheetId="3" s="1" sqref="Q10" start="0" length="0">
    <dxf>
      <font>
        <sz val="11"/>
        <color theme="1"/>
        <name val="Calibri"/>
        <scheme val="minor"/>
      </font>
      <fill>
        <patternFill patternType="none">
          <bgColor indexed="65"/>
        </patternFill>
      </fill>
      <alignment horizontal="general" vertical="bottom" wrapText="0" readingOrder="0"/>
      <border outline="0">
        <left/>
        <right/>
        <top/>
        <bottom/>
      </border>
    </dxf>
  </rfmt>
  <rfmt sheetId="3" s="1" sqref="R10" start="0" length="0">
    <dxf>
      <font>
        <sz val="11"/>
        <color theme="1"/>
        <name val="Calibri"/>
        <scheme val="minor"/>
      </font>
      <fill>
        <patternFill patternType="none">
          <bgColor indexed="65"/>
        </patternFill>
      </fill>
      <alignment horizontal="general" vertical="bottom" wrapText="0" readingOrder="0"/>
      <border outline="0">
        <left/>
        <right/>
        <top/>
        <bottom/>
      </border>
    </dxf>
  </rfmt>
  <rfmt sheetId="3" s="1" sqref="S10" start="0" length="0">
    <dxf>
      <font>
        <sz val="11"/>
        <color theme="1"/>
        <name val="Calibri"/>
        <scheme val="minor"/>
      </font>
      <fill>
        <patternFill patternType="none">
          <bgColor indexed="65"/>
        </patternFill>
      </fill>
      <alignment horizontal="general" vertical="bottom" wrapText="0" readingOrder="0"/>
      <border outline="0">
        <left/>
        <right/>
        <top/>
        <bottom/>
      </border>
    </dxf>
  </rfmt>
  <rfmt sheetId="3" s="1" sqref="T10" start="0" length="0">
    <dxf>
      <font>
        <sz val="11"/>
        <color theme="1"/>
        <name val="Calibri"/>
        <scheme val="minor"/>
      </font>
      <fill>
        <patternFill patternType="none">
          <bgColor indexed="65"/>
        </patternFill>
      </fill>
      <alignment horizontal="general" vertical="bottom" wrapText="0" readingOrder="0"/>
      <border outline="0">
        <left/>
        <right/>
        <top/>
        <bottom/>
      </border>
    </dxf>
  </rfmt>
  <rfmt sheetId="3" s="1" sqref="U10" start="0" length="0">
    <dxf>
      <font>
        <sz val="11"/>
        <color theme="1"/>
        <name val="Calibri"/>
        <scheme val="minor"/>
      </font>
      <fill>
        <patternFill patternType="none">
          <bgColor indexed="65"/>
        </patternFill>
      </fill>
      <alignment horizontal="general" vertical="bottom" wrapText="0" readingOrder="0"/>
      <border outline="0">
        <right/>
        <bottom/>
      </border>
    </dxf>
  </rfmt>
  <rfmt sheetId="3" s="1" sqref="V10" start="0" length="0">
    <dxf>
      <font>
        <sz val="11"/>
        <color theme="1"/>
        <name val="Calibri"/>
        <scheme val="minor"/>
      </font>
      <fill>
        <patternFill patternType="none">
          <bgColor indexed="65"/>
        </patternFill>
      </fill>
      <alignment horizontal="general" vertical="bottom" readingOrder="0"/>
      <border outline="0">
        <right/>
        <bottom/>
      </border>
    </dxf>
  </rfmt>
  <rfmt sheetId="3" s="1" sqref="W10" start="0" length="0">
    <dxf>
      <font>
        <sz val="11"/>
        <color theme="1"/>
        <name val="Calibri"/>
        <scheme val="minor"/>
      </font>
      <fill>
        <patternFill patternType="none">
          <bgColor indexed="65"/>
        </patternFill>
      </fill>
      <alignment horizontal="general" vertical="bottom" wrapText="0" readingOrder="0"/>
      <border outline="0">
        <left/>
        <right/>
        <top/>
        <bottom/>
      </border>
    </dxf>
  </rfmt>
  <rfmt sheetId="3" s="1" sqref="X10" start="0" length="0">
    <dxf>
      <font>
        <sz val="11"/>
        <color theme="1"/>
        <name val="Calibri"/>
        <scheme val="minor"/>
      </font>
      <numFmt numFmtId="0" formatCode="General"/>
      <fill>
        <patternFill patternType="none">
          <bgColor indexed="65"/>
        </patternFill>
      </fill>
      <alignment horizontal="general" vertical="bottom" wrapText="0" readingOrder="0"/>
      <border outline="0">
        <left/>
        <right/>
        <top/>
        <bottom/>
      </border>
    </dxf>
  </rfmt>
  <rfmt sheetId="3" s="1" sqref="Y10" start="0" length="0">
    <dxf>
      <font>
        <sz val="11"/>
        <color theme="1"/>
        <name val="Calibri"/>
        <scheme val="minor"/>
      </font>
    </dxf>
  </rfmt>
  <rfmt sheetId="3" s="1" sqref="Z10" start="0" length="0">
    <dxf>
      <font>
        <sz val="11"/>
        <color theme="1"/>
        <name val="Calibri"/>
        <scheme val="minor"/>
      </font>
    </dxf>
  </rfmt>
  <rfmt sheetId="3" s="1" sqref="AA10" start="0" length="0">
    <dxf>
      <font>
        <sz val="11"/>
        <color theme="1"/>
        <name val="Calibri"/>
        <scheme val="minor"/>
      </font>
    </dxf>
  </rfmt>
  <rfmt sheetId="3" s="1" sqref="A10:XFD10" start="0" length="0">
    <dxf>
      <font>
        <sz val="11"/>
        <color theme="1"/>
        <name val="Calibri"/>
        <scheme val="minor"/>
      </font>
    </dxf>
  </rfmt>
  <rm rId="7302" sheetId="3" source="G10:P10" destination="O10:X10" sourceSheetId="3">
    <rfmt sheetId="3" s="1" sqref="Q10" start="0" length="0">
      <dxf>
        <font>
          <sz val="11"/>
          <color theme="1"/>
          <name val="Calibri"/>
          <scheme val="minor"/>
        </font>
      </dxf>
    </rfmt>
    <rfmt sheetId="3" s="1" sqref="R10" start="0" length="0">
      <dxf>
        <font>
          <sz val="11"/>
          <color theme="1"/>
          <name val="Calibri"/>
          <scheme val="minor"/>
        </font>
      </dxf>
    </rfmt>
    <rfmt sheetId="3" s="1" sqref="S10" start="0" length="0">
      <dxf>
        <font>
          <sz val="11"/>
          <color theme="1"/>
          <name val="Calibri"/>
          <scheme val="minor"/>
        </font>
      </dxf>
    </rfmt>
    <rfmt sheetId="3" s="1" sqref="T10" start="0" length="0">
      <dxf>
        <font>
          <sz val="11"/>
          <color theme="1"/>
          <name val="Calibri"/>
          <scheme val="minor"/>
        </font>
      </dxf>
    </rfmt>
    <rfmt sheetId="3" s="1" sqref="U10" start="0" length="0">
      <dxf>
        <font>
          <sz val="11"/>
          <color theme="1"/>
          <name val="Calibri"/>
          <scheme val="minor"/>
        </font>
      </dxf>
    </rfmt>
    <rfmt sheetId="3" s="1" sqref="V10" start="0" length="0">
      <dxf>
        <font>
          <sz val="11"/>
          <color theme="1"/>
          <name val="Calibri"/>
          <scheme val="minor"/>
        </font>
      </dxf>
    </rfmt>
    <rfmt sheetId="3" s="1" sqref="W10" start="0" length="0">
      <dxf>
        <font>
          <sz val="11"/>
          <color theme="1"/>
          <name val="Calibri"/>
          <scheme val="minor"/>
        </font>
      </dxf>
    </rfmt>
    <rfmt sheetId="3" s="1" sqref="X10" start="0" length="0">
      <dxf>
        <font>
          <sz val="11"/>
          <color theme="1"/>
          <name val="Calibri"/>
          <scheme val="minor"/>
        </font>
      </dxf>
    </rfmt>
  </rm>
  <rfmt sheetId="3" s="1" sqref="G10"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cc rId="7303" sId="3">
    <nc r="G10">
      <v>32</v>
    </nc>
  </rcc>
  <rcc rId="7304" sId="3" odxf="1" s="1" dxf="1">
    <nc r="H10">
      <v>32</v>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7305" sId="3" odxf="1" s="1" dxf="1">
    <nc r="I10">
      <v>32</v>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7306" sId="3" odxf="1" s="1" dxf="1">
    <nc r="J10">
      <v>32</v>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K10"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L10"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M10"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N10"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cc rId="7307" sId="3">
    <nc r="K10">
      <v>34</v>
    </nc>
  </rcc>
  <rcc rId="7308" sId="3">
    <nc r="L10">
      <v>34</v>
    </nc>
  </rcc>
  <rcc rId="7309" sId="3">
    <nc r="M10">
      <v>34</v>
    </nc>
  </rcc>
  <rcc rId="7310" sId="3">
    <nc r="N10">
      <v>34</v>
    </nc>
  </rcc>
  <rcc rId="7311" sId="3">
    <nc r="U10">
      <v>7</v>
    </nc>
  </rcc>
  <rcc rId="7312" sId="3">
    <nc r="X10" t="inlineStr">
      <is>
        <t xml:space="preserve">All units have valid video and audio output.
TX CC  error on PID 106(VBI) co-timed on all units due to uplink issue.
AUD2 warnings on several units, known issue CSCuh25081
</t>
      </is>
    </nc>
  </rcc>
  <rcc rId="7313" sId="3">
    <nc r="V10" t="inlineStr">
      <is>
        <t>B04.00.16DD</t>
      </is>
    </nc>
  </rcc>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8" start="0" length="0">
    <dxf>
      <fill>
        <patternFill>
          <bgColor rgb="FFCCFFCC"/>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K7" start="0" length="0">
    <dxf>
      <fill>
        <patternFill>
          <bgColor rgb="FFFFFFFF"/>
        </patternFill>
      </fill>
    </dxf>
  </rfmt>
  <rfmt sheetId="4" sqref="I9" start="0" length="0">
    <dxf>
      <fill>
        <patternFill>
          <bgColor rgb="FFFFFFFF"/>
        </patternFill>
      </fill>
    </dxf>
  </rfmt>
  <rfmt sheetId="4" sqref="N10" start="0" length="0">
    <dxf>
      <fill>
        <patternFill>
          <bgColor rgb="FFFFFFFF"/>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N10" start="0" length="0">
    <dxf>
      <fill>
        <patternFill>
          <bgColor rgb="FFCCFFCC"/>
        </patternFill>
      </fill>
    </dxf>
  </rfmt>
  <rfmt sheetId="4" sqref="H21"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H21"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J33" start="0" length="0">
    <dxf>
      <fill>
        <patternFill>
          <bgColor rgb="FFCCFFCC"/>
        </patternFill>
      </fill>
    </dxf>
  </rfmt>
  <rfmt sheetId="4" sqref="P16" start="0" length="0">
    <dxf>
      <fill>
        <patternFill>
          <bgColor rgb="FFFFFFFF"/>
        </patternFill>
      </fill>
    </dxf>
  </rfmt>
  <rfmt sheetId="4" sqref="N17" start="0" length="0">
    <dxf>
      <fill>
        <patternFill>
          <bgColor rgb="FFFFFFFF"/>
        </patternFill>
      </fill>
    </dxf>
  </rfmt>
  <rfmt sheetId="4" sqref="N19" start="0" length="0">
    <dxf>
      <fill>
        <patternFill>
          <bgColor rgb="FFFFFFFF"/>
        </patternFill>
      </fill>
    </dxf>
  </rfmt>
  <rfmt sheetId="4" sqref="P16" start="0" length="0">
    <dxf>
      <fill>
        <patternFill>
          <bgColor rgb="FFCCFFCC"/>
        </patternFill>
      </fill>
    </dxf>
  </rfmt>
  <rfmt sheetId="4" sqref="N17"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Q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N36" start="0" length="0">
    <dxf>
      <fill>
        <patternFill>
          <bgColor rgb="FFFFFFFF"/>
        </patternFill>
      </fill>
    </dxf>
  </rfmt>
  <rfmt sheetId="4" sqref="P36"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6"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S6" start="0" length="0">
    <dxf>
      <fill>
        <patternFill>
          <bgColor rgb="FFCCFFCC"/>
        </patternFill>
      </fill>
    </dxf>
  </rfmt>
  <rfmt sheetId="4" sqref="T6"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9" start="0" length="0">
    <dxf>
      <fill>
        <patternFill>
          <bgColor rgb="FFFFFFFF"/>
        </patternFill>
      </fill>
    </dxf>
  </rfmt>
  <rfmt sheetId="4" sqref="V20" start="0" length="0">
    <dxf>
      <fill>
        <patternFill>
          <bgColor rgb="FFFFFFFF"/>
        </patternFill>
      </fill>
    </dxf>
  </rfmt>
  <rfmt sheetId="4" sqref="V19" start="0" length="0">
    <dxf>
      <fill>
        <patternFill>
          <bgColor rgb="FFCCFFCC"/>
        </patternFill>
      </fill>
    </dxf>
  </rfmt>
  <rfmt sheetId="4" sqref="V20" start="0" length="0">
    <dxf>
      <fill>
        <patternFill>
          <bgColor rgb="FFCCFFCC"/>
        </patternFill>
      </fill>
    </dxf>
  </rfmt>
  <rfmt sheetId="4" sqref="N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5" start="0" length="0">
    <dxf>
      <fill>
        <patternFill>
          <bgColor rgb="FFFFFFFF"/>
        </patternFill>
      </fill>
    </dxf>
  </rfmt>
  <rfmt sheetId="4" sqref="V15" start="0" length="0">
    <dxf>
      <fill>
        <patternFill>
          <bgColor rgb="FFCCFFCC"/>
        </patternFill>
      </fill>
    </dxf>
  </rfmt>
  <rfmt sheetId="4" sqref="H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J39" start="0" length="0">
    <dxf>
      <fill>
        <patternFill>
          <bgColor rgb="FFCCFFCC"/>
        </patternFill>
      </fill>
    </dxf>
  </rfmt>
  <rcc rId="7314" sId="4" numFmtId="19">
    <oc r="I2">
      <v>41694</v>
    </oc>
    <nc r="I2">
      <v>41695</v>
    </nc>
  </rcc>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8" start="0" length="0">
    <dxf>
      <fill>
        <patternFill>
          <bgColor rgb="FFFFFFFF"/>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8" start="0" length="0">
    <dxf>
      <fill>
        <patternFill>
          <bgColor rgb="FFCCFFCC"/>
        </patternFill>
      </fill>
    </dxf>
  </rfmt>
  <rcc rId="7315" sId="3">
    <oc r="B5" t="inlineStr">
      <is>
        <t>1, 2, 3, 6, 7, 8, 9, 10, 12, 13, 14, 16, 19, 20</t>
      </is>
    </oc>
    <nc r="B5" t="inlineStr">
      <is>
        <t>1, 2, 3, 6, 7, 8, 9, 10, 12, 13, 16, 19, 20</t>
      </is>
    </nc>
  </rcc>
  <rcc rId="7316" sId="3" numFmtId="13">
    <oc r="B4">
      <v>0.17647058823529413</v>
    </oc>
    <nc r="B4">
      <v>0.23529411764705882</v>
    </nc>
  </rcc>
  <rcc rId="7317" sId="3" numFmtId="13">
    <oc r="B3">
      <v>0.17647058823529413</v>
    </oc>
    <nc r="B3">
      <v>0.23529411764705882</v>
    </nc>
  </rcc>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N10" start="0" length="0">
    <dxf>
      <fill>
        <patternFill>
          <bgColor rgb="FFFFFFFF"/>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N10" start="0" length="0">
    <dxf>
      <fill>
        <patternFill>
          <bgColor rgb="FFCCFFCC"/>
        </patternFill>
      </fill>
    </dxf>
  </rfmt>
  <rcc rId="7318" sId="3">
    <oc r="D5" t="inlineStr">
      <is>
        <t>1, 4, 7, 16, 19, 22, 25, 2, 5, 8, 17, 20, 23, 26, 3, 6, 9, 21, 24, 27, 10, 13, 28, 31, 34, 37, 14, 29, 32, 35, 38, 12, 15, 30, 33, 36, 40, 41, 42, 43, 44, 45, 46, 47, 48, 49</t>
      </is>
    </oc>
    <nc r="D5" t="inlineStr">
      <is>
        <t>1, 4, 7, 16, 19, 22, 25, 2, 5, 8, 17, 20, 23, 26, 3, 6, 9, 21, 27, 10, 13, 28, 31, 34, 37, 14, 29, 32, 35, 38, 12, 15, 30, 33, 36, 40, 41, 42, 43, 44, 45, 46, 47, 48, 49</t>
      </is>
    </nc>
  </rcc>
  <rcc rId="7319" sId="3" numFmtId="13">
    <oc r="D4">
      <v>6.1224489795918366E-2</v>
    </oc>
    <nc r="D4">
      <v>8.1632653061224483E-2</v>
    </nc>
  </rcc>
  <rcc rId="7320" sId="3" numFmtId="13">
    <oc r="D3">
      <v>6.1224489795918366E-2</v>
    </oc>
    <nc r="D3">
      <v>8.1632653061224483E-2</v>
    </nc>
  </rcc>
  <rfmt sheetId="4" sqref="H21"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cc rId="7321" sId="3">
    <oc r="E5" t="inlineStr">
      <is>
        <t>1, 3, 5, 2, 4, 6, 7, 9, 11, 15, 8, 10, 12, 16, 13, 14, 19, 21, 25, 18, 20, 22, 26, 23, 24, 27, 29, 30, 31, 32, 33, 34, 35, 36, 37, 38, 40, 39, 41, 42, 44, 45, 46, 47, 48, 49, 50, 51, 53, 52</t>
      </is>
    </oc>
    <nc r="E5" t="inlineStr">
      <is>
        <t>1, 3, 5, 2, 4, 6, 7, 9, 11, 15, 8, 10, 12, 16, 13, 14, 19, 21, 25, 18, 20, 22, 26, 23, 24, 27, 29, 30, 31, 32, 33, 34, 35, 36, 37, 38, 40, 39, 41, 42, 44, 45, 46, 47, 48, 49, 50, 51, 53</t>
      </is>
    </nc>
  </rcc>
  <rfmt sheetId="4" sqref="J33" start="0" length="0">
    <dxf>
      <fill>
        <patternFill>
          <bgColor rgb="FFCCFFCC"/>
        </patternFill>
      </fill>
    </dxf>
  </rfmt>
  <rcc rId="7322" sId="3" numFmtId="13">
    <oc r="E4">
      <v>5.6603773584905662E-2</v>
    </oc>
    <nc r="E4">
      <v>7.5471698113207544E-2</v>
    </nc>
  </rcc>
  <rcc rId="7323" sId="3" numFmtId="13">
    <oc r="E3">
      <v>5.6603773584905662E-2</v>
    </oc>
    <nc r="E3">
      <v>7.5471698113207544E-2</v>
    </nc>
  </rcc>
  <rfmt sheetId="4" sqref="P16" start="0" length="0">
    <dxf>
      <fill>
        <patternFill>
          <bgColor rgb="FFFFFFFF"/>
        </patternFill>
      </fill>
    </dxf>
  </rfmt>
  <rfmt sheetId="4" sqref="N17"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P16" start="0" length="0">
    <dxf>
      <fill>
        <patternFill>
          <bgColor rgb="FFCCFFCC"/>
        </patternFill>
      </fill>
    </dxf>
  </rfmt>
  <rfmt sheetId="4" sqref="N17"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cc rId="7324" sId="3">
    <oc r="F5" t="inlineStr">
      <is>
        <t>1, 3, 4, 6, 7, 9, 11, 10, 12, 13, 14</t>
      </is>
    </oc>
    <nc r="F5" t="inlineStr">
      <is>
        <t>1, 3, 4, 6, 7, 9, 10, 12, 13, 14</t>
      </is>
    </nc>
  </rcc>
  <rcc rId="7325" sId="3" numFmtId="13">
    <oc r="F4">
      <v>0.21428571428571427</v>
    </oc>
    <nc r="F4">
      <v>0.2857142857142857</v>
    </nc>
  </rcc>
  <rcc rId="7326" sId="3" numFmtId="13">
    <oc r="F3">
      <v>0.21428571428571427</v>
    </oc>
    <nc r="F3">
      <v>0.2857142857142857</v>
    </nc>
  </rcc>
  <rfmt sheetId="4" sqref="Q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N36" start="0" length="0">
    <dxf>
      <fill>
        <patternFill>
          <bgColor rgb="FFFFFFFF"/>
        </patternFill>
      </fill>
    </dxf>
  </rfmt>
  <rfmt sheetId="4" sqref="P36"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cc rId="7327" sId="3">
    <oc r="G5" t="inlineStr">
      <is>
        <t>5, 7, 6, 8, 1, 3, 2, 10, 11, 12, 27, 28, 25, 26, 37, 29, 30, 19, 18, 20, 13, 15, 14, 16, 21, 22, 23, 24, 33, 34, 31, 32, 35, 36</t>
      </is>
    </oc>
    <nc r="G5" t="inlineStr">
      <is>
        <t>5, 7, 6, 8, 1, 3, 2, 10, 11, 12, 27, 28, 25, 26, 37, 29, 30, 19, 18, 20, 13, 15, 14, 16, 21, 22, 23, 24, 33, 34, 31, 35, 36</t>
      </is>
    </nc>
  </rcc>
  <rcc rId="7328" sId="3" numFmtId="13">
    <oc r="G4">
      <v>8.1081081081081086E-2</v>
    </oc>
    <nc r="G4">
      <v>0.10810810810810811</v>
    </nc>
  </rcc>
  <rcc rId="7329" sId="3" numFmtId="13">
    <oc r="G3">
      <v>8.1081081081081086E-2</v>
    </oc>
    <nc r="G3">
      <v>0.10810810810810811</v>
    </nc>
  </rcc>
  <rcc rId="7330" sId="3">
    <oc r="H5" t="inlineStr">
      <is>
        <t>5, 7, 6, 8, 1, 3, 2, 10, 11, 12, 27, 28, 25, 26, 37, 29, 30, 19, 18, 20, 13, 15, 14, 16, 21, 22, 23, 24, 33, 34, 31, 32, 35, 36</t>
      </is>
    </oc>
    <nc r="H5" t="inlineStr">
      <is>
        <t>5, 7, 6, 8, 1, 3, 2, 10, 11, 12, 27, 28, 25, 26, 37, 29, 30, 19, 18, 20, 13, 15, 14, 16, 21, 22, 23, 24, 33, 34, 31, 35, 36</t>
      </is>
    </nc>
  </rcc>
  <rcc rId="7331" sId="3" numFmtId="13">
    <oc r="H4">
      <v>8.1081081081081086E-2</v>
    </oc>
    <nc r="H4">
      <v>0.10810810810810811</v>
    </nc>
  </rcc>
  <rcc rId="7332" sId="3" numFmtId="13">
    <oc r="H3">
      <v>8.1081081081081086E-2</v>
    </oc>
    <nc r="H3">
      <v>0.10810810810810811</v>
    </nc>
  </rcc>
  <rcc rId="7333" sId="3">
    <oc r="I5" t="inlineStr">
      <is>
        <t>5, 7, 6, 8, 1, 3, 2, 10, 11, 12, 27, 28, 25, 26, 37, 29, 30, 19, 18, 20, 13, 15, 14, 16, 21, 22, 23, 24, 33, 34, 31, 32, 35, 36</t>
      </is>
    </oc>
    <nc r="I5" t="inlineStr">
      <is>
        <t>5, 7, 6, 8, 1, 3, 2, 10, 11, 12, 27, 28, 25, 26, 37, 29, 30, 19, 18, 20, 13, 15, 14, 16, 21, 22, 23, 24, 33, 34, 31, 35, 36</t>
      </is>
    </nc>
  </rcc>
  <rcc rId="7334" sId="3" numFmtId="13">
    <oc r="I4">
      <v>8.1081081081081086E-2</v>
    </oc>
    <nc r="I4">
      <v>0.10810810810810811</v>
    </nc>
  </rcc>
  <rcc rId="7335" sId="3" numFmtId="13">
    <oc r="I3">
      <v>8.1081081081081086E-2</v>
    </oc>
    <nc r="I3">
      <v>0.10810810810810811</v>
    </nc>
  </rcc>
  <rcc rId="7336" sId="3">
    <oc r="J5" t="inlineStr">
      <is>
        <t>5, 7, 6, 8, 1, 3, 2, 10, 11, 12, 27, 28, 25, 26, 37, 29, 30, 19, 18, 20, 13, 15, 14, 16, 21, 22, 23, 24, 33, 34, 31, 32, 35, 36</t>
      </is>
    </oc>
    <nc r="J5" t="inlineStr">
      <is>
        <t>5, 7, 6, 8, 1, 3, 2, 10, 11, 12, 27, 28, 25, 26, 37, 29, 30, 19, 18, 20, 13, 15, 14, 16, 21, 22, 23, 24, 33, 34, 31, 35, 36</t>
      </is>
    </nc>
  </rcc>
  <rcc rId="7337" sId="3" numFmtId="13">
    <oc r="J4">
      <v>8.1081081081081086E-2</v>
    </oc>
    <nc r="J4">
      <v>0.10810810810810811</v>
    </nc>
  </rcc>
  <rcc rId="7338" sId="3" numFmtId="13">
    <oc r="J3">
      <v>8.1081081081081086E-2</v>
    </oc>
    <nc r="J3">
      <v>0.10810810810810811</v>
    </nc>
  </rcc>
  <rcc rId="7339" sId="3">
    <oc r="K5" t="inlineStr">
      <is>
        <t>5, 7, 6, 1, 3, 2, 4, 9, 11, 12, 27, 28, 25, 26, 37, 29, 30, 17, 19, 20, 13, 15, 14, 16, 21, 22, 23, 24, 33, 34, 31, 32, 35, 36</t>
      </is>
    </oc>
    <nc r="K5" t="inlineStr">
      <is>
        <t>5, 7, 6, 1, 3, 2, 4, 9, 11, 12, 27, 28, 25, 26, 37, 29, 30, 17, 19, 20, 13, 15, 14, 16, 21, 22, 23, 24, 33, 31, 32, 35, 36</t>
      </is>
    </nc>
  </rcc>
  <rcc rId="7340" sId="3" numFmtId="13">
    <oc r="K4">
      <v>8.1081081081081086E-2</v>
    </oc>
    <nc r="K4">
      <v>0.10810810810810811</v>
    </nc>
  </rcc>
  <rcc rId="7341" sId="3" numFmtId="13">
    <oc r="K3">
      <v>8.1081081081081086E-2</v>
    </oc>
    <nc r="K3">
      <v>0.10810810810810811</v>
    </nc>
  </rcc>
  <rcc rId="7342" sId="3">
    <oc r="L5" t="inlineStr">
      <is>
        <t>5, 7, 6, 1, 3, 2, 4, 9, 11, 12, 27, 28, 25, 26, 37, 29, 30, 17, 19, 20, 13, 15, 14, 16, 21, 22, 23, 24, 33, 34, 31, 32, 35, 36</t>
      </is>
    </oc>
    <nc r="L5" t="inlineStr">
      <is>
        <t>5, 7, 6, 1, 3, 2, 4, 9, 11, 12, 27, 28, 25, 26, 37, 29, 30, 17, 19, 20, 13, 15, 14, 16, 21, 22, 23, 24, 33, 31, 32, 35, 36</t>
      </is>
    </nc>
  </rcc>
  <rcc rId="7343" sId="3" numFmtId="13">
    <oc r="L4">
      <v>8.1081081081081086E-2</v>
    </oc>
    <nc r="L4">
      <v>0.10810810810810811</v>
    </nc>
  </rcc>
  <rcc rId="7344" sId="3" numFmtId="13">
    <oc r="L3">
      <v>8.1081081081081086E-2</v>
    </oc>
    <nc r="L3">
      <v>0.10810810810810811</v>
    </nc>
  </rcc>
  <rcc rId="7345" sId="3">
    <oc r="M5" t="inlineStr">
      <is>
        <t>5, 7, 6, 1, 3, 2, 4, 9, 11, 12, 27, 28, 25, 26, 37, 29, 30, 17, 19, 20, 13, 15, 14, 16, 21, 22, 23, 24, 33, 34, 31, 32, 35, 36</t>
      </is>
    </oc>
    <nc r="M5" t="inlineStr">
      <is>
        <t>5, 7, 6, 1, 3, 2, 4, 9, 11, 12, 27, 28, 25, 26, 37, 29, 30, 17, 19, 20, 13, 15, 14, 16, 21, 22, 23, 24, 33, 31, 32, 35, 36</t>
      </is>
    </nc>
  </rcc>
  <rcc rId="7346" sId="3" numFmtId="13">
    <oc r="M4">
      <v>8.1081081081081086E-2</v>
    </oc>
    <nc r="M4">
      <v>0.10810810810810811</v>
    </nc>
  </rcc>
  <rcc rId="7347" sId="3" numFmtId="13">
    <oc r="M3">
      <v>8.1081081081081086E-2</v>
    </oc>
    <nc r="M3">
      <v>0.10810810810810811</v>
    </nc>
  </rcc>
  <rcc rId="7348" sId="3">
    <oc r="N5" t="inlineStr">
      <is>
        <t>5, 7, 6, 1, 3, 2, 4, 9, 11, 12, 27, 28, 25, 26, 37, 29, 30, 17, 19, 20, 13, 15, 14, 16, 21, 22, 23, 24, 33, 34, 31, 32, 35, 36</t>
      </is>
    </oc>
    <nc r="N5" t="inlineStr">
      <is>
        <t>5, 7, 6, 1, 3, 2, 4, 9, 11, 12, 27, 28, 25, 26, 37, 29, 30, 17, 19, 20, 13, 15, 14, 16, 21, 22, 23, 24, 33, 31, 32, 35, 36</t>
      </is>
    </nc>
  </rcc>
  <rcc rId="7349" sId="3" numFmtId="13">
    <oc r="N4">
      <v>8.1081081081081086E-2</v>
    </oc>
    <nc r="N4">
      <v>0.10810810810810811</v>
    </nc>
  </rcc>
  <rcc rId="7350" sId="3" numFmtId="13">
    <oc r="N3">
      <v>8.1081081081081086E-2</v>
    </oc>
    <nc r="N3">
      <v>0.10810810810810811</v>
    </nc>
  </rcc>
  <rfmt sheetId="4" sqref="S6" start="0" length="0">
    <dxf>
      <fill>
        <patternFill>
          <bgColor rgb="FFFFFFFF"/>
        </patternFill>
      </fill>
    </dxf>
  </rfmt>
  <rfmt sheetId="4" sqref="T6"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S6" start="0" length="0">
    <dxf>
      <fill>
        <patternFill>
          <bgColor rgb="FFCCFFCC"/>
        </patternFill>
      </fill>
    </dxf>
  </rfmt>
  <rfmt sheetId="4" sqref="T6"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cc rId="7351" sId="3">
    <oc r="O5" t="inlineStr">
      <is>
        <t>1, 2, 6, 3, 8</t>
      </is>
    </oc>
    <nc r="O5" t="inlineStr">
      <is>
        <t>1, 2, 3, 8</t>
      </is>
    </nc>
  </rcc>
  <rcc rId="7352" sId="3" numFmtId="13">
    <oc r="O4">
      <v>0.375</v>
    </oc>
    <nc r="O4">
      <v>0.5</v>
    </nc>
  </rcc>
  <rcc rId="7353" sId="3" numFmtId="13">
    <oc r="O3">
      <v>0.375</v>
    </oc>
    <nc r="O3">
      <v>0.5</v>
    </nc>
  </rcc>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9" start="0" length="0">
    <dxf>
      <fill>
        <patternFill>
          <bgColor rgb="FFFFFFFF"/>
        </patternFill>
      </fill>
    </dxf>
  </rfmt>
  <rfmt sheetId="4" sqref="V20" start="0" length="0">
    <dxf>
      <fill>
        <patternFill>
          <bgColor rgb="FFFFFFFF"/>
        </patternFill>
      </fill>
    </dxf>
  </rfmt>
  <rfmt sheetId="4" sqref="V19" start="0" length="0">
    <dxf>
      <fill>
        <patternFill>
          <bgColor rgb="FFCCFFCC"/>
        </patternFill>
      </fill>
    </dxf>
  </rfmt>
  <rfmt sheetId="4" sqref="V20" start="0" length="0">
    <dxf>
      <fill>
        <patternFill>
          <bgColor rgb="FFCCFFCC"/>
        </patternFill>
      </fill>
    </dxf>
  </rfmt>
  <rfmt sheetId="4" sqref="N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cc rId="7354" sId="3">
    <oc r="R5" t="inlineStr">
      <is>
        <t>1, 2, 10, 6, 12</t>
      </is>
    </oc>
    <nc r="R5" t="inlineStr">
      <is>
        <t>1, 10, 6, 12</t>
      </is>
    </nc>
  </rcc>
  <rcc rId="7355" sId="3" numFmtId="13">
    <oc r="R4">
      <v>0.375</v>
    </oc>
    <nc r="R4">
      <v>0.5</v>
    </nc>
  </rcc>
  <rcc rId="7356" sId="3" numFmtId="13">
    <oc r="R3">
      <v>0.375</v>
    </oc>
    <nc r="R3">
      <v>0.5</v>
    </nc>
  </rcc>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5" start="0" length="0">
    <dxf>
      <fill>
        <patternFill>
          <bgColor rgb="FFFFFFFF"/>
        </patternFill>
      </fill>
    </dxf>
  </rfmt>
  <rfmt sheetId="4" sqref="V15" start="0" length="0">
    <dxf>
      <fill>
        <patternFill>
          <bgColor rgb="FFCCFFCC"/>
        </patternFill>
      </fill>
    </dxf>
  </rfmt>
  <rfmt sheetId="4" sqref="H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J39" start="0" length="0">
    <dxf>
      <fill>
        <patternFill>
          <bgColor rgb="FFCCFFCC"/>
        </patternFill>
      </fill>
    </dxf>
  </rfmt>
  <rcv guid="{609F876C-F41A-43C8-BD3D-0455630C6D86}" action="delete"/>
  <rdn rId="0" localSheetId="3" customView="1" name="Z_609F876C_F41A_43C8_BD3D_0455630C6D86_.wvu.FilterData" hidden="1" oldHidden="1">
    <formula>'D9859 Grid'!$A$2:$Y$59</formula>
    <oldFormula>'D9859 Grid'!$A$2:$Y$59</oldFormula>
  </rdn>
  <rdn rId="0" localSheetId="14" customView="1" name="Z_609F876C_F41A_43C8_BD3D_0455630C6D86_.wvu.FilterData" hidden="1" oldHidden="1">
    <formula>'Transcode Test Cases'!$A$9:$P$46</formula>
    <oldFormula>'Transcode Test Cases'!$A$9:$P$46</oldFormula>
  </rdn>
  <rcv guid="{609F876C-F41A-43C8-BD3D-0455630C6D86}"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11" start="0" length="0">
    <dxf>
      <font>
        <color rgb="FF000000"/>
        <name val="Calibri"/>
        <scheme val="minor"/>
      </font>
      <border outline="0">
        <top style="thin">
          <color indexed="64"/>
        </top>
      </border>
    </dxf>
  </rfmt>
  <rfmt sheetId="3" sqref="B11" start="0" length="0">
    <dxf>
      <font>
        <sz val="9"/>
        <color indexed="8"/>
        <name val="Calibri"/>
        <scheme val="minor"/>
      </font>
      <fill>
        <patternFill>
          <bgColor rgb="FFCCFFCC"/>
        </patternFill>
      </fill>
    </dxf>
  </rfmt>
  <rfmt sheetId="3" sqref="C11" start="0" length="0">
    <dxf>
      <font>
        <sz val="9"/>
        <color indexed="8"/>
        <name val="Calibri"/>
        <scheme val="minor"/>
      </font>
      <fill>
        <patternFill>
          <bgColor rgb="FFCCFFCC"/>
        </patternFill>
      </fill>
    </dxf>
  </rfmt>
  <rfmt sheetId="3" sqref="D11" start="0" length="0">
    <dxf>
      <font>
        <sz val="9"/>
        <color indexed="8"/>
        <name val="Calibri"/>
        <scheme val="minor"/>
      </font>
      <fill>
        <patternFill>
          <bgColor rgb="FFCCFFCC"/>
        </patternFill>
      </fill>
    </dxf>
  </rfmt>
  <rfmt sheetId="3" sqref="E11" start="0" length="0">
    <dxf>
      <font>
        <sz val="9"/>
        <color indexed="8"/>
        <name val="Calibri"/>
        <scheme val="minor"/>
      </font>
      <fill>
        <patternFill>
          <bgColor rgb="FFCCFFCC"/>
        </patternFill>
      </fill>
    </dxf>
  </rfmt>
  <rfmt sheetId="3" s="1" sqref="F11" start="0" length="0">
    <dxf>
      <font>
        <sz val="10"/>
        <color indexed="8"/>
        <name val="Calibri"/>
        <scheme val="minor"/>
      </font>
      <fill>
        <patternFill>
          <bgColor rgb="FFCCFFCC"/>
        </patternFill>
      </fill>
      <alignment wrapText="1" readingOrder="0"/>
    </dxf>
  </rfmt>
  <rfmt sheetId="3" sqref="G11" start="0" length="0">
    <dxf>
      <fill>
        <patternFill>
          <bgColor rgb="FFCCFFCC"/>
        </patternFill>
      </fill>
    </dxf>
  </rfmt>
  <rfmt sheetId="3" sqref="H11" start="0" length="0">
    <dxf>
      <fill>
        <patternFill>
          <bgColor rgb="FFCCFFCC"/>
        </patternFill>
      </fill>
    </dxf>
  </rfmt>
  <rfmt sheetId="3" sqref="I11" start="0" length="0">
    <dxf>
      <fill>
        <patternFill>
          <bgColor rgb="FFCCFFCC"/>
        </patternFill>
      </fill>
    </dxf>
  </rfmt>
  <rfmt sheetId="3" sqref="J11" start="0" length="0">
    <dxf>
      <fill>
        <patternFill>
          <bgColor rgb="FFCCFFCC"/>
        </patternFill>
      </fill>
    </dxf>
  </rfmt>
  <rfmt sheetId="3" sqref="K11" start="0" length="0">
    <dxf>
      <fill>
        <patternFill>
          <bgColor rgb="FFCCFFCC"/>
        </patternFill>
      </fill>
    </dxf>
  </rfmt>
  <rfmt sheetId="3" sqref="L11" start="0" length="0">
    <dxf>
      <fill>
        <patternFill>
          <bgColor rgb="FFCCFFCC"/>
        </patternFill>
      </fill>
    </dxf>
  </rfmt>
  <rfmt sheetId="3" sqref="M11" start="0" length="0">
    <dxf>
      <fill>
        <patternFill>
          <bgColor rgb="FFCCFFCC"/>
        </patternFill>
      </fill>
    </dxf>
  </rfmt>
  <rfmt sheetId="3" sqref="N11" start="0" length="0">
    <dxf>
      <fill>
        <patternFill>
          <bgColor rgb="FFCCFFCC"/>
        </patternFill>
      </fill>
    </dxf>
  </rfmt>
  <rfmt sheetId="3" sqref="O11" start="0" length="0">
    <dxf>
      <font>
        <sz val="9"/>
        <color indexed="8"/>
        <name val="Calibri"/>
        <scheme val="minor"/>
      </font>
      <fill>
        <patternFill>
          <bgColor rgb="FFCCFFCC"/>
        </patternFill>
      </fill>
    </dxf>
  </rfmt>
  <rfmt sheetId="3" sqref="P11" start="0" length="0">
    <dxf>
      <font>
        <sz val="9"/>
        <color indexed="8"/>
        <name val="Calibri"/>
        <scheme val="minor"/>
      </font>
      <fill>
        <patternFill>
          <bgColor rgb="FFCCFFCC"/>
        </patternFill>
      </fill>
    </dxf>
  </rfmt>
  <rcc rId="7359" sId="3" odxf="1" dxf="1">
    <nc r="Q11">
      <v>2</v>
    </nc>
    <odxf>
      <font>
        <sz val="9"/>
        <color indexed="8"/>
        <name val="Calibri"/>
        <scheme val="none"/>
      </font>
      <fill>
        <patternFill>
          <bgColor theme="0"/>
        </patternFill>
      </fill>
    </odxf>
    <ndxf>
      <font>
        <sz val="9"/>
        <color indexed="8"/>
        <name val="Calibri"/>
        <scheme val="minor"/>
      </font>
      <fill>
        <patternFill>
          <bgColor rgb="FFCCFFCC"/>
        </patternFill>
      </fill>
    </ndxf>
  </rcc>
  <rcc rId="7360" sId="3" odxf="1" dxf="1">
    <nc r="R11">
      <v>2</v>
    </nc>
    <odxf>
      <font>
        <sz val="9"/>
        <color indexed="8"/>
        <name val="Calibri"/>
        <scheme val="none"/>
      </font>
      <fill>
        <patternFill>
          <bgColor theme="0"/>
        </patternFill>
      </fill>
    </odxf>
    <ndxf>
      <font>
        <sz val="9"/>
        <color indexed="8"/>
        <name val="Calibri"/>
        <scheme val="minor"/>
      </font>
      <fill>
        <patternFill>
          <bgColor rgb="FFCCFFCC"/>
        </patternFill>
      </fill>
    </ndxf>
  </rcc>
  <rcc rId="7361" sId="3" odxf="1" dxf="1">
    <nc r="S11">
      <v>1</v>
    </nc>
    <odxf>
      <font>
        <sz val="9"/>
        <color indexed="8"/>
        <name val="Calibri"/>
        <scheme val="none"/>
      </font>
      <fill>
        <patternFill>
          <bgColor theme="0"/>
        </patternFill>
      </fill>
    </odxf>
    <ndxf>
      <font>
        <sz val="9"/>
        <color indexed="8"/>
        <name val="Calibri"/>
        <scheme val="minor"/>
      </font>
      <fill>
        <patternFill>
          <bgColor rgb="FFCCFFCC"/>
        </patternFill>
      </fill>
    </ndxf>
  </rcc>
  <rcc rId="7362" sId="3" odxf="1" dxf="1">
    <nc r="T11">
      <v>2</v>
    </nc>
    <odxf>
      <font>
        <sz val="9"/>
        <color indexed="8"/>
        <name val="Calibri"/>
        <scheme val="none"/>
      </font>
      <fill>
        <patternFill>
          <bgColor theme="0"/>
        </patternFill>
      </fill>
    </odxf>
    <ndxf>
      <font>
        <sz val="9"/>
        <color indexed="8"/>
        <name val="Calibri"/>
        <scheme val="minor"/>
      </font>
      <fill>
        <patternFill>
          <bgColor rgb="FFCCFFCC"/>
        </patternFill>
      </fill>
    </ndxf>
  </rcc>
  <rcc rId="7363" sId="3" odxf="1" dxf="1">
    <nc r="U11">
      <v>7</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7364" sId="3" odxf="1" dxf="1">
    <nc r="V11"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365" sId="3" odxf="1" dxf="1">
    <nc r="W11"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fmt sheetId="3" s="1" sqref="X11" start="0" length="0">
    <dxf>
      <font>
        <sz val="10"/>
        <color auto="1"/>
        <name val="Arial"/>
        <scheme val="none"/>
      </font>
      <fill>
        <patternFill patternType="none">
          <bgColor indexed="65"/>
        </patternFill>
      </fill>
      <alignment horizontal="general" vertical="top" readingOrder="0"/>
      <border outline="0">
        <right style="thin">
          <color indexed="64"/>
        </right>
      </border>
    </dxf>
  </rfmt>
  <rfmt sheetId="3" s="1" sqref="Y11" start="0" length="0">
    <dxf>
      <font>
        <sz val="11"/>
        <color theme="1"/>
        <name val="Calibri"/>
        <scheme val="minor"/>
      </font>
    </dxf>
  </rfmt>
  <rfmt sheetId="3" s="1" sqref="Z11" start="0" length="0">
    <dxf>
      <font>
        <sz val="11"/>
        <color theme="1"/>
        <name val="Calibri"/>
        <scheme val="minor"/>
      </font>
    </dxf>
  </rfmt>
  <rfmt sheetId="3" s="1" sqref="AA11" start="0" length="0">
    <dxf>
      <font>
        <sz val="11"/>
        <color theme="1"/>
        <name val="Calibri"/>
        <scheme val="minor"/>
      </font>
    </dxf>
  </rfmt>
  <rfmt sheetId="3" s="1" sqref="A11:XFD11" start="0" length="0">
    <dxf>
      <font>
        <sz val="11"/>
        <color theme="1"/>
        <name val="Calibri"/>
        <scheme val="minor"/>
      </font>
    </dxf>
  </rfmt>
  <rcc rId="7366" sId="3">
    <nc r="B11">
      <v>13</v>
    </nc>
  </rcc>
  <rcc rId="7367" sId="3">
    <nc r="C11">
      <v>18</v>
    </nc>
  </rcc>
  <rcc rId="7368" sId="3" numFmtId="19">
    <nc r="A11">
      <v>41696</v>
    </nc>
  </rcc>
  <rcc rId="7369" sId="3">
    <nc r="D11">
      <v>36</v>
    </nc>
  </rcc>
  <rcc rId="7370" sId="3">
    <nc r="E11">
      <v>51</v>
    </nc>
  </rcc>
  <rcc rId="7371" sId="3">
    <nc r="F11">
      <v>13</v>
    </nc>
  </rcc>
  <rcc rId="7372" sId="3">
    <nc r="G11">
      <v>3</v>
    </nc>
  </rcc>
  <rcc rId="7373" sId="3">
    <nc r="H11">
      <v>3</v>
    </nc>
  </rcc>
  <rcc rId="7374" sId="3">
    <nc r="I11">
      <v>3</v>
    </nc>
  </rcc>
  <rcc rId="7375" sId="3">
    <nc r="J11">
      <v>3</v>
    </nc>
  </rcc>
  <rcc rId="7376" sId="3">
    <nc r="K11">
      <v>7</v>
    </nc>
  </rcc>
  <rcc rId="7377" sId="3">
    <nc r="L11">
      <v>7</v>
    </nc>
  </rcc>
  <rcc rId="7378" sId="3">
    <nc r="M11">
      <v>7</v>
    </nc>
  </rcc>
  <rcc rId="7379" sId="3">
    <nc r="N11">
      <v>7</v>
    </nc>
  </rcc>
  <rcc rId="7380" sId="3">
    <nc r="O11">
      <v>8</v>
    </nc>
  </rcc>
  <rcc rId="7381" sId="3">
    <nc r="P11">
      <v>5</v>
    </nc>
  </rcc>
  <rcc rId="7382" sId="3">
    <nc r="X11" t="inlineStr">
      <is>
        <t xml:space="preserve">All units have valid video and audio output.
Transcoder reset on unit .104(Micron alt-part units) due to Transcoder heartbeat message timeout exceeded. we’ve seen this issue only on this unit again.
All warning/assert related to transcoder reset can be ignored.
TX buffer overflow co-timed with video hits on unit .107 due to high video bit rate @ 25Mbps.
AUD2 warnings on several units, known issue CSCuh25081.
</t>
      </is>
    </nc>
  </rcc>
  <rcc rId="7383" sId="4" numFmtId="19">
    <oc r="I2">
      <v>41695</v>
    </oc>
    <nc r="I2">
      <v>41696</v>
    </nc>
  </rcc>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8" start="0" length="0">
    <dxf>
      <fill>
        <patternFill>
          <bgColor rgb="FFFFFFFF"/>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cc rId="7384" sId="3">
    <oc r="B5" t="inlineStr">
      <is>
        <t>1, 2, 3, 6, 7, 8, 9, 10, 12, 13, 16, 19, 20</t>
      </is>
    </oc>
    <nc r="B5" t="inlineStr">
      <is>
        <t>1, 2, 3, 6, 7, 8, 9, 10, 12, 16, 19, 20</t>
      </is>
    </nc>
  </rcc>
  <rcc rId="7385" sId="3" numFmtId="13">
    <oc r="B4">
      <v>0.23529411764705882</v>
    </oc>
    <nc r="B4">
      <v>0.29411764705882354</v>
    </nc>
  </rcc>
  <rcc rId="7386" sId="3" numFmtId="13">
    <oc r="B3">
      <v>0.23529411764705882</v>
    </oc>
    <nc r="B3">
      <v>0.29411764705882354</v>
    </nc>
  </rcc>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cc rId="7387" sId="3">
    <oc r="C5" t="inlineStr">
      <is>
        <t>1, 2, 3, 6, 7, 9, 10, 11, 18</t>
      </is>
    </oc>
    <nc r="C5" t="inlineStr">
      <is>
        <t>1, 2, 3, 6, 7, 9, 10, 11</t>
      </is>
    </nc>
  </rcc>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cc rId="7388" sId="3" numFmtId="13">
    <oc r="C4">
      <v>0.25</v>
    </oc>
    <nc r="C4">
      <v>0.33333333333333331</v>
    </nc>
  </rcc>
  <rcc rId="7389" sId="3" numFmtId="13">
    <oc r="C3">
      <v>0.25</v>
    </oc>
    <nc r="C3">
      <v>0.33333333333333331</v>
    </nc>
  </rcc>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N10" start="0" length="0">
    <dxf>
      <fill>
        <patternFill>
          <bgColor rgb="FFFFFFFF"/>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390" sId="3">
    <oc r="D5" t="inlineStr">
      <is>
        <t>1, 4, 7, 16, 19, 22, 25, 2, 5, 8, 17, 20, 23, 26, 3, 6, 9, 21, 27, 10, 13, 28, 31, 34, 37, 14, 29, 32, 35, 38, 12, 15, 30, 33, 36, 40, 41, 42, 43, 44, 45, 46, 47, 48, 49</t>
      </is>
    </oc>
    <nc r="D5" t="inlineStr">
      <is>
        <t>1, 4, 7, 16, 19, 22, 25, 2, 5, 8, 17, 20, 23, 26, 3, 6, 9, 21, 27, 10, 13, 28, 31, 34, 37, 14, 29, 32, 35, 38, 12, 15, 30, 33, 40, 41, 42, 43, 44, 45, 46, 47, 48, 49</t>
      </is>
    </nc>
  </rcc>
  <rcc rId="7391" sId="3" numFmtId="13">
    <oc r="D4">
      <v>8.1632653061224483E-2</v>
    </oc>
    <nc r="D4">
      <v>0.10204081632653061</v>
    </nc>
  </rcc>
  <rcc rId="7392" sId="3" numFmtId="13">
    <oc r="D3">
      <v>8.1632653061224483E-2</v>
    </oc>
    <nc r="D3">
      <v>0.10204081632653061</v>
    </nc>
  </rcc>
  <rfmt sheetId="4" sqref="H21"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J32" start="0" length="0">
    <dxf>
      <fill>
        <patternFill>
          <bgColor rgb="FFCCFFCC"/>
        </patternFill>
      </fill>
    </dxf>
  </rfmt>
  <rcc rId="7393" sId="3">
    <oc r="E5" t="inlineStr">
      <is>
        <t>1, 3, 5, 2, 4, 6, 7, 9, 11, 15, 8, 10, 12, 16, 13, 14, 19, 21, 25, 18, 20, 22, 26, 23, 24, 27, 29, 30, 31, 32, 33, 34, 35, 36, 37, 38, 40, 39, 41, 42, 44, 45, 46, 47, 48, 49, 50, 51, 53</t>
      </is>
    </oc>
    <nc r="E5" t="inlineStr">
      <is>
        <t>1, 3, 5, 2, 4, 6, 7, 9, 11, 15, 8, 10, 12, 16, 13, 14, 19, 21, 25, 18, 20, 22, 26, 23, 24, 27, 29, 30, 31, 32, 33, 34, 35, 36, 37, 38, 40, 39, 41, 42, 44, 45, 46, 47, 48, 49, 50, 53</t>
      </is>
    </nc>
  </rcc>
  <rfmt sheetId="4" sqref="J33" start="0" length="0">
    <dxf>
      <fill>
        <patternFill>
          <bgColor rgb="FFCCFFCC"/>
        </patternFill>
      </fill>
    </dxf>
  </rfmt>
  <rcc rId="7394" sId="3" numFmtId="13">
    <oc r="E4">
      <v>7.5471698113207544E-2</v>
    </oc>
    <nc r="E4">
      <v>9.4339622641509441E-2</v>
    </nc>
  </rcc>
  <rcc rId="7395" sId="3" numFmtId="13">
    <oc r="E3">
      <v>7.5471698113207544E-2</v>
    </oc>
    <nc r="E3">
      <v>9.4339622641509441E-2</v>
    </nc>
  </rcc>
  <rfmt sheetId="4" sqref="P16" start="0" length="0">
    <dxf>
      <fill>
        <patternFill>
          <bgColor rgb="FFFFFFFF"/>
        </patternFill>
      </fill>
    </dxf>
  </rfmt>
  <rfmt sheetId="4" sqref="N17"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P16" start="0" length="0">
    <dxf>
      <fill>
        <patternFill>
          <bgColor rgb="FFCCFFCC"/>
        </patternFill>
      </fill>
    </dxf>
  </rfmt>
  <rfmt sheetId="4" sqref="N17"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P20" start="0" length="0">
    <dxf>
      <fill>
        <patternFill>
          <bgColor rgb="FFCCFFCC"/>
        </patternFill>
      </fill>
    </dxf>
  </rfmt>
  <rcc rId="7396" sId="3">
    <oc r="F5" t="inlineStr">
      <is>
        <t>1, 3, 4, 6, 7, 9, 10, 12, 13, 14</t>
      </is>
    </oc>
    <nc r="F5" t="inlineStr">
      <is>
        <t>1, 3, 4, 6, 7, 9, 10, 12, 14</t>
      </is>
    </nc>
  </rcc>
  <rcc rId="7397" sId="3" numFmtId="13">
    <oc r="F4">
      <v>0.2857142857142857</v>
    </oc>
    <nc r="F4">
      <v>0.35714285714285715</v>
    </nc>
  </rcc>
  <rcc rId="7398" sId="3" numFmtId="13">
    <oc r="F3">
      <v>0.2857142857142857</v>
    </oc>
    <nc r="F3">
      <v>0.35714285714285715</v>
    </nc>
  </rcc>
  <rfmt sheetId="4" sqref="Q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N36" start="0" length="0">
    <dxf>
      <fill>
        <patternFill>
          <bgColor rgb="FFFFFFFF"/>
        </patternFill>
      </fill>
    </dxf>
  </rfmt>
  <rfmt sheetId="4" sqref="P36"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cc rId="7399" sId="3">
    <oc r="G5" t="inlineStr">
      <is>
        <t>5, 7, 6, 8, 1, 3, 2, 10, 11, 12, 27, 28, 25, 26, 37, 29, 30, 19, 18, 20, 13, 15, 14, 16, 21, 22, 23, 24, 33, 34, 31, 35, 36</t>
      </is>
    </oc>
    <nc r="G5" t="inlineStr">
      <is>
        <t>5, 7, 6, 8, 1, 2, 10, 11, 12, 27, 28, 25, 26, 37, 29, 30, 19, 18, 20, 13, 15, 14, 16, 21, 22, 23, 24, 33, 34, 31, 35, 36</t>
      </is>
    </nc>
  </rcc>
  <rcc rId="7400" sId="3" numFmtId="13">
    <oc r="G4">
      <v>0.10810810810810811</v>
    </oc>
    <nc r="G4">
      <v>0.13513513513513514</v>
    </nc>
  </rcc>
  <rcc rId="7401" sId="3" numFmtId="13">
    <oc r="G3">
      <v>0.10810810810810811</v>
    </oc>
    <nc r="G3">
      <v>0.13513513513513514</v>
    </nc>
  </rcc>
  <rcc rId="7402" sId="3">
    <oc r="H5" t="inlineStr">
      <is>
        <t>5, 7, 6, 8, 1, 3, 2, 10, 11, 12, 27, 28, 25, 26, 37, 29, 30, 19, 18, 20, 13, 15, 14, 16, 21, 22, 23, 24, 33, 34, 31, 35, 36</t>
      </is>
    </oc>
    <nc r="H5" t="inlineStr">
      <is>
        <t>5, 7, 6, 8, 1, 2, 10, 11, 12, 27, 28, 25, 26, 37, 29, 30, 19, 18, 20, 13, 15, 14, 16, 21, 22, 23, 24, 33, 34, 31, 35, 36</t>
      </is>
    </nc>
  </rcc>
  <rcc rId="7403" sId="3" numFmtId="13">
    <oc r="H4">
      <v>0.10810810810810811</v>
    </oc>
    <nc r="H4">
      <v>0.13513513513513514</v>
    </nc>
  </rcc>
  <rcc rId="7404" sId="3" numFmtId="13">
    <oc r="H3">
      <v>0.10810810810810811</v>
    </oc>
    <nc r="H3">
      <v>0.13513513513513514</v>
    </nc>
  </rcc>
  <rcc rId="7405" sId="3">
    <oc r="I5" t="inlineStr">
      <is>
        <t>5, 7, 6, 8, 1, 3, 2, 10, 11, 12, 27, 28, 25, 26, 37, 29, 30, 19, 18, 20, 13, 15, 14, 16, 21, 22, 23, 24, 33, 34, 31, 35, 36</t>
      </is>
    </oc>
    <nc r="I5" t="inlineStr">
      <is>
        <t>5, 7, 6, 8, 1, 2, 10, 11, 12, 27, 28, 25, 26, 37, 29, 30, 19, 18, 20, 13, 15, 14, 16, 21, 22, 23, 24, 33, 34, 31, 35, 36</t>
      </is>
    </nc>
  </rcc>
  <rcc rId="7406" sId="3" numFmtId="13">
    <oc r="I4">
      <v>0.10810810810810811</v>
    </oc>
    <nc r="I4">
      <v>0.13513513513513514</v>
    </nc>
  </rcc>
  <rcc rId="7407" sId="3" numFmtId="13">
    <oc r="I3">
      <v>0.10810810810810811</v>
    </oc>
    <nc r="I3">
      <v>0.13513513513513514</v>
    </nc>
  </rcc>
  <rcc rId="7408" sId="3">
    <oc r="J5" t="inlineStr">
      <is>
        <t>5, 7, 6, 8, 1, 3, 2, 10, 11, 12, 27, 28, 25, 26, 37, 29, 30, 19, 18, 20, 13, 15, 14, 16, 21, 22, 23, 24, 33, 34, 31, 35, 36</t>
      </is>
    </oc>
    <nc r="J5" t="inlineStr">
      <is>
        <t>5, 7, 6, 8, 1, 2, 10, 11, 12, 27, 28, 25, 26, 37, 29, 30, 19, 18, 20, 13, 15, 14, 16, 21, 22, 23, 24, 33, 34, 31, 35, 36</t>
      </is>
    </nc>
  </rcc>
  <rcc rId="7409" sId="3" numFmtId="13">
    <oc r="J4">
      <v>0.10810810810810811</v>
    </oc>
    <nc r="J4">
      <v>0.13513513513513514</v>
    </nc>
  </rcc>
  <rcc rId="7410" sId="3" numFmtId="13">
    <oc r="J3">
      <v>0.10810810810810811</v>
    </oc>
    <nc r="J3">
      <v>0.13513513513513514</v>
    </nc>
  </rcc>
  <rcc rId="7411" sId="3">
    <oc r="K5" t="inlineStr">
      <is>
        <t>5, 7, 6, 1, 3, 2, 4, 9, 11, 12, 27, 28, 25, 26, 37, 29, 30, 17, 19, 20, 13, 15, 14, 16, 21, 22, 23, 24, 33, 31, 32, 35, 36</t>
      </is>
    </oc>
    <nc r="K5" t="inlineStr">
      <is>
        <t>5, 6, 1, 3, 2, 4, 9, 11, 12, 27, 28, 25, 26, 37, 29, 30, 17, 19, 20, 13, 15, 14, 16, 21, 22, 23, 24, 33, 31, 32, 35, 36</t>
      </is>
    </nc>
  </rcc>
  <rcc rId="7412" sId="3" numFmtId="13">
    <oc r="K4">
      <v>0.10810810810810811</v>
    </oc>
    <nc r="K4">
      <v>0.13513513513513514</v>
    </nc>
  </rcc>
  <rcc rId="7413" sId="3" numFmtId="13">
    <oc r="K3">
      <v>0.10810810810810811</v>
    </oc>
    <nc r="K3">
      <v>0.13513513513513514</v>
    </nc>
  </rcc>
  <rcc rId="7414" sId="3">
    <oc r="L5" t="inlineStr">
      <is>
        <t>5, 7, 6, 1, 3, 2, 4, 9, 11, 12, 27, 28, 25, 26, 37, 29, 30, 17, 19, 20, 13, 15, 14, 16, 21, 22, 23, 24, 33, 31, 32, 35, 36</t>
      </is>
    </oc>
    <nc r="L5" t="inlineStr">
      <is>
        <t>5, 6, 1, 3, 2, 4, 9, 11, 12, 27, 28, 25, 26, 37, 29, 30, 17, 19, 20, 13, 15, 14, 16, 21, 22, 23, 24, 33, 31, 32, 35, 36</t>
      </is>
    </nc>
  </rcc>
  <rcc rId="7415" sId="3" numFmtId="13">
    <oc r="L4">
      <v>0.10810810810810811</v>
    </oc>
    <nc r="L4">
      <v>0.13513513513513514</v>
    </nc>
  </rcc>
  <rcc rId="7416" sId="3" numFmtId="13">
    <oc r="L3">
      <v>0.10810810810810811</v>
    </oc>
    <nc r="L3">
      <v>0.13513513513513514</v>
    </nc>
  </rcc>
  <rcc rId="7417" sId="3">
    <oc r="M5" t="inlineStr">
      <is>
        <t>5, 7, 6, 1, 3, 2, 4, 9, 11, 12, 27, 28, 25, 26, 37, 29, 30, 17, 19, 20, 13, 15, 14, 16, 21, 22, 23, 24, 33, 31, 32, 35, 36</t>
      </is>
    </oc>
    <nc r="M5" t="inlineStr">
      <is>
        <t>5, 6, 1, 3, 2, 4, 9, 11, 12, 27, 28, 25, 26, 37, 29, 30, 17, 19, 20, 13, 15, 14, 16, 21, 22, 23, 24, 33, 31, 32, 35, 36</t>
      </is>
    </nc>
  </rcc>
  <rcc rId="7418" sId="3" numFmtId="13">
    <oc r="M4">
      <v>0.10810810810810811</v>
    </oc>
    <nc r="M4">
      <v>0.13513513513513514</v>
    </nc>
  </rcc>
  <rcc rId="7419" sId="3" numFmtId="13">
    <oc r="M3">
      <v>0.10810810810810811</v>
    </oc>
    <nc r="M3">
      <v>0.13513513513513514</v>
    </nc>
  </rcc>
  <rcc rId="7420" sId="3">
    <oc r="N5" t="inlineStr">
      <is>
        <t>5, 7, 6, 1, 3, 2, 4, 9, 11, 12, 27, 28, 25, 26, 37, 29, 30, 17, 19, 20, 13, 15, 14, 16, 21, 22, 23, 24, 33, 31, 32, 35, 36</t>
      </is>
    </oc>
    <nc r="N5" t="inlineStr">
      <is>
        <t>5, 6, 1, 3, 2, 4, 9, 11, 12, 27, 28, 25, 26, 37, 29, 30, 17, 19, 20, 13, 15, 14, 16, 21, 22, 23, 24, 33, 31, 32, 35, 36</t>
      </is>
    </nc>
  </rcc>
  <rcc rId="7421" sId="3" numFmtId="13">
    <oc r="N4">
      <v>0.10810810810810811</v>
    </oc>
    <nc r="N4">
      <v>0.13513513513513514</v>
    </nc>
  </rcc>
  <rcc rId="7422" sId="3" numFmtId="13">
    <oc r="N3">
      <v>0.10810810810810811</v>
    </oc>
    <nc r="N3">
      <v>0.13513513513513514</v>
    </nc>
  </rcc>
  <rfmt sheetId="4" sqref="S6" start="0" length="0">
    <dxf>
      <fill>
        <patternFill>
          <bgColor rgb="FFFFFFFF"/>
        </patternFill>
      </fill>
    </dxf>
  </rfmt>
  <rfmt sheetId="4" sqref="T6"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S6" start="0" length="0">
    <dxf>
      <fill>
        <patternFill>
          <bgColor rgb="FFCCFFCC"/>
        </patternFill>
      </fill>
    </dxf>
  </rfmt>
  <rfmt sheetId="4" sqref="T6" start="0" length="0">
    <dxf>
      <fill>
        <patternFill>
          <bgColor rgb="FFCCFFCC"/>
        </patternFill>
      </fill>
    </dxf>
  </rfmt>
  <rcc rId="7423" sId="3">
    <oc r="O5" t="inlineStr">
      <is>
        <t>1, 2, 3, 8</t>
      </is>
    </oc>
    <nc r="O5" t="inlineStr">
      <is>
        <t>1, 2, 3</t>
      </is>
    </nc>
  </rcc>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cc rId="7424" sId="3" numFmtId="13">
    <oc r="O4">
      <v>0.5</v>
    </oc>
    <nc r="O4">
      <v>0.625</v>
    </nc>
  </rcc>
  <rcc rId="7425" sId="3" numFmtId="13">
    <oc r="O3">
      <v>0.5</v>
    </oc>
    <nc r="O3">
      <v>0.625</v>
    </nc>
  </rcc>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cc rId="7426" sId="3">
    <oc r="P5" t="inlineStr">
      <is>
        <t>1, 5, 3, 2</t>
      </is>
    </oc>
    <nc r="P5" t="inlineStr">
      <is>
        <t>1, 3, 2</t>
      </is>
    </nc>
  </rcc>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cc rId="7427" sId="3" numFmtId="13">
    <oc r="P4">
      <v>0.42857142857142855</v>
    </oc>
    <nc r="P4">
      <v>0.5714285714285714</v>
    </nc>
  </rcc>
  <rcc rId="7428" sId="3" numFmtId="13">
    <oc r="P3">
      <v>0.42857142857142855</v>
    </oc>
    <nc r="P3">
      <v>0.5714285714285714</v>
    </nc>
  </rcc>
  <rfmt sheetId="4" sqref="V19" start="0" length="0">
    <dxf>
      <fill>
        <patternFill>
          <bgColor rgb="FFFFFFFF"/>
        </patternFill>
      </fill>
    </dxf>
  </rfmt>
  <rfmt sheetId="4" sqref="V20" start="0" length="0">
    <dxf>
      <fill>
        <patternFill>
          <bgColor rgb="FFFFFFFF"/>
        </patternFill>
      </fill>
    </dxf>
  </rfmt>
  <rfmt sheetId="4" sqref="V19" start="0" length="0">
    <dxf>
      <fill>
        <patternFill>
          <bgColor rgb="FFCCFFCC"/>
        </patternFill>
      </fill>
    </dxf>
  </rfmt>
  <rfmt sheetId="4" sqref="V20" start="0" length="0">
    <dxf>
      <fill>
        <patternFill>
          <bgColor rgb="FFCCFFCC"/>
        </patternFill>
      </fill>
    </dxf>
  </rfmt>
  <rfmt sheetId="4" sqref="N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5" start="0" length="0">
    <dxf>
      <fill>
        <patternFill>
          <bgColor rgb="FFFFFFFF"/>
        </patternFill>
      </fill>
    </dxf>
  </rfmt>
  <rfmt sheetId="4" sqref="V15" start="0" length="0">
    <dxf>
      <fill>
        <patternFill>
          <bgColor rgb="FFCCFFCC"/>
        </patternFill>
      </fill>
    </dxf>
  </rfmt>
  <rfmt sheetId="4" sqref="H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J39" start="0" length="0">
    <dxf>
      <fill>
        <patternFill>
          <bgColor rgb="FFCCFFCC"/>
        </patternFill>
      </fill>
    </dxf>
  </rfmt>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12" start="0" length="0">
    <dxf>
      <font>
        <color rgb="FF000000"/>
        <name val="Calibri"/>
        <scheme val="minor"/>
      </font>
      <border outline="0">
        <top style="thin">
          <color indexed="64"/>
        </top>
      </border>
    </dxf>
  </rfmt>
  <rfmt sheetId="3" sqref="B12" start="0" length="0">
    <dxf>
      <font>
        <sz val="9"/>
        <color indexed="8"/>
        <name val="Calibri"/>
        <scheme val="minor"/>
      </font>
      <fill>
        <patternFill>
          <bgColor rgb="FFCCFFCC"/>
        </patternFill>
      </fill>
    </dxf>
  </rfmt>
  <rcc rId="7429" sId="3" odxf="1" dxf="1">
    <nc r="C12">
      <v>18</v>
    </nc>
    <odxf>
      <font>
        <sz val="9"/>
        <color indexed="8"/>
        <name val="Calibri"/>
        <scheme val="none"/>
      </font>
      <fill>
        <patternFill>
          <bgColor theme="0"/>
        </patternFill>
      </fill>
    </odxf>
    <ndxf>
      <font>
        <sz val="9"/>
        <color indexed="8"/>
        <name val="Calibri"/>
        <scheme val="minor"/>
      </font>
      <fill>
        <patternFill>
          <bgColor rgb="FFCCFFCC"/>
        </patternFill>
      </fill>
    </ndxf>
  </rcc>
  <rfmt sheetId="3" s="1" sqref="D12" start="0" length="0">
    <dxf>
      <font>
        <sz val="10"/>
        <color indexed="8"/>
        <name val="Calibri"/>
        <scheme val="minor"/>
      </font>
      <fill>
        <patternFill>
          <fgColor indexed="64"/>
          <bgColor rgb="FFCCFFCC"/>
        </patternFill>
      </fill>
    </dxf>
  </rfmt>
  <rfmt sheetId="3" sqref="E12" start="0" length="0">
    <dxf>
      <font>
        <sz val="9"/>
        <color indexed="8"/>
        <name val="Calibri"/>
        <scheme val="minor"/>
      </font>
      <fill>
        <patternFill>
          <bgColor rgb="FFCCFFCC"/>
        </patternFill>
      </fill>
    </dxf>
  </rfmt>
  <rfmt sheetId="3" s="1" sqref="F12" start="0" length="0">
    <dxf>
      <font>
        <sz val="10"/>
        <color indexed="8"/>
        <name val="Calibri"/>
        <scheme val="minor"/>
      </font>
      <fill>
        <patternFill>
          <bgColor rgb="FFCCFFCC"/>
        </patternFill>
      </fill>
      <alignment wrapText="1" readingOrder="0"/>
    </dxf>
  </rfmt>
  <rfmt sheetId="3" sqref="G12" start="0" length="0">
    <dxf>
      <fill>
        <patternFill>
          <bgColor rgb="FFCCFFCC"/>
        </patternFill>
      </fill>
    </dxf>
  </rfmt>
  <rfmt sheetId="3" sqref="H12" start="0" length="0">
    <dxf>
      <fill>
        <patternFill>
          <bgColor rgb="FFCCFFCC"/>
        </patternFill>
      </fill>
    </dxf>
  </rfmt>
  <rfmt sheetId="3" sqref="I12" start="0" length="0">
    <dxf>
      <fill>
        <patternFill>
          <bgColor rgb="FFCCFFCC"/>
        </patternFill>
      </fill>
    </dxf>
  </rfmt>
  <rfmt sheetId="3" sqref="J12" start="0" length="0">
    <dxf>
      <fill>
        <patternFill>
          <bgColor rgb="FFCCFFCC"/>
        </patternFill>
      </fill>
    </dxf>
  </rfmt>
  <rfmt sheetId="3" sqref="K12" start="0" length="0">
    <dxf>
      <fill>
        <patternFill>
          <bgColor rgb="FFCCFFCC"/>
        </patternFill>
      </fill>
    </dxf>
  </rfmt>
  <rfmt sheetId="3" sqref="L12" start="0" length="0">
    <dxf>
      <fill>
        <patternFill>
          <bgColor rgb="FFCCFFCC"/>
        </patternFill>
      </fill>
    </dxf>
  </rfmt>
  <rfmt sheetId="3" sqref="M12" start="0" length="0">
    <dxf>
      <fill>
        <patternFill>
          <bgColor rgb="FFCCFFCC"/>
        </patternFill>
      </fill>
    </dxf>
  </rfmt>
  <rfmt sheetId="3" sqref="N12" start="0" length="0">
    <dxf>
      <fill>
        <patternFill>
          <bgColor rgb="FFCCFFCC"/>
        </patternFill>
      </fill>
    </dxf>
  </rfmt>
  <rfmt sheetId="3" sqref="O12" start="0" length="0">
    <dxf>
      <font>
        <sz val="9"/>
        <color indexed="8"/>
        <name val="Calibri"/>
        <scheme val="minor"/>
      </font>
      <fill>
        <patternFill>
          <bgColor rgb="FFCCFFCC"/>
        </patternFill>
      </fill>
    </dxf>
  </rfmt>
  <rcc rId="7430" sId="3" odxf="1" dxf="1">
    <nc r="P12">
      <v>5</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Q12" start="0" length="0">
    <dxf>
      <font>
        <sz val="9"/>
        <color indexed="8"/>
        <name val="Calibri"/>
        <scheme val="minor"/>
      </font>
      <fill>
        <patternFill>
          <bgColor rgb="FFCCFFCC"/>
        </patternFill>
      </fill>
    </dxf>
  </rfmt>
  <rfmt sheetId="3" sqref="R12" start="0" length="0">
    <dxf>
      <font>
        <sz val="9"/>
        <color indexed="8"/>
        <name val="Calibri"/>
        <scheme val="minor"/>
      </font>
      <fill>
        <patternFill>
          <bgColor rgb="FFCCFFCC"/>
        </patternFill>
      </fill>
    </dxf>
  </rfmt>
  <rcc rId="7431" sId="3" odxf="1" dxf="1">
    <nc r="S12">
      <v>1</v>
    </nc>
    <odxf>
      <font>
        <sz val="9"/>
        <color indexed="8"/>
        <name val="Calibri"/>
        <scheme val="none"/>
      </font>
      <fill>
        <patternFill>
          <bgColor theme="0"/>
        </patternFill>
      </fill>
    </odxf>
    <ndxf>
      <font>
        <sz val="9"/>
        <color indexed="8"/>
        <name val="Calibri"/>
        <scheme val="minor"/>
      </font>
      <fill>
        <patternFill>
          <bgColor rgb="FFCCFFCC"/>
        </patternFill>
      </fill>
    </ndxf>
  </rcc>
  <rcc rId="7432" sId="3" odxf="1" dxf="1">
    <nc r="T12">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12"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7433" sId="3" odxf="1" dxf="1">
    <nc r="V12"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434" sId="3" odxf="1" s="1" dxf="1">
    <nc r="W12" t="inlineStr">
      <is>
        <t>Pass</t>
      </is>
    </nc>
    <odxf>
      <font>
        <b val="0"/>
        <i val="0"/>
        <strike val="0"/>
        <condense val="0"/>
        <extend val="0"/>
        <outline val="0"/>
        <shadow val="0"/>
        <u val="none"/>
        <vertAlign val="baseline"/>
        <sz val="9"/>
        <color rgb="FF000000"/>
        <name val="Calibri"/>
        <scheme val="minor"/>
      </font>
      <numFmt numFmtId="0" formatCode="General"/>
      <fill>
        <patternFill patternType="solid">
          <fgColor rgb="FF000000"/>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fgColor indexed="64"/>
          <bgColor rgb="FFCCFFCC"/>
        </patternFill>
      </fill>
    </ndxf>
  </rcc>
  <rfmt sheetId="3" s="1" sqref="X12" start="0" length="0">
    <dxf>
      <font>
        <sz val="10"/>
        <color auto="1"/>
        <name val="Arial"/>
        <scheme val="none"/>
      </font>
      <fill>
        <patternFill patternType="none">
          <bgColor indexed="65"/>
        </patternFill>
      </fill>
      <alignment horizontal="general" vertical="top" readingOrder="0"/>
      <border outline="0">
        <right style="thin">
          <color indexed="64"/>
        </right>
      </border>
    </dxf>
  </rfmt>
  <rfmt sheetId="3" s="1" sqref="Y12" start="0" length="0">
    <dxf>
      <font>
        <sz val="11"/>
        <color theme="1"/>
        <name val="Calibri"/>
        <scheme val="minor"/>
      </font>
    </dxf>
  </rfmt>
  <rfmt sheetId="3" s="1" sqref="Z12" start="0" length="0">
    <dxf>
      <font>
        <sz val="11"/>
        <color theme="1"/>
        <name val="Calibri"/>
        <scheme val="minor"/>
      </font>
    </dxf>
  </rfmt>
  <rfmt sheetId="3" s="1" sqref="AA12" start="0" length="0">
    <dxf>
      <font>
        <sz val="11"/>
        <color theme="1"/>
        <name val="Calibri"/>
        <scheme val="minor"/>
      </font>
    </dxf>
  </rfmt>
  <rfmt sheetId="3" s="1" sqref="A12:XFD12" start="0" length="0">
    <dxf>
      <font>
        <sz val="11"/>
        <color theme="1"/>
        <name val="Calibri"/>
        <scheme val="minor"/>
      </font>
    </dxf>
  </rfmt>
  <rcc rId="7435" sId="3" numFmtId="19">
    <nc r="A12">
      <v>41697</v>
    </nc>
  </rcc>
  <rcc rId="7436" sId="3">
    <nc r="B12">
      <v>14</v>
    </nc>
  </rcc>
  <rcc rId="7437" sId="3">
    <nc r="D12">
      <v>35</v>
    </nc>
  </rcc>
  <rcc rId="7438" sId="3">
    <nc r="E12">
      <v>18</v>
    </nc>
  </rcc>
  <rcc rId="7439" sId="3">
    <nc r="F12">
      <v>14</v>
    </nc>
  </rcc>
  <rcc rId="7440" sId="3">
    <nc r="G12">
      <v>26</v>
    </nc>
  </rcc>
  <rcc rId="7441" sId="3">
    <nc r="H12">
      <v>26</v>
    </nc>
  </rcc>
  <rcc rId="7442" sId="3">
    <nc r="I12">
      <v>26</v>
    </nc>
  </rcc>
  <rcc rId="7443" sId="3">
    <nc r="J12">
      <v>26</v>
    </nc>
  </rcc>
  <rcc rId="7444" sId="3">
    <nc r="K12">
      <v>28</v>
    </nc>
  </rcc>
  <rcc rId="7445" sId="3">
    <nc r="L12">
      <v>28</v>
    </nc>
  </rcc>
  <rcc rId="7446" sId="3">
    <nc r="M12">
      <v>28</v>
    </nc>
  </rcc>
  <rcc rId="7447" sId="3">
    <nc r="N12">
      <v>28</v>
    </nc>
  </rcc>
  <rcc rId="7448" sId="3">
    <nc r="O12">
      <v>6</v>
    </nc>
  </rcc>
  <rcc rId="7449" sId="3">
    <nc r="Q12">
      <v>3</v>
    </nc>
  </rcc>
  <rcc rId="7450" sId="3">
    <nc r="R12">
      <v>5</v>
    </nc>
  </rcc>
  <rcc rId="7451" sId="3">
    <nc r="U12">
      <v>5</v>
    </nc>
  </rcc>
  <rcc rId="7452" sId="3">
    <nc r="X12" t="inlineStr">
      <is>
        <t>All units have valid video and audio output.
AUD2 warnings on several units, known issue CSCuh25081.</t>
      </is>
    </nc>
  </rcc>
  <rcc rId="7453" sId="4" numFmtId="19">
    <oc r="I2">
      <v>41696</v>
    </oc>
    <nc r="I2">
      <v>41697</v>
    </nc>
  </rcc>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M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454" sId="3">
    <oc r="D5" t="inlineStr">
      <is>
        <t>1, 4, 7, 16, 19, 22, 25, 2, 5, 8, 17, 20, 23, 26, 3, 6, 9, 21, 27, 10, 13, 28, 31, 34, 37, 14, 29, 32, 35, 38, 12, 15, 30, 33, 40, 41, 42, 43, 44, 45, 46, 47, 48, 49</t>
      </is>
    </oc>
    <nc r="D5" t="inlineStr">
      <is>
        <t>1, 4, 7, 16, 19, 22, 25, 2, 5, 8, 17, 20, 23, 26, 3, 6, 9, 21, 27, 10, 13, 28, 31, 34, 37, 14, 29, 32, 38, 12, 15, 30, 33, 40, 41, 42, 43, 44, 45, 46, 47, 48, 49</t>
      </is>
    </nc>
  </rcc>
  <rcc rId="7455" sId="3" numFmtId="13">
    <oc r="D4">
      <v>0.10204081632653061</v>
    </oc>
    <nc r="D4">
      <v>0.12244897959183673</v>
    </nc>
  </rcc>
  <rcc rId="7456" sId="3" numFmtId="13">
    <oc r="D3">
      <v>0.10204081632653061</v>
    </oc>
    <nc r="D3">
      <v>0.12244897959183673</v>
    </nc>
  </rcc>
  <rfmt sheetId="4" sqref="H21"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H22"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J32" start="0" length="0">
    <dxf>
      <fill>
        <patternFill>
          <bgColor rgb="FFCCFFCC"/>
        </patternFill>
      </fill>
    </dxf>
  </rfmt>
  <rcc rId="7457" sId="3">
    <oc r="E5" t="inlineStr">
      <is>
        <t>1, 3, 5, 2, 4, 6, 7, 9, 11, 15, 8, 10, 12, 16, 13, 14, 19, 21, 25, 18, 20, 22, 26, 23, 24, 27, 29, 30, 31, 32, 33, 34, 35, 36, 37, 38, 40, 39, 41, 42, 44, 45, 46, 47, 48, 49, 50, 53</t>
      </is>
    </oc>
    <nc r="E5" t="inlineStr">
      <is>
        <t>1, 3, 5, 2, 4, 6, 7, 9, 11, 15, 8, 10, 12, 16, 13, 14, 19, 21, 25, 20, 22, 26, 23, 24, 27, 29, 30, 31, 32, 33, 34, 35, 36, 37, 38, 40, 39, 41, 42, 44, 45, 46, 47, 48, 49, 50, 53</t>
      </is>
    </nc>
  </rcc>
  <rfmt sheetId="4" sqref="J33" start="0" length="0">
    <dxf>
      <fill>
        <patternFill>
          <bgColor rgb="FFCCFFCC"/>
        </patternFill>
      </fill>
    </dxf>
  </rfmt>
  <rcc rId="7458" sId="3" numFmtId="13">
    <oc r="E4">
      <v>9.4339622641509441E-2</v>
    </oc>
    <nc r="E4">
      <v>0.11320754716981132</v>
    </nc>
  </rcc>
  <rcc rId="7459" sId="3" numFmtId="13">
    <oc r="E3">
      <v>9.4339622641509441E-2</v>
    </oc>
    <nc r="E3">
      <v>0.11320754716981132</v>
    </nc>
  </rcc>
  <rfmt sheetId="4" sqref="P16" start="0" length="0">
    <dxf>
      <fill>
        <patternFill>
          <bgColor rgb="FFFFFFFF"/>
        </patternFill>
      </fill>
    </dxf>
  </rfmt>
  <rfmt sheetId="4" sqref="N17"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P20" start="0" length="0">
    <dxf>
      <fill>
        <patternFill>
          <bgColor rgb="FFFFFFFF"/>
        </patternFill>
      </fill>
    </dxf>
  </rfmt>
  <rfmt sheetId="4" sqref="P16" start="0" length="0">
    <dxf>
      <fill>
        <patternFill>
          <bgColor rgb="FFCCFFCC"/>
        </patternFill>
      </fill>
    </dxf>
  </rfmt>
  <rfmt sheetId="4" sqref="N17"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cc rId="7460" sId="3">
    <oc r="F5" t="inlineStr">
      <is>
        <t>1, 3, 4, 6, 7, 9, 10, 12, 14</t>
      </is>
    </oc>
    <nc r="F5" t="inlineStr">
      <is>
        <t>1, 3, 4, 6, 7, 9, 10, 12</t>
      </is>
    </nc>
  </rcc>
  <rfmt sheetId="4" sqref="P20" start="0" length="0">
    <dxf>
      <fill>
        <patternFill>
          <bgColor rgb="FFCCFFCC"/>
        </patternFill>
      </fill>
    </dxf>
  </rfmt>
  <rfmt sheetId="4" sqref="P21" start="0" length="0">
    <dxf>
      <fill>
        <patternFill>
          <bgColor rgb="FFCCFFCC"/>
        </patternFill>
      </fill>
    </dxf>
  </rfmt>
  <rcc rId="7461" sId="3" numFmtId="13">
    <oc r="F4">
      <v>0.35714285714285715</v>
    </oc>
    <nc r="F4">
      <v>0.42857142857142855</v>
    </nc>
  </rcc>
  <rcc rId="7462" sId="3" numFmtId="13">
    <oc r="F3">
      <v>0.35714285714285715</v>
    </oc>
    <nc r="F3">
      <v>0.42857142857142855</v>
    </nc>
  </rcc>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N36" start="0" length="0">
    <dxf>
      <fill>
        <patternFill>
          <bgColor rgb="FFFFFFFF"/>
        </patternFill>
      </fill>
    </dxf>
  </rfmt>
  <rfmt sheetId="4" sqref="P36"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cc rId="7463" sId="3">
    <oc r="G5" t="inlineStr">
      <is>
        <t>5, 7, 6, 8, 1, 2, 10, 11, 12, 27, 28, 25, 26, 37, 29, 30, 19, 18, 20, 13, 15, 14, 16, 21, 22, 23, 24, 33, 34, 31, 35, 36</t>
      </is>
    </oc>
    <nc r="G5" t="inlineStr">
      <is>
        <t>5, 7, 6, 8, 1, 2, 10, 11, 12, 27, 28, 25, 37, 29, 30, 19, 18, 20, 13, 15, 14, 16, 21, 22, 23, 24, 33, 34, 31, 35, 36</t>
      </is>
    </nc>
  </rcc>
  <rcc rId="7464" sId="3" numFmtId="13">
    <oc r="G4">
      <v>0.13513513513513514</v>
    </oc>
    <nc r="G4">
      <v>0.16216216216216217</v>
    </nc>
  </rcc>
  <rcc rId="7465" sId="3" numFmtId="13">
    <oc r="G3">
      <v>0.13513513513513514</v>
    </oc>
    <nc r="G3">
      <v>0.16216216216216217</v>
    </nc>
  </rcc>
  <rcc rId="7466" sId="3">
    <oc r="H5" t="inlineStr">
      <is>
        <t>5, 7, 6, 8, 1, 2, 10, 11, 12, 27, 28, 25, 26, 37, 29, 30, 19, 18, 20, 13, 15, 14, 16, 21, 22, 23, 24, 33, 34, 31, 35, 36</t>
      </is>
    </oc>
    <nc r="H5" t="inlineStr">
      <is>
        <t>5, 7, 6, 8, 1, 2, 10, 11, 12, 27, 28, 25, 37, 29, 30, 19, 18, 20, 13, 15, 14, 16, 21, 22, 23, 24, 33, 34, 31, 35, 36</t>
      </is>
    </nc>
  </rcc>
  <rcc rId="7467" sId="3" numFmtId="13">
    <oc r="H4">
      <v>0.13513513513513514</v>
    </oc>
    <nc r="H4">
      <v>0.16216216216216217</v>
    </nc>
  </rcc>
  <rcc rId="7468" sId="3" numFmtId="13">
    <oc r="H3">
      <v>0.13513513513513514</v>
    </oc>
    <nc r="H3">
      <v>0.16216216216216217</v>
    </nc>
  </rcc>
  <rcc rId="7469" sId="3">
    <oc r="I5" t="inlineStr">
      <is>
        <t>5, 7, 6, 8, 1, 2, 10, 11, 12, 27, 28, 25, 26, 37, 29, 30, 19, 18, 20, 13, 15, 14, 16, 21, 22, 23, 24, 33, 34, 31, 35, 36</t>
      </is>
    </oc>
    <nc r="I5" t="inlineStr">
      <is>
        <t>5, 7, 6, 8, 1, 2, 10, 11, 12, 27, 28, 25, 37, 29, 30, 19, 18, 20, 13, 15, 14, 16, 21, 22, 23, 24, 33, 34, 31, 35, 36</t>
      </is>
    </nc>
  </rcc>
  <rcc rId="7470" sId="3" numFmtId="13">
    <oc r="I4">
      <v>0.13513513513513514</v>
    </oc>
    <nc r="I4">
      <v>0.16216216216216217</v>
    </nc>
  </rcc>
  <rcc rId="7471" sId="3" numFmtId="13">
    <oc r="I3">
      <v>0.13513513513513514</v>
    </oc>
    <nc r="I3">
      <v>0.16216216216216217</v>
    </nc>
  </rcc>
  <rcc rId="7472" sId="3">
    <oc r="J5" t="inlineStr">
      <is>
        <t>5, 7, 6, 8, 1, 2, 10, 11, 12, 27, 28, 25, 26, 37, 29, 30, 19, 18, 20, 13, 15, 14, 16, 21, 22, 23, 24, 33, 34, 31, 35, 36</t>
      </is>
    </oc>
    <nc r="J5" t="inlineStr">
      <is>
        <t>5, 7, 6, 8, 1, 2, 10, 11, 12, 27, 28, 25, 37, 29, 30, 19, 18, 20, 13, 15, 14, 16, 21, 22, 23, 24, 33, 34, 31, 35, 36</t>
      </is>
    </nc>
  </rcc>
  <rcc rId="7473" sId="3" numFmtId="13">
    <oc r="J4">
      <v>0.13513513513513514</v>
    </oc>
    <nc r="J4">
      <v>0.16216216216216217</v>
    </nc>
  </rcc>
  <rcc rId="7474" sId="3" numFmtId="13">
    <oc r="J3">
      <v>0.13513513513513514</v>
    </oc>
    <nc r="J3">
      <v>0.16216216216216217</v>
    </nc>
  </rcc>
  <rcc rId="7475" sId="3">
    <oc r="K5" t="inlineStr">
      <is>
        <t>5, 6, 1, 3, 2, 4, 9, 11, 12, 27, 28, 25, 26, 37, 29, 30, 17, 19, 20, 13, 15, 14, 16, 21, 22, 23, 24, 33, 31, 32, 35, 36</t>
      </is>
    </oc>
    <nc r="K5" t="inlineStr">
      <is>
        <t>5, 6, 1, 3, 2, 4, 9, 11, 12, 27, 25, 26, 37, 29, 30, 17, 19, 20, 13, 15, 14, 16, 21, 22, 23, 24, 33, 31, 32, 35, 36</t>
      </is>
    </nc>
  </rcc>
  <rcc rId="7476" sId="3" numFmtId="13">
    <oc r="K4">
      <v>0.13513513513513514</v>
    </oc>
    <nc r="K4">
      <v>0.16216216216216217</v>
    </nc>
  </rcc>
  <rcc rId="7477" sId="3" numFmtId="13">
    <oc r="K3">
      <v>0.13513513513513514</v>
    </oc>
    <nc r="K3">
      <v>0.16216216216216217</v>
    </nc>
  </rcc>
  <rcc rId="7478" sId="3">
    <oc r="L5" t="inlineStr">
      <is>
        <t>5, 6, 1, 3, 2, 4, 9, 11, 12, 27, 28, 25, 26, 37, 29, 30, 17, 19, 20, 13, 15, 14, 16, 21, 22, 23, 24, 33, 31, 32, 35, 36</t>
      </is>
    </oc>
    <nc r="L5" t="inlineStr">
      <is>
        <t>5, 6, 1, 3, 2, 4, 9, 11, 12, 27, 25, 26, 37, 29, 30, 17, 19, 20, 13, 15, 14, 16, 21, 22, 23, 24, 33, 31, 32, 35, 36</t>
      </is>
    </nc>
  </rcc>
  <rcc rId="7479" sId="3" numFmtId="13">
    <oc r="L4">
      <v>0.13513513513513514</v>
    </oc>
    <nc r="L4">
      <v>0.16216216216216217</v>
    </nc>
  </rcc>
  <rcc rId="7480" sId="3" numFmtId="13">
    <oc r="L3">
      <v>0.13513513513513514</v>
    </oc>
    <nc r="L3">
      <v>0.16216216216216217</v>
    </nc>
  </rcc>
  <rcc rId="7481" sId="3">
    <oc r="M5" t="inlineStr">
      <is>
        <t>5, 6, 1, 3, 2, 4, 9, 11, 12, 27, 28, 25, 26, 37, 29, 30, 17, 19, 20, 13, 15, 14, 16, 21, 22, 23, 24, 33, 31, 32, 35, 36</t>
      </is>
    </oc>
    <nc r="M5" t="inlineStr">
      <is>
        <t>5, 6, 1, 3, 2, 4, 9, 11, 12, 27, 25, 26, 37, 29, 30, 17, 19, 20, 13, 15, 14, 16, 21, 22, 23, 24, 33, 31, 32, 35, 36</t>
      </is>
    </nc>
  </rcc>
  <rcc rId="7482" sId="3" numFmtId="13">
    <oc r="M4">
      <v>0.13513513513513514</v>
    </oc>
    <nc r="M4">
      <v>0.16216216216216217</v>
    </nc>
  </rcc>
  <rcc rId="7483" sId="3" numFmtId="13">
    <oc r="M3">
      <v>0.13513513513513514</v>
    </oc>
    <nc r="M3">
      <v>0.16216216216216217</v>
    </nc>
  </rcc>
  <rcc rId="7484" sId="3">
    <oc r="N5" t="inlineStr">
      <is>
        <t>5, 6, 1, 3, 2, 4, 9, 11, 12, 27, 28, 25, 26, 37, 29, 30, 17, 19, 20, 13, 15, 14, 16, 21, 22, 23, 24, 33, 31, 32, 35, 36</t>
      </is>
    </oc>
    <nc r="N5" t="inlineStr">
      <is>
        <t>5, 6, 1, 3, 2, 4, 9, 11, 12, 27, 25, 26, 37, 29, 30, 17, 19, 20, 13, 15, 14, 16, 21, 22, 23, 24, 33, 31, 32, 35, 36</t>
      </is>
    </nc>
  </rcc>
  <rcc rId="7485" sId="3" numFmtId="13">
    <oc r="N4">
      <v>0.13513513513513514</v>
    </oc>
    <nc r="N4">
      <v>0.16216216216216217</v>
    </nc>
  </rcc>
  <rcc rId="7486" sId="3" numFmtId="13">
    <oc r="N3">
      <v>0.13513513513513514</v>
    </oc>
    <nc r="N3">
      <v>0.16216216216216217</v>
    </nc>
  </rcc>
  <rfmt sheetId="4" sqref="S6" start="0" length="0">
    <dxf>
      <fill>
        <patternFill>
          <bgColor rgb="FFFFFFFF"/>
        </patternFill>
      </fill>
    </dxf>
  </rfmt>
  <rfmt sheetId="4" sqref="T6"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S6" start="0" length="0">
    <dxf>
      <fill>
        <patternFill>
          <bgColor rgb="FFCCFFCC"/>
        </patternFill>
      </fill>
    </dxf>
  </rfmt>
  <rfmt sheetId="4" sqref="T6"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9" start="0" length="0">
    <dxf>
      <fill>
        <patternFill>
          <bgColor rgb="FFFFFFFF"/>
        </patternFill>
      </fill>
    </dxf>
  </rfmt>
  <rfmt sheetId="4" sqref="V20" start="0" length="0">
    <dxf>
      <fill>
        <patternFill>
          <bgColor rgb="FFFFFFFF"/>
        </patternFill>
      </fill>
    </dxf>
  </rfmt>
  <rfmt sheetId="4" sqref="V19" start="0" length="0">
    <dxf>
      <fill>
        <patternFill>
          <bgColor rgb="FFCCFFCC"/>
        </patternFill>
      </fill>
    </dxf>
  </rfmt>
  <rfmt sheetId="4" sqref="V20" start="0" length="0">
    <dxf>
      <fill>
        <patternFill>
          <bgColor rgb="FFCCFFCC"/>
        </patternFill>
      </fill>
    </dxf>
  </rfmt>
  <rfmt sheetId="4" sqref="N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5" start="0" length="0">
    <dxf>
      <fill>
        <patternFill>
          <bgColor rgb="FFFFFFFF"/>
        </patternFill>
      </fill>
    </dxf>
  </rfmt>
  <rfmt sheetId="4" sqref="V15" start="0" length="0">
    <dxf>
      <fill>
        <patternFill>
          <bgColor rgb="FFCCFFCC"/>
        </patternFill>
      </fill>
    </dxf>
  </rfmt>
  <rfmt sheetId="4" sqref="H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J39" start="0" length="0">
    <dxf>
      <fill>
        <patternFill>
          <bgColor rgb="FFCCFFCC"/>
        </patternFill>
      </fill>
    </dxf>
  </rfmt>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87" sId="3" odxf="1" dxf="1" numFmtId="19">
    <nc r="A13">
      <v>41697</v>
    </nc>
    <odxf>
      <font>
        <color indexed="8"/>
        <name val="Times New Roman"/>
        <scheme val="none"/>
      </font>
      <border outline="0">
        <top/>
      </border>
    </odxf>
    <ndxf>
      <font>
        <color rgb="FF000000"/>
        <name val="Calibri"/>
        <scheme val="minor"/>
      </font>
      <border outline="0">
        <top style="thin">
          <color indexed="64"/>
        </top>
      </border>
    </ndxf>
  </rcc>
  <rfmt sheetId="3" sqref="B13" start="0" length="0">
    <dxf>
      <font>
        <sz val="9"/>
        <color indexed="8"/>
        <name val="Calibri"/>
        <scheme val="minor"/>
      </font>
      <fill>
        <patternFill>
          <bgColor rgb="FFCCFFCC"/>
        </patternFill>
      </fill>
    </dxf>
  </rfmt>
  <rfmt sheetId="3" sqref="C13" start="0" length="0">
    <dxf>
      <font>
        <sz val="9"/>
        <color indexed="8"/>
        <name val="Calibri"/>
        <scheme val="minor"/>
      </font>
      <fill>
        <patternFill>
          <bgColor rgb="FFCCFFCC"/>
        </patternFill>
      </fill>
    </dxf>
  </rfmt>
  <rfmt sheetId="3" sqref="D13" start="0" length="0">
    <dxf>
      <font>
        <sz val="9"/>
        <color indexed="8"/>
        <name val="Calibri"/>
        <scheme val="minor"/>
      </font>
      <fill>
        <patternFill>
          <bgColor rgb="FFCCFFCC"/>
        </patternFill>
      </fill>
    </dxf>
  </rfmt>
  <rfmt sheetId="3" sqref="E13" start="0" length="0">
    <dxf>
      <font>
        <sz val="9"/>
        <color indexed="8"/>
        <name val="Calibri"/>
        <scheme val="minor"/>
      </font>
      <fill>
        <patternFill>
          <bgColor rgb="FFCCFFCC"/>
        </patternFill>
      </fill>
    </dxf>
  </rfmt>
  <rfmt sheetId="3" sqref="F13" start="0" length="0">
    <dxf>
      <font>
        <sz val="9"/>
        <color indexed="8"/>
        <name val="Calibri"/>
        <scheme val="minor"/>
      </font>
      <fill>
        <patternFill>
          <bgColor rgb="FFCCFFCC"/>
        </patternFill>
      </fill>
    </dxf>
  </rfmt>
  <rfmt sheetId="3" sqref="G13" start="0" length="0">
    <dxf>
      <fill>
        <patternFill>
          <bgColor rgb="FFCCFFCC"/>
        </patternFill>
      </fill>
    </dxf>
  </rfmt>
  <rfmt sheetId="3" sqref="H13" start="0" length="0">
    <dxf>
      <fill>
        <patternFill>
          <bgColor rgb="FFCCFFCC"/>
        </patternFill>
      </fill>
    </dxf>
  </rfmt>
  <rfmt sheetId="3" sqref="I13" start="0" length="0">
    <dxf>
      <fill>
        <patternFill>
          <bgColor rgb="FFCCFFCC"/>
        </patternFill>
      </fill>
    </dxf>
  </rfmt>
  <rfmt sheetId="3" sqref="J13" start="0" length="0">
    <dxf>
      <fill>
        <patternFill>
          <bgColor rgb="FFCCFFCC"/>
        </patternFill>
      </fill>
    </dxf>
  </rfmt>
  <rfmt sheetId="3" sqref="K13" start="0" length="0">
    <dxf>
      <fill>
        <patternFill>
          <bgColor rgb="FFCCFFCC"/>
        </patternFill>
      </fill>
    </dxf>
  </rfmt>
  <rfmt sheetId="3" sqref="L13" start="0" length="0">
    <dxf>
      <fill>
        <patternFill>
          <bgColor rgb="FFCCFFCC"/>
        </patternFill>
      </fill>
    </dxf>
  </rfmt>
  <rfmt sheetId="3" sqref="M13" start="0" length="0">
    <dxf>
      <fill>
        <patternFill>
          <bgColor rgb="FFCCFFCC"/>
        </patternFill>
      </fill>
    </dxf>
  </rfmt>
  <rfmt sheetId="3" sqref="N13" start="0" length="0">
    <dxf>
      <fill>
        <patternFill>
          <bgColor rgb="FFCCFFCC"/>
        </patternFill>
      </fill>
    </dxf>
  </rfmt>
  <rfmt sheetId="3" sqref="O13" start="0" length="0">
    <dxf>
      <font>
        <sz val="9"/>
        <color indexed="8"/>
        <name val="Calibri"/>
        <scheme val="minor"/>
      </font>
      <fill>
        <patternFill>
          <bgColor rgb="FFCCFFCC"/>
        </patternFill>
      </fill>
    </dxf>
  </rfmt>
  <rcc rId="7488" sId="3" odxf="1" dxf="1">
    <nc r="P13">
      <v>5</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Q13" start="0" length="0">
    <dxf>
      <font>
        <sz val="9"/>
        <color indexed="8"/>
        <name val="Calibri"/>
        <scheme val="minor"/>
      </font>
      <fill>
        <patternFill>
          <bgColor rgb="FFCCFFCC"/>
        </patternFill>
      </fill>
    </dxf>
  </rfmt>
  <rfmt sheetId="3" sqref="R13" start="0" length="0">
    <dxf>
      <font>
        <sz val="9"/>
        <color indexed="8"/>
        <name val="Calibri"/>
        <scheme val="minor"/>
      </font>
      <fill>
        <patternFill>
          <bgColor rgb="FFCCFFCC"/>
        </patternFill>
      </fill>
    </dxf>
  </rfmt>
  <rcc rId="7489" sId="3" odxf="1" dxf="1">
    <nc r="S13">
      <v>1</v>
    </nc>
    <odxf>
      <font>
        <sz val="9"/>
        <color indexed="8"/>
        <name val="Calibri"/>
        <scheme val="none"/>
      </font>
      <fill>
        <patternFill>
          <bgColor theme="0"/>
        </patternFill>
      </fill>
    </odxf>
    <ndxf>
      <font>
        <sz val="9"/>
        <color indexed="8"/>
        <name val="Calibri"/>
        <scheme val="minor"/>
      </font>
      <fill>
        <patternFill>
          <bgColor rgb="FFCCFFCC"/>
        </patternFill>
      </fill>
    </ndxf>
  </rcc>
  <rcc rId="7490" sId="3" odxf="1" dxf="1">
    <nc r="T13">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13"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7491" sId="3" odxf="1" dxf="1">
    <nc r="V13"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492" sId="3" odxf="1" dxf="1">
    <nc r="W13"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fmt sheetId="3" s="1" sqref="X13" start="0" length="0">
    <dxf>
      <font>
        <sz val="10"/>
        <color auto="1"/>
        <name val="Arial"/>
        <scheme val="none"/>
      </font>
      <fill>
        <patternFill patternType="none">
          <bgColor indexed="65"/>
        </patternFill>
      </fill>
      <alignment horizontal="general" vertical="top" readingOrder="0"/>
      <border outline="0">
        <right style="thin">
          <color indexed="64"/>
        </right>
      </border>
    </dxf>
  </rfmt>
  <rfmt sheetId="3" s="1" sqref="Y13" start="0" length="0">
    <dxf>
      <font>
        <sz val="11"/>
        <color theme="1"/>
        <name val="Calibri"/>
        <scheme val="minor"/>
      </font>
    </dxf>
  </rfmt>
  <rfmt sheetId="3" s="1" sqref="Z13" start="0" length="0">
    <dxf>
      <font>
        <sz val="11"/>
        <color theme="1"/>
        <name val="Calibri"/>
        <scheme val="minor"/>
      </font>
    </dxf>
  </rfmt>
  <rfmt sheetId="3" s="1" sqref="AA13" start="0" length="0">
    <dxf>
      <font>
        <sz val="11"/>
        <color theme="1"/>
        <name val="Calibri"/>
        <scheme val="minor"/>
      </font>
    </dxf>
  </rfmt>
  <rfmt sheetId="3" s="1" sqref="A13:XFD13" start="0" length="0">
    <dxf>
      <font>
        <sz val="11"/>
        <color theme="1"/>
        <name val="Calibri"/>
        <scheme val="minor"/>
      </font>
    </dxf>
  </rfmt>
  <rcc rId="7493" sId="3">
    <nc r="B13">
      <v>14</v>
    </nc>
  </rcc>
  <rcc rId="7494" sId="3">
    <nc r="C13">
      <v>16</v>
    </nc>
  </rcc>
  <rcc rId="7495" sId="3">
    <nc r="D13">
      <v>23</v>
    </nc>
  </rcc>
  <rcc rId="7496" sId="3">
    <nc r="E13">
      <v>48</v>
    </nc>
  </rcc>
  <rcc rId="7497" sId="3">
    <nc r="F13">
      <v>10</v>
    </nc>
  </rcc>
  <rcc rId="7498" sId="3">
    <nc r="G13">
      <v>15</v>
    </nc>
  </rcc>
  <rcc rId="7499" sId="3">
    <nc r="H13">
      <v>15</v>
    </nc>
  </rcc>
  <rcc rId="7500" sId="3">
    <nc r="I13">
      <v>15</v>
    </nc>
  </rcc>
  <rcc rId="7501" sId="3">
    <nc r="J13">
      <v>15</v>
    </nc>
  </rcc>
  <rcc rId="7502" sId="3">
    <nc r="K13">
      <v>19</v>
    </nc>
  </rcc>
  <rcc rId="7503" sId="3">
    <nc r="L13">
      <v>19</v>
    </nc>
  </rcc>
  <rcc rId="7504" sId="3">
    <nc r="M13">
      <v>19</v>
    </nc>
  </rcc>
  <rcc rId="7505" sId="3">
    <nc r="N13">
      <v>19</v>
    </nc>
  </rcc>
  <rcc rId="7506" sId="3">
    <nc r="O13">
      <v>8</v>
    </nc>
  </rcc>
  <rcc rId="7507" sId="3">
    <nc r="Q13">
      <v>1</v>
    </nc>
  </rcc>
  <rcc rId="7508" sId="3">
    <nc r="R13">
      <v>1</v>
    </nc>
  </rcc>
  <rcc rId="7509" sId="3">
    <nc r="U13">
      <v>7</v>
    </nc>
  </rcc>
  <rcc rId="7510" sId="3">
    <nc r="X13" t="inlineStr">
      <is>
        <t xml:space="preserve">All units have valid video and audio output.  
Downstream unit .231 keep rebooting due to unknown issue.  
The upstream D9859 unit is running on E-build E01.00.09yk0
TX CC errors on VBI PID 604 co-timed on all, uplink issue.
TX buffer overflow on VID PID 1023 co-timed with video hits due to high video bit rate @ 30Mbps.
VID errors on all Units.
192.131.244.118 ;2014-02-28 ;18:32:11 ;VID;WARNING;;; ;WARNING;;4365;--&gt;2 Unexpected Delay in Event Processing: v-sync event, driver 50 us task 44969 us
192.131.244.118 ;2014-02-28 ;18:32:11 ;VID;WARNING;;; ;WARNING;;4365;--&gt;2 Unexpected Delay in Event Processing: v-sync event, driver 26 us task 45023 us
192.131.244.118 ;2014-02-28 ;18:32:11 ;VID;WARNING;;; ;WARNING;;4365;--&gt;2 Unexpected Delay in Event Processing: picture ready to display, driver 19 us task 44525 us
TX buffer overflow on VID PID 200 co-timed with video hits due to high video bit rate @ 30Mbps.
AUD2 warnings on some units, known issue CSCuh25081.
</t>
      </is>
    </nc>
  </rcc>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M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M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511" sId="3">
    <oc r="D5" t="inlineStr">
      <is>
        <t>1, 4, 7, 16, 19, 22, 25, 2, 5, 8, 17, 20, 23, 26, 3, 6, 9, 21, 27, 10, 13, 28, 31, 34, 37, 14, 29, 32, 38, 12, 15, 30, 33, 40, 41, 42, 43, 44, 45, 46, 47, 48, 49</t>
      </is>
    </oc>
    <nc r="D5" t="inlineStr">
      <is>
        <t>1, 4, 7, 16, 19, 22, 25, 2, 5, 8, 17, 20, 26, 3, 6, 9, 21, 27, 10, 13, 28, 31, 34, 37, 14, 29, 32, 38, 12, 15, 30, 33, 40, 41, 42, 43, 44, 45, 46, 47, 48, 49</t>
      </is>
    </nc>
  </rcc>
  <rcc rId="7512" sId="3" numFmtId="13">
    <oc r="D4">
      <v>0.12244897959183673</v>
    </oc>
    <nc r="D4">
      <v>0.14285714285714285</v>
    </nc>
  </rcc>
  <rcc rId="7513" sId="3" numFmtId="13">
    <oc r="D3">
      <v>0.12244897959183673</v>
    </oc>
    <nc r="D3">
      <v>0.14285714285714285</v>
    </nc>
  </rcc>
  <rfmt sheetId="4" sqref="H21" start="0" length="0">
    <dxf>
      <fill>
        <patternFill>
          <bgColor rgb="FFFFFFFF"/>
        </patternFill>
      </fill>
    </dxf>
  </rfmt>
  <rfmt sheetId="4" sqref="H22"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H22"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7514" sId="3">
    <oc r="E5" t="inlineStr">
      <is>
        <t>1, 3, 5, 2, 4, 6, 7, 9, 11, 15, 8, 10, 12, 16, 13, 14, 19, 21, 25, 20, 22, 26, 23, 24, 27, 29, 30, 31, 32, 33, 34, 35, 36, 37, 38, 40, 39, 41, 42, 44, 45, 46, 47, 48, 49, 50, 53</t>
      </is>
    </oc>
    <nc r="E5" t="inlineStr">
      <is>
        <t>1, 3, 5, 2, 4, 6, 7, 9, 11, 15, 8, 10, 12, 16, 13, 14, 19, 21, 25, 20, 22, 26, 23, 24, 27, 29, 30, 31, 32, 33, 34, 35, 36, 37, 38, 40, 39, 41, 42, 44, 45, 46, 47, 49, 50, 53</t>
      </is>
    </nc>
  </rcc>
  <rfmt sheetId="4" sqref="J33" start="0" length="0">
    <dxf>
      <fill>
        <patternFill>
          <bgColor rgb="FFCCFFCC"/>
        </patternFill>
      </fill>
    </dxf>
  </rfmt>
  <rcc rId="7515" sId="3" numFmtId="13">
    <oc r="E4">
      <v>0.11320754716981132</v>
    </oc>
    <nc r="E4">
      <v>0.13207547169811321</v>
    </nc>
  </rcc>
  <rcc rId="7516" sId="3" numFmtId="13">
    <oc r="E3">
      <v>0.11320754716981132</v>
    </oc>
    <nc r="E3">
      <v>0.13207547169811321</v>
    </nc>
  </rcc>
  <rfmt sheetId="4" sqref="P16" start="0" length="0">
    <dxf>
      <fill>
        <patternFill>
          <bgColor rgb="FFFFFFFF"/>
        </patternFill>
      </fill>
    </dxf>
  </rfmt>
  <rfmt sheetId="4" sqref="N17"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P16" start="0" length="0">
    <dxf>
      <fill>
        <patternFill>
          <bgColor rgb="FFCCFFCC"/>
        </patternFill>
      </fill>
    </dxf>
  </rfmt>
  <rfmt sheetId="4" sqref="N17"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cc rId="7517" sId="3">
    <oc r="F5" t="inlineStr">
      <is>
        <t>1, 3, 4, 6, 7, 9, 10, 12</t>
      </is>
    </oc>
    <nc r="F5" t="inlineStr">
      <is>
        <t>1, 3, 4, 6, 7, 9, 12</t>
      </is>
    </nc>
  </rcc>
  <rfmt sheetId="4" sqref="P20" start="0" length="0">
    <dxf>
      <fill>
        <patternFill>
          <bgColor rgb="FFCCFFCC"/>
        </patternFill>
      </fill>
    </dxf>
  </rfmt>
  <rfmt sheetId="4" sqref="P21" start="0" length="0">
    <dxf>
      <fill>
        <patternFill>
          <bgColor rgb="FFCCFFCC"/>
        </patternFill>
      </fill>
    </dxf>
  </rfmt>
  <rcc rId="7518" sId="3" numFmtId="13">
    <oc r="F4">
      <v>0.42857142857142855</v>
    </oc>
    <nc r="F4">
      <v>0.5</v>
    </nc>
  </rcc>
  <rcc rId="7519" sId="3" numFmtId="13">
    <oc r="F3">
      <v>0.42857142857142855</v>
    </oc>
    <nc r="F3">
      <v>0.5</v>
    </nc>
  </rcc>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N36" start="0" length="0">
    <dxf>
      <fill>
        <patternFill>
          <bgColor rgb="FFFFFFFF"/>
        </patternFill>
      </fill>
    </dxf>
  </rfmt>
  <rfmt sheetId="4" sqref="P36"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cc rId="7520" sId="3">
    <oc r="G5" t="inlineStr">
      <is>
        <t>5, 7, 6, 8, 1, 2, 10, 11, 12, 27, 28, 25, 37, 29, 30, 19, 18, 20, 13, 15, 14, 16, 21, 22, 23, 24, 33, 34, 31, 35, 36</t>
      </is>
    </oc>
    <nc r="G5" t="inlineStr">
      <is>
        <t>5, 7, 6, 8, 1, 2, 10, 11, 12, 27, 28, 25, 37, 29, 30, 19, 18, 20, 13, 14, 16, 21, 22, 23, 24, 33, 34, 31, 35, 36</t>
      </is>
    </nc>
  </rcc>
  <rcc rId="7521" sId="3" numFmtId="13">
    <oc r="G4">
      <v>0.16216216216216217</v>
    </oc>
    <nc r="G4">
      <v>0.1891891891891892</v>
    </nc>
  </rcc>
  <rcc rId="7522" sId="3" numFmtId="13">
    <oc r="G3">
      <v>0.16216216216216217</v>
    </oc>
    <nc r="G3">
      <v>0.1891891891891892</v>
    </nc>
  </rcc>
  <rcc rId="7523" sId="3">
    <oc r="H5" t="inlineStr">
      <is>
        <t>5, 7, 6, 8, 1, 2, 10, 11, 12, 27, 28, 25, 37, 29, 30, 19, 18, 20, 13, 15, 14, 16, 21, 22, 23, 24, 33, 34, 31, 35, 36</t>
      </is>
    </oc>
    <nc r="H5" t="inlineStr">
      <is>
        <t>5, 7, 6, 8, 1, 2, 10, 11, 12, 27, 28, 25, 37, 29, 30, 19, 18, 20, 13, 14, 16, 21, 22, 23, 24, 33, 34, 31, 35, 36</t>
      </is>
    </nc>
  </rcc>
  <rcc rId="7524" sId="3" numFmtId="13">
    <oc r="H4">
      <v>0.16216216216216217</v>
    </oc>
    <nc r="H4">
      <v>0.1891891891891892</v>
    </nc>
  </rcc>
  <rcc rId="7525" sId="3" numFmtId="13">
    <oc r="H3">
      <v>0.16216216216216217</v>
    </oc>
    <nc r="H3">
      <v>0.1891891891891892</v>
    </nc>
  </rcc>
  <rcc rId="7526" sId="3">
    <oc r="I5" t="inlineStr">
      <is>
        <t>5, 7, 6, 8, 1, 2, 10, 11, 12, 27, 28, 25, 37, 29, 30, 19, 18, 20, 13, 15, 14, 16, 21, 22, 23, 24, 33, 34, 31, 35, 36</t>
      </is>
    </oc>
    <nc r="I5" t="inlineStr">
      <is>
        <t>5, 7, 6, 8, 1, 2, 10, 11, 12, 27, 28, 25, 37, 29, 30, 19, 18, 20, 13, 14, 16, 21, 22, 23, 24, 33, 34, 31, 35, 36</t>
      </is>
    </nc>
  </rcc>
  <rcc rId="7527" sId="3" numFmtId="13">
    <oc r="I4">
      <v>0.16216216216216217</v>
    </oc>
    <nc r="I4">
      <v>0.1891891891891892</v>
    </nc>
  </rcc>
  <rcc rId="7528" sId="3" numFmtId="13">
    <oc r="I3">
      <v>0.16216216216216217</v>
    </oc>
    <nc r="I3">
      <v>0.1891891891891892</v>
    </nc>
  </rcc>
  <rcc rId="7529" sId="3">
    <oc r="J5" t="inlineStr">
      <is>
        <t>5, 7, 6, 8, 1, 2, 10, 11, 12, 27, 28, 25, 37, 29, 30, 19, 18, 20, 13, 15, 14, 16, 21, 22, 23, 24, 33, 34, 31, 35, 36</t>
      </is>
    </oc>
    <nc r="J5" t="inlineStr">
      <is>
        <t>5, 7, 6, 8, 1, 2, 10, 11, 12, 27, 28, 25, 37, 29, 30, 19, 18, 20, 13, 14, 16, 21, 22, 23, 24, 33, 34, 31, 35, 36</t>
      </is>
    </nc>
  </rcc>
  <rcc rId="7530" sId="3" numFmtId="13">
    <oc r="J4">
      <v>0.16216216216216217</v>
    </oc>
    <nc r="J4">
      <v>0.1891891891891892</v>
    </nc>
  </rcc>
  <rcc rId="7531" sId="3" numFmtId="13">
    <oc r="J3">
      <v>0.16216216216216217</v>
    </oc>
    <nc r="J3">
      <v>0.1891891891891892</v>
    </nc>
  </rcc>
  <rcc rId="7532" sId="3">
    <oc r="K5" t="inlineStr">
      <is>
        <t>5, 6, 1, 3, 2, 4, 9, 11, 12, 27, 25, 26, 37, 29, 30, 17, 19, 20, 13, 15, 14, 16, 21, 22, 23, 24, 33, 31, 32, 35, 36</t>
      </is>
    </oc>
    <nc r="K5" t="inlineStr">
      <is>
        <t>5, 6, 1, 3, 2, 4, 9, 11, 12, 27, 25, 26, 37, 29, 30, 17, 20, 13, 15, 14, 16, 21, 22, 23, 24, 33, 31, 32, 35, 36</t>
      </is>
    </nc>
  </rcc>
  <rcc rId="7533" sId="3" numFmtId="13">
    <oc r="K4">
      <v>0.16216216216216217</v>
    </oc>
    <nc r="K4">
      <v>0.1891891891891892</v>
    </nc>
  </rcc>
  <rcc rId="7534" sId="3" numFmtId="13">
    <oc r="K3">
      <v>0.16216216216216217</v>
    </oc>
    <nc r="K3">
      <v>0.1891891891891892</v>
    </nc>
  </rcc>
  <rcc rId="7535" sId="3">
    <oc r="L5" t="inlineStr">
      <is>
        <t>5, 6, 1, 3, 2, 4, 9, 11, 12, 27, 25, 26, 37, 29, 30, 17, 19, 20, 13, 15, 14, 16, 21, 22, 23, 24, 33, 31, 32, 35, 36</t>
      </is>
    </oc>
    <nc r="L5" t="inlineStr">
      <is>
        <t>5, 6, 1, 3, 2, 4, 9, 11, 12, 27, 25, 26, 37, 29, 30, 17, 20, 13, 15, 14, 16, 21, 22, 23, 24, 33, 31, 32, 35, 36</t>
      </is>
    </nc>
  </rcc>
  <rcc rId="7536" sId="3" numFmtId="13">
    <oc r="L4">
      <v>0.16216216216216217</v>
    </oc>
    <nc r="L4">
      <v>0.1891891891891892</v>
    </nc>
  </rcc>
  <rcc rId="7537" sId="3" numFmtId="13">
    <oc r="L3">
      <v>0.16216216216216217</v>
    </oc>
    <nc r="L3">
      <v>0.1891891891891892</v>
    </nc>
  </rcc>
  <rcc rId="7538" sId="3">
    <oc r="M5" t="inlineStr">
      <is>
        <t>5, 6, 1, 3, 2, 4, 9, 11, 12, 27, 25, 26, 37, 29, 30, 17, 19, 20, 13, 15, 14, 16, 21, 22, 23, 24, 33, 31, 32, 35, 36</t>
      </is>
    </oc>
    <nc r="M5" t="inlineStr">
      <is>
        <t>5, 6, 1, 3, 2, 4, 9, 11, 12, 27, 25, 26, 37, 29, 30, 17, 20, 13, 15, 14, 16, 21, 22, 23, 24, 33, 31, 32, 35, 36</t>
      </is>
    </nc>
  </rcc>
  <rcc rId="7539" sId="3" numFmtId="13">
    <oc r="M4">
      <v>0.16216216216216217</v>
    </oc>
    <nc r="M4">
      <v>0.1891891891891892</v>
    </nc>
  </rcc>
  <rcc rId="7540" sId="3" numFmtId="13">
    <oc r="M3">
      <v>0.16216216216216217</v>
    </oc>
    <nc r="M3">
      <v>0.1891891891891892</v>
    </nc>
  </rcc>
  <rcc rId="7541" sId="3">
    <oc r="N5" t="inlineStr">
      <is>
        <t>5, 6, 1, 3, 2, 4, 9, 11, 12, 27, 25, 26, 37, 29, 30, 17, 19, 20, 13, 15, 14, 16, 21, 22, 23, 24, 33, 31, 32, 35, 36</t>
      </is>
    </oc>
    <nc r="N5" t="inlineStr">
      <is>
        <t>5, 6, 1, 3, 2, 4, 9, 11, 12, 27, 25, 26, 37, 29, 30, 17, 20, 13, 15, 14, 16, 21, 22, 23, 24, 33, 31, 32, 35, 36</t>
      </is>
    </nc>
  </rcc>
  <rcc rId="7542" sId="3" numFmtId="13">
    <oc r="N4">
      <v>0.16216216216216217</v>
    </oc>
    <nc r="N4">
      <v>0.1891891891891892</v>
    </nc>
  </rcc>
  <rcc rId="7543" sId="3" numFmtId="13">
    <oc r="N3">
      <v>0.16216216216216217</v>
    </oc>
    <nc r="N3">
      <v>0.1891891891891892</v>
    </nc>
  </rcc>
  <rfmt sheetId="4" sqref="S6" start="0" length="0">
    <dxf>
      <fill>
        <patternFill>
          <bgColor rgb="FFFFFFFF"/>
        </patternFill>
      </fill>
    </dxf>
  </rfmt>
  <rfmt sheetId="4" sqref="T6"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S6" start="0" length="0">
    <dxf>
      <fill>
        <patternFill>
          <bgColor rgb="FFCCFFCC"/>
        </patternFill>
      </fill>
    </dxf>
  </rfmt>
  <rfmt sheetId="4" sqref="T6"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9" start="0" length="0">
    <dxf>
      <fill>
        <patternFill>
          <bgColor rgb="FFFFFFFF"/>
        </patternFill>
      </fill>
    </dxf>
  </rfmt>
  <rfmt sheetId="4" sqref="V20"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cc rId="7544" sId="3">
    <oc r="Q5" t="inlineStr">
      <is>
        <t>1, 4</t>
      </is>
    </oc>
    <nc r="Q5">
      <v>4</v>
    </nc>
  </rcc>
  <rcc rId="7545" sId="3" numFmtId="13">
    <oc r="Q4">
      <v>0.5</v>
    </oc>
    <nc r="Q4">
      <v>0.75</v>
    </nc>
  </rcc>
  <rcc rId="7546" sId="3" numFmtId="13">
    <oc r="Q3">
      <v>0.5</v>
    </oc>
    <nc r="Q3">
      <v>0.75</v>
    </nc>
  </rcc>
  <rfmt sheetId="4" sqref="N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cc rId="7547" sId="3">
    <oc r="R5" t="inlineStr">
      <is>
        <t>1, 10, 6, 12</t>
      </is>
    </oc>
    <nc r="R5" t="inlineStr">
      <is>
        <t>10, 6, 12</t>
      </is>
    </nc>
  </rcc>
  <rcc rId="7548" sId="3" numFmtId="13">
    <oc r="R4">
      <v>0.5</v>
    </oc>
    <nc r="R4">
      <v>0.625</v>
    </nc>
  </rcc>
  <rcc rId="7549" sId="3" numFmtId="13">
    <oc r="R3">
      <v>0.5</v>
    </oc>
    <nc r="R3">
      <v>0.625</v>
    </nc>
  </rcc>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5" start="0" length="0">
    <dxf>
      <fill>
        <patternFill>
          <bgColor rgb="FFFFFFFF"/>
        </patternFill>
      </fill>
    </dxf>
  </rfmt>
  <rfmt sheetId="4" sqref="V15" start="0" length="0">
    <dxf>
      <fill>
        <patternFill>
          <bgColor rgb="FFCCFFCC"/>
        </patternFill>
      </fill>
    </dxf>
  </rfmt>
  <rfmt sheetId="4" sqref="H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J39" start="0" length="0">
    <dxf>
      <fill>
        <patternFill>
          <bgColor rgb="FFCCFFCC"/>
        </patternFill>
      </fill>
    </dxf>
  </rfmt>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14" start="0" length="0">
    <dxf>
      <font>
        <color rgb="FF000000"/>
        <name val="Calibri"/>
        <scheme val="minor"/>
      </font>
      <border outline="0">
        <left style="thin">
          <color indexed="64"/>
        </left>
        <top style="thin">
          <color indexed="64"/>
        </top>
      </border>
    </dxf>
  </rfmt>
  <rfmt sheetId="3" sqref="B14" start="0" length="0">
    <dxf>
      <font>
        <sz val="9"/>
        <color indexed="8"/>
        <name val="Calibri"/>
        <scheme val="minor"/>
      </font>
      <fill>
        <patternFill>
          <bgColor rgb="FFCCFFCC"/>
        </patternFill>
      </fill>
    </dxf>
  </rfmt>
  <rcc rId="7550" sId="3" odxf="1" dxf="1">
    <nc r="C14">
      <v>15</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D14" start="0" length="0">
    <dxf>
      <font>
        <sz val="9"/>
        <color indexed="8"/>
        <name val="Calibri"/>
        <scheme val="minor"/>
      </font>
      <fill>
        <patternFill>
          <bgColor rgb="FFCCFFCC"/>
        </patternFill>
      </fill>
    </dxf>
  </rfmt>
  <rfmt sheetId="3" sqref="E14" start="0" length="0">
    <dxf>
      <font>
        <sz val="9"/>
        <color indexed="8"/>
        <name val="Calibri"/>
        <scheme val="minor"/>
      </font>
      <fill>
        <patternFill>
          <bgColor rgb="FFCCFFCC"/>
        </patternFill>
      </fill>
    </dxf>
  </rfmt>
  <rfmt sheetId="3" sqref="F14" start="0" length="0">
    <dxf>
      <font>
        <sz val="9"/>
        <color indexed="8"/>
        <name val="Calibri"/>
        <scheme val="minor"/>
      </font>
      <fill>
        <patternFill>
          <bgColor rgb="FFCCFFCC"/>
        </patternFill>
      </fill>
    </dxf>
  </rfmt>
  <rfmt sheetId="3" sqref="G14" start="0" length="0">
    <dxf>
      <fill>
        <patternFill>
          <bgColor rgb="FFCCFFCC"/>
        </patternFill>
      </fill>
    </dxf>
  </rfmt>
  <rfmt sheetId="3" sqref="H14" start="0" length="0">
    <dxf>
      <fill>
        <patternFill>
          <bgColor rgb="FFCCFFCC"/>
        </patternFill>
      </fill>
    </dxf>
  </rfmt>
  <rfmt sheetId="3" sqref="I14" start="0" length="0">
    <dxf>
      <fill>
        <patternFill>
          <bgColor rgb="FFCCFFCC"/>
        </patternFill>
      </fill>
    </dxf>
  </rfmt>
  <rfmt sheetId="3" sqref="J14" start="0" length="0">
    <dxf>
      <fill>
        <patternFill>
          <bgColor rgb="FFCCFFCC"/>
        </patternFill>
      </fill>
    </dxf>
  </rfmt>
  <rfmt sheetId="3" sqref="K14" start="0" length="0">
    <dxf>
      <fill>
        <patternFill>
          <bgColor rgb="FFCCFFCC"/>
        </patternFill>
      </fill>
    </dxf>
  </rfmt>
  <rfmt sheetId="3" sqref="L14" start="0" length="0">
    <dxf>
      <fill>
        <patternFill>
          <bgColor rgb="FFCCFFCC"/>
        </patternFill>
      </fill>
    </dxf>
  </rfmt>
  <rfmt sheetId="3" sqref="M14" start="0" length="0">
    <dxf>
      <fill>
        <patternFill>
          <bgColor rgb="FFCCFFCC"/>
        </patternFill>
      </fill>
    </dxf>
  </rfmt>
  <rfmt sheetId="3" sqref="N14" start="0" length="0">
    <dxf>
      <fill>
        <patternFill>
          <bgColor rgb="FFCCFFCC"/>
        </patternFill>
      </fill>
    </dxf>
  </rfmt>
  <rfmt sheetId="3" sqref="O14" start="0" length="0">
    <dxf>
      <font>
        <sz val="9"/>
        <color indexed="8"/>
        <name val="Calibri"/>
        <scheme val="minor"/>
      </font>
      <fill>
        <patternFill>
          <bgColor rgb="FFCCFFCC"/>
        </patternFill>
      </fill>
    </dxf>
  </rfmt>
  <rfmt sheetId="3" sqref="P14" start="0" length="0">
    <dxf>
      <font>
        <sz val="9"/>
        <color indexed="8"/>
        <name val="Calibri"/>
        <scheme val="minor"/>
      </font>
      <fill>
        <patternFill>
          <bgColor rgb="FFCCFFCC"/>
        </patternFill>
      </fill>
    </dxf>
  </rfmt>
  <rcc rId="7551" sId="3" odxf="1" dxf="1">
    <nc r="Q14">
      <v>3</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R14" start="0" length="0">
    <dxf>
      <font>
        <sz val="9"/>
        <color indexed="8"/>
        <name val="Calibri"/>
        <scheme val="minor"/>
      </font>
      <fill>
        <patternFill>
          <bgColor rgb="FFCCFFCC"/>
        </patternFill>
      </fill>
    </dxf>
  </rfmt>
  <rcc rId="7552" sId="3" odxf="1" dxf="1">
    <nc r="S14">
      <v>1</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T14" start="0" length="0">
    <dxf>
      <font>
        <sz val="9"/>
        <color indexed="8"/>
        <name val="Calibri"/>
        <scheme val="minor"/>
      </font>
      <fill>
        <patternFill>
          <bgColor rgb="FFCCFFCC"/>
        </patternFill>
      </fill>
    </dxf>
  </rfmt>
  <rcc rId="7553" sId="3" odxf="1" dxf="1">
    <nc r="U14">
      <v>5</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7554" sId="3" odxf="1" dxf="1">
    <nc r="V14"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555" sId="3" odxf="1" dxf="1">
    <nc r="W14" t="inlineStr">
      <is>
        <t>C.Pass</t>
      </is>
    </nc>
    <odxf>
      <font>
        <sz val="9"/>
        <color indexed="8"/>
        <name val="Calibri"/>
        <scheme val="none"/>
      </font>
      <fill>
        <patternFill>
          <bgColor theme="0"/>
        </patternFill>
      </fill>
    </odxf>
    <ndxf>
      <font>
        <sz val="9"/>
        <color indexed="8"/>
        <name val="Times New Roman"/>
        <scheme val="none"/>
      </font>
      <fill>
        <patternFill>
          <bgColor rgb="FFFFFF99"/>
        </patternFill>
      </fill>
    </ndxf>
  </rcc>
  <rcc rId="7556" sId="3">
    <nc r="B14">
      <v>2</v>
    </nc>
  </rcc>
  <rcc rId="7557" sId="3" numFmtId="19">
    <oc r="A13">
      <v>41697</v>
    </oc>
    <nc r="A13">
      <v>41698</v>
    </nc>
  </rcc>
  <rcc rId="7558" sId="3" numFmtId="19">
    <nc r="A14">
      <v>41701</v>
    </nc>
  </rcc>
  <rcc rId="7559" sId="3">
    <nc r="D14">
      <v>7</v>
    </nc>
  </rcc>
  <rcc rId="7560" sId="3">
    <nc r="E14">
      <v>25</v>
    </nc>
  </rcc>
  <rcc rId="7561" sId="3">
    <nc r="F14">
      <v>12</v>
    </nc>
  </rcc>
  <rcc rId="7562" sId="3">
    <nc r="G14">
      <v>23</v>
    </nc>
  </rcc>
  <rcc rId="7563" sId="3">
    <nc r="H14">
      <v>23</v>
    </nc>
  </rcc>
  <rcc rId="7564" sId="3">
    <nc r="I14">
      <v>23</v>
    </nc>
  </rcc>
  <rcc rId="7565" sId="3">
    <nc r="J14">
      <v>23</v>
    </nc>
  </rcc>
  <rcc rId="7566" sId="3">
    <nc r="K14">
      <v>24</v>
    </nc>
  </rcc>
  <rcc rId="7567" sId="3">
    <nc r="L14">
      <v>24</v>
    </nc>
  </rcc>
  <rcc rId="7568" sId="3">
    <nc r="M14">
      <v>24</v>
    </nc>
  </rcc>
  <rcc rId="7569" sId="3">
    <nc r="N14">
      <v>24</v>
    </nc>
  </rcc>
  <rcc rId="7570" sId="3">
    <nc r="M15" t="inlineStr">
      <is>
        <t>`</t>
      </is>
    </nc>
  </rcc>
  <rcc rId="7571" sId="3">
    <nc r="O14">
      <v>3</v>
    </nc>
  </rcc>
  <rcc rId="7572" sId="3">
    <nc r="P14">
      <v>2</v>
    </nc>
  </rcc>
  <rcc rId="7573" sId="3">
    <nc r="R14">
      <v>5</v>
    </nc>
  </rcc>
  <rcc rId="7574" sId="3">
    <nc r="T14">
      <v>1</v>
    </nc>
  </rcc>
  <rcc rId="7575" sId="3">
    <nc r="X14" t="inlineStr">
      <is>
        <t>Reboot detected on unit .131(e-build) due to Watchdog 'Secondary WD' expired.
Downstream Unit .230 lost video for some reason, but it’s upstream works well.
All units have valid video and audio output.
TX CC errors on PID 104(VBI1) co-timed on some, uplink issue.
VBI warnings on all due to known setup issue.
AUD2 warnings on some units, issue CSCuh61762.</t>
      </is>
    </nc>
  </rcc>
  <rcc rId="7576" sId="3">
    <oc r="T5">
      <v>1</v>
    </oc>
    <nc r="T5"/>
  </rcc>
  <rcc rId="7577" sId="4" numFmtId="19">
    <oc r="I2">
      <v>41697</v>
    </oc>
    <nc r="I2">
      <v>41701</v>
    </nc>
  </rcc>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6"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cc rId="7578" sId="3">
    <oc r="B5" t="inlineStr">
      <is>
        <t>1, 2, 3, 6, 7, 8, 9, 10, 12, 16, 19, 20</t>
      </is>
    </oc>
    <nc r="B5" t="inlineStr">
      <is>
        <t>1, 3, 6, 7, 8, 9, 10, 12, 16, 19, 20</t>
      </is>
    </nc>
  </rcc>
  <rcc rId="7579" sId="3" numFmtId="13">
    <oc r="B4">
      <v>0.29411764705882354</v>
    </oc>
    <nc r="B4">
      <v>0.35294117647058826</v>
    </nc>
  </rcc>
  <rcc rId="7580" sId="3" numFmtId="13">
    <oc r="B3">
      <v>0.29411764705882354</v>
    </oc>
    <nc r="B3">
      <v>0.35294117647058826</v>
    </nc>
  </rcc>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M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J5"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M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581" sId="3">
    <oc r="D5" t="inlineStr">
      <is>
        <t>1, 4, 7, 16, 19, 22, 25, 2, 5, 8, 17, 20, 26, 3, 6, 9, 21, 27, 10, 13, 28, 31, 34, 37, 14, 29, 32, 38, 12, 15, 30, 33, 40, 41, 42, 43, 44, 45, 46, 47, 48, 49</t>
      </is>
    </oc>
    <nc r="D5" t="inlineStr">
      <is>
        <t>1, 4, 16, 19, 22, 25, 2, 5, 8, 17, 20, 26, 3, 6, 9, 21, 27, 10, 13, 28, 31, 34, 37, 14, 29, 32, 38, 12, 15, 30, 33, 40, 41, 42, 43, 44, 45, 46, 47, 48, 49</t>
      </is>
    </nc>
  </rcc>
  <rcc rId="7582" sId="3" numFmtId="13">
    <oc r="D4">
      <v>0.14285714285714285</v>
    </oc>
    <nc r="D4">
      <v>0.16326530612244897</v>
    </nc>
  </rcc>
  <rcc rId="7583" sId="3" numFmtId="13">
    <oc r="D3">
      <v>0.14285714285714285</v>
    </oc>
    <nc r="D3">
      <v>0.16326530612244897</v>
    </nc>
  </rcc>
  <rfmt sheetId="4" sqref="H21" start="0" length="0">
    <dxf>
      <fill>
        <patternFill>
          <bgColor rgb="FFFFFFFF"/>
        </patternFill>
      </fill>
    </dxf>
  </rfmt>
  <rfmt sheetId="4" sqref="H22"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7584" sId="3">
    <oc r="E5" t="inlineStr">
      <is>
        <t>1, 3, 5, 2, 4, 6, 7, 9, 11, 15, 8, 10, 12, 16, 13, 14, 19, 21, 25, 20, 22, 26, 23, 24, 27, 29, 30, 31, 32, 33, 34, 35, 36, 37, 38, 40, 39, 41, 42, 44, 45, 46, 47, 49, 50, 53</t>
      </is>
    </oc>
    <nc r="E5" t="inlineStr">
      <is>
        <t>1, 3, 5, 2, 4, 6, 7, 9, 11, 15, 8, 10, 12, 16, 13, 14, 19, 21, 20, 22, 26, 23, 24, 27, 29, 30, 31, 32, 33, 34, 35, 36, 37, 38, 40, 39, 41, 42, 44, 45, 46, 47, 49, 50, 53</t>
      </is>
    </nc>
  </rcc>
  <rfmt sheetId="4" sqref="J33" start="0" length="0">
    <dxf>
      <fill>
        <patternFill>
          <bgColor rgb="FFCCFFCC"/>
        </patternFill>
      </fill>
    </dxf>
  </rfmt>
  <rcc rId="7585" sId="3" numFmtId="13">
    <oc r="E4">
      <v>0.13207547169811321</v>
    </oc>
    <nc r="E4">
      <v>0.15094339622641509</v>
    </nc>
  </rcc>
  <rcc rId="7586" sId="3" numFmtId="13">
    <oc r="E3">
      <v>0.13207547169811321</v>
    </oc>
    <nc r="E3">
      <v>0.15094339622641509</v>
    </nc>
  </rcc>
  <rfmt sheetId="4" sqref="P16" start="0" length="0">
    <dxf>
      <fill>
        <patternFill>
          <bgColor rgb="FFFFFFFF"/>
        </patternFill>
      </fill>
    </dxf>
  </rfmt>
  <rfmt sheetId="4" sqref="N17"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P16" start="0" length="0">
    <dxf>
      <fill>
        <patternFill>
          <bgColor rgb="FFCCFFCC"/>
        </patternFill>
      </fill>
    </dxf>
  </rfmt>
  <rfmt sheetId="4" sqref="N17" start="0" length="0">
    <dxf>
      <fill>
        <patternFill>
          <bgColor rgb="FFCCFFCC"/>
        </patternFill>
      </fill>
    </dxf>
  </rfmt>
  <rcc rId="7587" sId="3">
    <oc r="F5" t="inlineStr">
      <is>
        <t>1, 3, 4, 6, 7, 9, 12</t>
      </is>
    </oc>
    <nc r="F5" t="inlineStr">
      <is>
        <t>1, 3, 4, 6, 7, 9</t>
      </is>
    </nc>
  </rcc>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cc rId="7588" sId="3" numFmtId="13">
    <oc r="F4">
      <v>0.5</v>
    </oc>
    <nc r="F4">
      <v>0.5714285714285714</v>
    </nc>
  </rcc>
  <rcc rId="7589" sId="3" numFmtId="13">
    <oc r="F3">
      <v>0.5</v>
    </oc>
    <nc r="F3">
      <v>0.5714285714285714</v>
    </nc>
  </rcc>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S36"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cc rId="7590" sId="3">
    <oc r="G5" t="inlineStr">
      <is>
        <t>5, 7, 6, 8, 1, 2, 10, 11, 12, 27, 28, 25, 37, 29, 30, 19, 18, 20, 13, 14, 16, 21, 22, 23, 24, 33, 34, 31, 35, 36</t>
      </is>
    </oc>
    <nc r="G5" t="inlineStr">
      <is>
        <t>5, 7, 6, 8, 1, 2, 10, 11, 12, 27, 28, 25, 37, 29, 30, 19, 18, 20, 13, 14, 16, 21, 22, 24, 33, 34, 31, 35, 36</t>
      </is>
    </nc>
  </rcc>
  <rcc rId="7591" sId="3" numFmtId="13">
    <oc r="G4">
      <v>0.1891891891891892</v>
    </oc>
    <nc r="G4">
      <v>0.21621621621621623</v>
    </nc>
  </rcc>
  <rcc rId="7592" sId="3" numFmtId="13">
    <oc r="G3">
      <v>0.1891891891891892</v>
    </oc>
    <nc r="G3">
      <v>0.21621621621621623</v>
    </nc>
  </rcc>
  <rcc rId="7593" sId="3">
    <oc r="H5" t="inlineStr">
      <is>
        <t>5, 7, 6, 8, 1, 2, 10, 11, 12, 27, 28, 25, 37, 29, 30, 19, 18, 20, 13, 14, 16, 21, 22, 23, 24, 33, 34, 31, 35, 36</t>
      </is>
    </oc>
    <nc r="H5" t="inlineStr">
      <is>
        <t>5, 7, 6, 8, 1, 2, 10, 11, 12, 27, 28, 25, 37, 29, 30, 19, 18, 20, 13, 14, 16, 21, 22, 24, 33, 34, 31, 35, 36</t>
      </is>
    </nc>
  </rcc>
  <rcc rId="7594" sId="3" numFmtId="13">
    <oc r="H4">
      <v>0.1891891891891892</v>
    </oc>
    <nc r="H4">
      <v>0.21621621621621623</v>
    </nc>
  </rcc>
  <rcc rId="7595" sId="3" numFmtId="13">
    <oc r="H3">
      <v>0.1891891891891892</v>
    </oc>
    <nc r="H3">
      <v>0.21621621621621623</v>
    </nc>
  </rcc>
  <rcc rId="7596" sId="3">
    <oc r="I5" t="inlineStr">
      <is>
        <t>5, 7, 6, 8, 1, 2, 10, 11, 12, 27, 28, 25, 37, 29, 30, 19, 18, 20, 13, 14, 16, 21, 22, 23, 24, 33, 34, 31, 35, 36</t>
      </is>
    </oc>
    <nc r="I5" t="inlineStr">
      <is>
        <t>5, 7, 6, 8, 1, 2, 10, 11, 12, 27, 28, 25, 37, 29, 30, 19, 18, 20, 13, 14, 16, 21, 22, 24, 33, 34, 31, 35, 36</t>
      </is>
    </nc>
  </rcc>
  <rcc rId="7597" sId="3" numFmtId="13">
    <oc r="I4">
      <v>0.1891891891891892</v>
    </oc>
    <nc r="I4">
      <v>0.21621621621621623</v>
    </nc>
  </rcc>
  <rcc rId="7598" sId="3" numFmtId="13">
    <oc r="I3">
      <v>0.1891891891891892</v>
    </oc>
    <nc r="I3">
      <v>0.21621621621621623</v>
    </nc>
  </rcc>
  <rcc rId="7599" sId="3">
    <oc r="J5" t="inlineStr">
      <is>
        <t>5, 7, 6, 8, 1, 2, 10, 11, 12, 27, 28, 25, 37, 29, 30, 19, 18, 20, 13, 14, 16, 21, 22, 23, 24, 33, 34, 31, 35, 36</t>
      </is>
    </oc>
    <nc r="J5" t="inlineStr">
      <is>
        <t>5, 7, 6, 8, 1, 2, 10, 11, 12, 27, 28, 25, 37, 29, 30, 19, 18, 20, 13, 14, 16, 21, 22, 24, 33, 34, 31, 35, 36</t>
      </is>
    </nc>
  </rcc>
  <rcc rId="7600" sId="3" numFmtId="13">
    <oc r="J4">
      <v>0.1891891891891892</v>
    </oc>
    <nc r="J4">
      <v>0.21621621621621623</v>
    </nc>
  </rcc>
  <rcc rId="7601" sId="3" numFmtId="13">
    <oc r="J3">
      <v>0.1891891891891892</v>
    </oc>
    <nc r="J3">
      <v>0.21621621621621623</v>
    </nc>
  </rcc>
  <rcc rId="7602" sId="3">
    <oc r="K5" t="inlineStr">
      <is>
        <t>5, 6, 1, 3, 2, 4, 9, 11, 12, 27, 25, 26, 37, 29, 30, 17, 20, 13, 15, 14, 16, 21, 22, 23, 24, 33, 31, 32, 35, 36</t>
      </is>
    </oc>
    <nc r="K5" t="inlineStr">
      <is>
        <t>5, 6, 1, 3, 2, 4, 9, 11, 12, 27, 25, 26, 37, 29, 30, 17, 20, 13, 15, 14, 16, 21, 22, 23, 33, 31, 32, 35, 36</t>
      </is>
    </nc>
  </rcc>
  <rcc rId="7603" sId="3" numFmtId="13">
    <oc r="K4">
      <v>0.1891891891891892</v>
    </oc>
    <nc r="K4">
      <v>0.21621621621621623</v>
    </nc>
  </rcc>
  <rcc rId="7604" sId="3" numFmtId="13">
    <oc r="K3">
      <v>0.1891891891891892</v>
    </oc>
    <nc r="K3">
      <v>0.21621621621621623</v>
    </nc>
  </rcc>
  <rcc rId="7605" sId="3">
    <oc r="L5" t="inlineStr">
      <is>
        <t>5, 6, 1, 3, 2, 4, 9, 11, 12, 27, 25, 26, 37, 29, 30, 17, 20, 13, 15, 14, 16, 21, 22, 23, 24, 33, 31, 32, 35, 36</t>
      </is>
    </oc>
    <nc r="L5" t="inlineStr">
      <is>
        <t>5, 6, 1, 3, 2, 4, 9, 11, 12, 27, 25, 26, 37, 29, 30, 17, 20, 13, 15, 14, 16, 21, 22, 23, 33, 31, 32, 35, 36</t>
      </is>
    </nc>
  </rcc>
  <rcc rId="7606" sId="3" numFmtId="13">
    <oc r="L4">
      <v>0.1891891891891892</v>
    </oc>
    <nc r="L4">
      <v>0.21621621621621623</v>
    </nc>
  </rcc>
  <rcc rId="7607" sId="3" numFmtId="13">
    <oc r="L3">
      <v>0.1891891891891892</v>
    </oc>
    <nc r="L3">
      <v>0.21621621621621623</v>
    </nc>
  </rcc>
  <rcc rId="7608" sId="3">
    <oc r="M5" t="inlineStr">
      <is>
        <t>5, 6, 1, 3, 2, 4, 9, 11, 12, 27, 25, 26, 37, 29, 30, 17, 20, 13, 15, 14, 16, 21, 22, 23, 24, 33, 31, 32, 35, 36</t>
      </is>
    </oc>
    <nc r="M5" t="inlineStr">
      <is>
        <t>5, 6, 1, 3, 2, 4, 9, 11, 12, 27, 25, 26, 37, 29, 30, 17, 20, 13, 15, 14, 16, 21, 22, 23, 33, 31, 32, 35, 36</t>
      </is>
    </nc>
  </rcc>
  <rcc rId="7609" sId="3" numFmtId="13">
    <oc r="M4">
      <v>0.1891891891891892</v>
    </oc>
    <nc r="M4">
      <v>0.21621621621621623</v>
    </nc>
  </rcc>
  <rcc rId="7610" sId="3" numFmtId="13">
    <oc r="M3">
      <v>0.1891891891891892</v>
    </oc>
    <nc r="M3">
      <v>0.21621621621621623</v>
    </nc>
  </rcc>
  <rcc rId="7611" sId="3">
    <oc r="N5" t="inlineStr">
      <is>
        <t>5, 6, 1, 3, 2, 4, 9, 11, 12, 27, 25, 26, 37, 29, 30, 17, 20, 13, 15, 14, 16, 21, 22, 23, 24, 33, 31, 32, 35, 36</t>
      </is>
    </oc>
    <nc r="N5" t="inlineStr">
      <is>
        <t>5, 6, 1, 3, 2, 4, 9, 11, 12, 27, 25, 26, 37, 29, 30, 17, 20, 13, 15, 14, 16, 21, 22, 23, 33, 31, 32, 35, 36</t>
      </is>
    </nc>
  </rcc>
  <rcc rId="7612" sId="3" numFmtId="13">
    <oc r="N4">
      <v>0.1891891891891892</v>
    </oc>
    <nc r="N4">
      <v>0.21621621621621623</v>
    </nc>
  </rcc>
  <rcc rId="7613" sId="3" numFmtId="13">
    <oc r="N3">
      <v>0.1891891891891892</v>
    </oc>
    <nc r="N3">
      <v>0.21621621621621623</v>
    </nc>
  </rcc>
  <rfmt sheetId="4" sqref="S6" start="0" length="0">
    <dxf>
      <fill>
        <patternFill>
          <bgColor rgb="FFFFFFFF"/>
        </patternFill>
      </fill>
    </dxf>
  </rfmt>
  <rfmt sheetId="4" sqref="T6"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cc rId="7614" sId="3">
    <oc r="O5" t="inlineStr">
      <is>
        <t>1, 2, 3</t>
      </is>
    </oc>
    <nc r="O5" t="inlineStr">
      <is>
        <t>1, 2</t>
      </is>
    </nc>
  </rcc>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cc rId="7615" sId="3" numFmtId="13">
    <oc r="O4">
      <v>0.625</v>
    </oc>
    <nc r="O4">
      <v>0.75</v>
    </nc>
  </rcc>
  <rcc rId="7616" sId="3" numFmtId="13">
    <oc r="O3">
      <v>0.625</v>
    </oc>
    <nc r="O3">
      <v>0.75</v>
    </nc>
  </rcc>
  <rfmt sheetId="4" sqref="R10"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cc rId="7617" sId="3">
    <oc r="P5" t="inlineStr">
      <is>
        <t>1, 3, 2</t>
      </is>
    </oc>
    <nc r="P5" t="inlineStr">
      <is>
        <t>1, 3</t>
      </is>
    </nc>
  </rcc>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cc rId="7618" sId="3" numFmtId="13">
    <oc r="P4">
      <v>0.5714285714285714</v>
    </oc>
    <nc r="P4">
      <v>0.7142857142857143</v>
    </nc>
  </rcc>
  <rcc rId="7619" sId="3" numFmtId="13">
    <oc r="P3">
      <v>0.5714285714285714</v>
    </oc>
    <nc r="P3">
      <v>0.7142857142857143</v>
    </nc>
  </rcc>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cc rId="7620" sId="3" numFmtId="13">
    <oc r="T4">
      <v>0.5</v>
    </oc>
    <nc r="T4">
      <v>1</v>
    </nc>
  </rcc>
  <rcc rId="7621" sId="3" numFmtId="13">
    <oc r="T3">
      <v>0.5</v>
    </oc>
    <nc r="T3">
      <v>1</v>
    </nc>
  </rcc>
  <rfmt sheetId="4" sqref="H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J39" start="0" length="0">
    <dxf>
      <fill>
        <patternFill>
          <bgColor rgb="FFCCFFCC"/>
        </patternFill>
      </fill>
    </dxf>
  </rfmt>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15" start="0" length="0">
    <dxf>
      <font>
        <color rgb="FF000000"/>
        <name val="Calibri"/>
        <scheme val="minor"/>
      </font>
      <border outline="0">
        <left style="thin">
          <color indexed="64"/>
        </left>
        <top style="thin">
          <color indexed="64"/>
        </top>
      </border>
    </dxf>
  </rfmt>
  <rfmt sheetId="3" sqref="B15" start="0" length="0">
    <dxf>
      <font>
        <sz val="9"/>
        <color indexed="8"/>
        <name val="Calibri"/>
        <scheme val="minor"/>
      </font>
      <fill>
        <patternFill>
          <bgColor rgb="FFCCFFCC"/>
        </patternFill>
      </fill>
    </dxf>
  </rfmt>
  <rfmt sheetId="3" sqref="C15" start="0" length="0">
    <dxf>
      <font>
        <sz val="9"/>
        <color indexed="8"/>
        <name val="Calibri"/>
        <scheme val="minor"/>
      </font>
      <fill>
        <patternFill>
          <bgColor rgb="FFCCFFCC"/>
        </patternFill>
      </fill>
    </dxf>
  </rfmt>
  <rfmt sheetId="3" sqref="D15" start="0" length="0">
    <dxf>
      <font>
        <sz val="9"/>
        <color indexed="8"/>
        <name val="Calibri"/>
        <scheme val="minor"/>
      </font>
      <fill>
        <patternFill>
          <bgColor rgb="FFCCFFCC"/>
        </patternFill>
      </fill>
    </dxf>
  </rfmt>
  <rfmt sheetId="3" sqref="E15" start="0" length="0">
    <dxf>
      <font>
        <sz val="9"/>
        <color indexed="8"/>
        <name val="Calibri"/>
        <scheme val="minor"/>
      </font>
      <fill>
        <patternFill>
          <bgColor rgb="FFCCFFCC"/>
        </patternFill>
      </fill>
    </dxf>
  </rfmt>
  <rfmt sheetId="3" s="1" sqref="F15" start="0" length="0">
    <dxf>
      <font>
        <sz val="10"/>
        <color indexed="8"/>
        <name val="Calibri"/>
        <scheme val="minor"/>
      </font>
      <fill>
        <patternFill>
          <bgColor rgb="FFCCFFCC"/>
        </patternFill>
      </fill>
      <alignment wrapText="1" readingOrder="0"/>
    </dxf>
  </rfmt>
  <rfmt sheetId="3" sqref="G15" start="0" length="0">
    <dxf>
      <fill>
        <patternFill>
          <bgColor rgb="FFCCFFCC"/>
        </patternFill>
      </fill>
    </dxf>
  </rfmt>
  <rfmt sheetId="3" sqref="H15" start="0" length="0">
    <dxf>
      <fill>
        <patternFill>
          <bgColor rgb="FFCCFFCC"/>
        </patternFill>
      </fill>
    </dxf>
  </rfmt>
  <rfmt sheetId="3" sqref="I15" start="0" length="0">
    <dxf>
      <fill>
        <patternFill>
          <bgColor rgb="FFCCFFCC"/>
        </patternFill>
      </fill>
    </dxf>
  </rfmt>
  <rfmt sheetId="3" sqref="J15" start="0" length="0">
    <dxf>
      <fill>
        <patternFill>
          <bgColor rgb="FFCCFFCC"/>
        </patternFill>
      </fill>
    </dxf>
  </rfmt>
  <rfmt sheetId="3" sqref="K15" start="0" length="0">
    <dxf>
      <fill>
        <patternFill>
          <bgColor rgb="FFCCFFCC"/>
        </patternFill>
      </fill>
    </dxf>
  </rfmt>
  <rfmt sheetId="3" sqref="L15" start="0" length="0">
    <dxf>
      <fill>
        <patternFill>
          <bgColor rgb="FFCCFFCC"/>
        </patternFill>
      </fill>
    </dxf>
  </rfmt>
  <rfmt sheetId="3" sqref="M15" start="0" length="0">
    <dxf>
      <fill>
        <patternFill>
          <bgColor rgb="FFCCFFCC"/>
        </patternFill>
      </fill>
    </dxf>
  </rfmt>
  <rfmt sheetId="3" sqref="N15" start="0" length="0">
    <dxf>
      <fill>
        <patternFill>
          <bgColor rgb="FFCCFFCC"/>
        </patternFill>
      </fill>
    </dxf>
  </rfmt>
  <rfmt sheetId="3" sqref="O15" start="0" length="0">
    <dxf>
      <font>
        <sz val="9"/>
        <color indexed="8"/>
        <name val="Calibri"/>
        <scheme val="minor"/>
      </font>
      <fill>
        <patternFill>
          <bgColor rgb="FFCCFFCC"/>
        </patternFill>
      </fill>
    </dxf>
  </rfmt>
  <rfmt sheetId="3" sqref="P15" start="0" length="0">
    <dxf>
      <font>
        <sz val="9"/>
        <color indexed="8"/>
        <name val="Calibri"/>
        <scheme val="minor"/>
      </font>
      <fill>
        <patternFill>
          <bgColor rgb="FFCCFFCC"/>
        </patternFill>
      </fill>
    </dxf>
  </rfmt>
  <rfmt sheetId="3" sqref="Q15" start="0" length="0">
    <dxf>
      <font>
        <sz val="9"/>
        <color indexed="8"/>
        <name val="Calibri"/>
        <scheme val="minor"/>
      </font>
      <fill>
        <patternFill>
          <bgColor rgb="FFCCFFCC"/>
        </patternFill>
      </fill>
    </dxf>
  </rfmt>
  <rfmt sheetId="3" sqref="R15" start="0" length="0">
    <dxf>
      <font>
        <sz val="9"/>
        <color indexed="8"/>
        <name val="Calibri"/>
        <scheme val="minor"/>
      </font>
      <fill>
        <patternFill>
          <bgColor rgb="FFCCFFCC"/>
        </patternFill>
      </fill>
    </dxf>
  </rfmt>
  <rcc rId="7622" sId="3" odxf="1" dxf="1">
    <nc r="S15">
      <v>1</v>
    </nc>
    <odxf>
      <font>
        <sz val="9"/>
        <color indexed="8"/>
        <name val="Calibri"/>
        <scheme val="none"/>
      </font>
      <fill>
        <patternFill>
          <bgColor theme="0"/>
        </patternFill>
      </fill>
    </odxf>
    <ndxf>
      <font>
        <sz val="9"/>
        <color indexed="8"/>
        <name val="Calibri"/>
        <scheme val="minor"/>
      </font>
      <fill>
        <patternFill>
          <bgColor rgb="FFCCFFCC"/>
        </patternFill>
      </fill>
    </ndxf>
  </rcc>
  <rcc rId="7623" sId="3" odxf="1" dxf="1">
    <nc r="T15">
      <v>1</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15"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7624" sId="3" odxf="1" dxf="1">
    <nc r="V15"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625" sId="3" odxf="1" dxf="1">
    <nc r="W15" t="inlineStr">
      <is>
        <t>C.Pass</t>
      </is>
    </nc>
    <odxf>
      <font>
        <sz val="9"/>
        <color indexed="8"/>
        <name val="Calibri"/>
        <scheme val="none"/>
      </font>
      <fill>
        <patternFill>
          <bgColor theme="0"/>
        </patternFill>
      </fill>
    </odxf>
    <ndxf>
      <font>
        <sz val="9"/>
        <color indexed="8"/>
        <name val="Times New Roman"/>
        <scheme val="none"/>
      </font>
      <fill>
        <patternFill>
          <bgColor rgb="FFFFFF99"/>
        </patternFill>
      </fill>
    </ndxf>
  </rcc>
  <rcc rId="7626" sId="3" numFmtId="19">
    <nc r="A15">
      <v>41702</v>
    </nc>
  </rcc>
  <rcc rId="7627" sId="3">
    <nc r="B15">
      <v>1</v>
    </nc>
  </rcc>
  <rcc rId="7628" sId="3">
    <nc r="C15">
      <v>1</v>
    </nc>
  </rcc>
  <rcc rId="7629" sId="3">
    <nc r="D15">
      <v>4</v>
    </nc>
  </rcc>
  <rcc rId="7630" sId="3">
    <nc r="E15">
      <v>24</v>
    </nc>
  </rcc>
  <rcc rId="7631" sId="3">
    <nc r="F15">
      <v>3</v>
    </nc>
  </rcc>
  <rcc rId="7632" sId="3">
    <nc r="G15">
      <v>21</v>
    </nc>
  </rcc>
  <rcc rId="7633" sId="3">
    <nc r="H15">
      <v>21</v>
    </nc>
  </rcc>
  <rcc rId="7634" sId="3">
    <nc r="I15">
      <v>21</v>
    </nc>
  </rcc>
  <rcc rId="7635" sId="3">
    <nc r="J15">
      <v>21</v>
    </nc>
  </rcc>
  <rcc rId="7636" sId="3">
    <nc r="K15">
      <v>22</v>
    </nc>
  </rcc>
  <rcc rId="7637" sId="3">
    <nc r="L15">
      <v>22</v>
    </nc>
  </rcc>
  <rcc rId="7638" sId="3">
    <oc r="M15" t="inlineStr">
      <is>
        <t>`</t>
      </is>
    </oc>
    <nc r="M15">
      <v>22</v>
    </nc>
  </rcc>
  <rcc rId="7639" sId="3">
    <nc r="N15">
      <v>22</v>
    </nc>
  </rcc>
  <rcc rId="7640" sId="3">
    <nc r="O15">
      <v>4</v>
    </nc>
  </rcc>
  <rcc rId="7641" sId="3">
    <nc r="Q15">
      <v>4</v>
    </nc>
  </rcc>
  <rcc rId="7642" sId="3">
    <nc r="P15">
      <v>2</v>
    </nc>
  </rcc>
  <rcc rId="7643" sId="3">
    <nc r="R15">
      <v>0</v>
    </nc>
  </rcc>
  <rcc rId="7644" sId="3">
    <nc r="U15">
      <v>6</v>
    </nc>
  </rcc>
  <rcc rId="7645" sId="3">
    <nc r="X15" t="inlineStr">
      <is>
        <t xml:space="preserve">All units have valid video and audio output.
VBI warnings on all due to known setup issue.
</t>
      </is>
    </nc>
  </rcc>
  <rcc rId="7646" sId="3">
    <oc r="Q5">
      <v>4</v>
    </oc>
    <nc r="Q5"/>
  </rcc>
  <rcc rId="7647" sId="4" numFmtId="19">
    <oc r="I2">
      <v>41701</v>
    </oc>
    <nc r="I2">
      <v>41702</v>
    </nc>
  </rcc>
  <rfmt sheetId="4" sqref="B6"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cc rId="7648" sId="3">
    <oc r="B5" t="inlineStr">
      <is>
        <t>1, 3, 6, 7, 8, 9, 10, 12, 16, 19, 20</t>
      </is>
    </oc>
    <nc r="B5" t="inlineStr">
      <is>
        <t>3, 6, 7, 8, 9, 10, 12, 16, 19, 20</t>
      </is>
    </nc>
  </rcc>
  <rcc rId="7649" sId="3" numFmtId="13">
    <oc r="B4">
      <v>0.35294117647058826</v>
    </oc>
    <nc r="B4">
      <v>0.41176470588235292</v>
    </nc>
  </rcc>
  <rcc rId="7650" sId="3" numFmtId="13">
    <oc r="B3">
      <v>0.35294117647058826</v>
    </oc>
    <nc r="B3">
      <v>0.41176470588235292</v>
    </nc>
  </rcc>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cc rId="7651" sId="3">
    <oc r="C5" t="inlineStr">
      <is>
        <t>1, 2, 3, 6, 7, 9, 10, 11</t>
      </is>
    </oc>
    <nc r="C5" t="inlineStr">
      <is>
        <t>2, 3, 6, 7, 9, 10, 11</t>
      </is>
    </nc>
  </rcc>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cc rId="7652" sId="3" numFmtId="13">
    <oc r="C4">
      <v>0.33333333333333331</v>
    </oc>
    <nc r="C4">
      <v>0.41666666666666669</v>
    </nc>
  </rcc>
  <rcc rId="7653" sId="3" numFmtId="13">
    <oc r="C3">
      <v>0.33333333333333331</v>
    </oc>
    <nc r="C3">
      <v>0.41666666666666669</v>
    </nc>
  </rcc>
  <rfmt sheetId="4" sqref="J5"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M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M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654" sId="3">
    <oc r="D5" t="inlineStr">
      <is>
        <t>1, 4, 16, 19, 22, 25, 2, 5, 8, 17, 20, 26, 3, 6, 9, 21, 27, 10, 13, 28, 31, 34, 37, 14, 29, 32, 38, 12, 15, 30, 33, 40, 41, 42, 43, 44, 45, 46, 47, 48, 49</t>
      </is>
    </oc>
    <nc r="D5" t="inlineStr">
      <is>
        <t>1, 16, 19, 22, 25, 2, 5, 8, 17, 20, 26, 3, 6, 9, 21, 27, 10, 13, 28, 31, 34, 37, 14, 29, 32, 38, 12, 15, 30, 33, 40, 41, 42, 43, 44, 45, 46, 47, 48, 49</t>
      </is>
    </nc>
  </rcc>
  <rcc rId="7655" sId="3" numFmtId="13">
    <oc r="D4">
      <v>0.16326530612244897</v>
    </oc>
    <nc r="D4">
      <v>0.18367346938775511</v>
    </nc>
  </rcc>
  <rcc rId="7656" sId="3" numFmtId="13">
    <oc r="D3">
      <v>0.16326530612244897</v>
    </oc>
    <nc r="D3">
      <v>0.18367346938775511</v>
    </nc>
  </rcc>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J24"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7657" sId="3">
    <oc r="E5" t="inlineStr">
      <is>
        <t>1, 3, 5, 2, 4, 6, 7, 9, 11, 15, 8, 10, 12, 16, 13, 14, 19, 21, 20, 22, 26, 23, 24, 27, 29, 30, 31, 32, 33, 34, 35, 36, 37, 38, 40, 39, 41, 42, 44, 45, 46, 47, 49, 50, 53</t>
      </is>
    </oc>
    <nc r="E5" t="inlineStr">
      <is>
        <t>1, 3, 5, 2, 4, 6, 7, 9, 11, 15, 8, 10, 12, 16, 13, 14, 19, 21, 20, 22, 26, 23, 27, 29, 30, 31, 32, 33, 34, 35, 36, 37, 38, 40, 39, 41, 42, 44, 45, 46, 47, 49, 50, 53</t>
      </is>
    </nc>
  </rcc>
  <rfmt sheetId="4" sqref="J33" start="0" length="0">
    <dxf>
      <fill>
        <patternFill>
          <bgColor rgb="FFCCFFCC"/>
        </patternFill>
      </fill>
    </dxf>
  </rfmt>
  <rcc rId="7658" sId="3" numFmtId="13">
    <oc r="E4">
      <v>0.15094339622641509</v>
    </oc>
    <nc r="E4">
      <v>0.16981132075471697</v>
    </nc>
  </rcc>
  <rcc rId="7659" sId="3" numFmtId="13">
    <oc r="E3">
      <v>0.15094339622641509</v>
    </oc>
    <nc r="E3">
      <v>0.16981132075471697</v>
    </nc>
  </rcc>
  <rfmt sheetId="4" sqref="P16" start="0" length="0">
    <dxf>
      <fill>
        <patternFill>
          <bgColor rgb="FFFFFFFF"/>
        </patternFill>
      </fill>
    </dxf>
  </rfmt>
  <rfmt sheetId="4" sqref="N17"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cc rId="7660" sId="3">
    <oc r="F5" t="inlineStr">
      <is>
        <t>1, 3, 4, 6, 7, 9</t>
      </is>
    </oc>
    <nc r="F5" t="inlineStr">
      <is>
        <t>1, 4, 6, 7, 9</t>
      </is>
    </nc>
  </rcc>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cc rId="7661" sId="3" numFmtId="13">
    <oc r="F4">
      <v>0.5714285714285714</v>
    </oc>
    <nc r="F4">
      <v>0.6428571428571429</v>
    </nc>
  </rcc>
  <rcc rId="7662" sId="3" numFmtId="13">
    <oc r="F3">
      <v>0.5714285714285714</v>
    </oc>
    <nc r="F3">
      <v>0.6428571428571429</v>
    </nc>
  </rcc>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S36"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cc rId="7663" sId="3">
    <oc r="G5" t="inlineStr">
      <is>
        <t>5, 7, 6, 8, 1, 2, 10, 11, 12, 27, 28, 25, 37, 29, 30, 19, 18, 20, 13, 14, 16, 21, 22, 24, 33, 34, 31, 35, 36</t>
      </is>
    </oc>
    <nc r="G5" t="inlineStr">
      <is>
        <t>5, 7, 6, 8, 1, 2, 10, 11, 12, 27, 28, 25, 37, 29, 30, 19, 18, 20, 13, 14, 16, 22, 24, 33, 34, 31, 35, 36</t>
      </is>
    </nc>
  </rcc>
  <rcc rId="7664" sId="3" numFmtId="13">
    <oc r="G4">
      <v>0.21621621621621623</v>
    </oc>
    <nc r="G4">
      <v>0.24324324324324326</v>
    </nc>
  </rcc>
  <rcc rId="7665" sId="3" numFmtId="13">
    <oc r="G3">
      <v>0.21621621621621623</v>
    </oc>
    <nc r="G3">
      <v>0.24324324324324326</v>
    </nc>
  </rcc>
  <rcc rId="7666" sId="3">
    <oc r="H5" t="inlineStr">
      <is>
        <t>5, 7, 6, 8, 1, 2, 10, 11, 12, 27, 28, 25, 37, 29, 30, 19, 18, 20, 13, 14, 16, 21, 22, 24, 33, 34, 31, 35, 36</t>
      </is>
    </oc>
    <nc r="H5" t="inlineStr">
      <is>
        <t>5, 7, 6, 8, 1, 2, 10, 11, 12, 27, 28, 25, 37, 29, 30, 19, 18, 20, 13, 14, 16, 22, 24, 33, 34, 31, 35, 36</t>
      </is>
    </nc>
  </rcc>
  <rcc rId="7667" sId="3" numFmtId="13">
    <oc r="H4">
      <v>0.21621621621621623</v>
    </oc>
    <nc r="H4">
      <v>0.24324324324324326</v>
    </nc>
  </rcc>
  <rcc rId="7668" sId="3" numFmtId="13">
    <oc r="H3">
      <v>0.21621621621621623</v>
    </oc>
    <nc r="H3">
      <v>0.24324324324324326</v>
    </nc>
  </rcc>
  <rcc rId="7669" sId="3">
    <oc r="I5" t="inlineStr">
      <is>
        <t>5, 7, 6, 8, 1, 2, 10, 11, 12, 27, 28, 25, 37, 29, 30, 19, 18, 20, 13, 14, 16, 21, 22, 24, 33, 34, 31, 35, 36</t>
      </is>
    </oc>
    <nc r="I5" t="inlineStr">
      <is>
        <t>5, 7, 6, 8, 1, 2, 10, 11, 12, 27, 28, 25, 37, 29, 30, 19, 18, 20, 13, 14, 16, 22, 24, 33, 34, 31, 35, 36</t>
      </is>
    </nc>
  </rcc>
  <rcc rId="7670" sId="3" numFmtId="13">
    <oc r="I4">
      <v>0.21621621621621623</v>
    </oc>
    <nc r="I4">
      <v>0.24324324324324326</v>
    </nc>
  </rcc>
  <rcc rId="7671" sId="3" numFmtId="13">
    <oc r="I3">
      <v>0.21621621621621623</v>
    </oc>
    <nc r="I3">
      <v>0.24324324324324326</v>
    </nc>
  </rcc>
  <rcc rId="7672" sId="3">
    <oc r="J5" t="inlineStr">
      <is>
        <t>5, 7, 6, 8, 1, 2, 10, 11, 12, 27, 28, 25, 37, 29, 30, 19, 18, 20, 13, 14, 16, 21, 22, 24, 33, 34, 31, 35, 36</t>
      </is>
    </oc>
    <nc r="J5" t="inlineStr">
      <is>
        <t>5, 7, 6, 8, 1, 2, 10, 11, 12, 27, 28, 25, 37, 29, 30, 19, 18, 20, 13, 14, 16, 22, 24, 33, 34, 31, 35, 36</t>
      </is>
    </nc>
  </rcc>
  <rcc rId="7673" sId="3" numFmtId="13">
    <oc r="J4">
      <v>0.21621621621621623</v>
    </oc>
    <nc r="J4">
      <v>0.24324324324324326</v>
    </nc>
  </rcc>
  <rcc rId="7674" sId="3" numFmtId="13">
    <oc r="J3">
      <v>0.21621621621621623</v>
    </oc>
    <nc r="J3">
      <v>0.24324324324324326</v>
    </nc>
  </rcc>
  <rcc rId="7675" sId="3">
    <oc r="K5" t="inlineStr">
      <is>
        <t>5, 6, 1, 3, 2, 4, 9, 11, 12, 27, 25, 26, 37, 29, 30, 17, 20, 13, 15, 14, 16, 21, 22, 23, 33, 31, 32, 35, 36</t>
      </is>
    </oc>
    <nc r="K5" t="inlineStr">
      <is>
        <t>5, 6, 1, 3, 2, 4, 9, 11, 12, 27, 25, 26, 37, 29, 30, 17, 20, 13, 15, 14, 16, 21, 23, 33, 31, 32, 35, 36</t>
      </is>
    </nc>
  </rcc>
  <rcc rId="7676" sId="3" numFmtId="13">
    <oc r="K4">
      <v>0.21621621621621623</v>
    </oc>
    <nc r="K4">
      <v>0.24324324324324326</v>
    </nc>
  </rcc>
  <rcc rId="7677" sId="3" numFmtId="13">
    <oc r="K3">
      <v>0.21621621621621623</v>
    </oc>
    <nc r="K3">
      <v>0.24324324324324326</v>
    </nc>
  </rcc>
  <rcc rId="7678" sId="3">
    <oc r="L5" t="inlineStr">
      <is>
        <t>5, 6, 1, 3, 2, 4, 9, 11, 12, 27, 25, 26, 37, 29, 30, 17, 20, 13, 15, 14, 16, 21, 22, 23, 33, 31, 32, 35, 36</t>
      </is>
    </oc>
    <nc r="L5" t="inlineStr">
      <is>
        <t>5, 6, 1, 3, 2, 4, 9, 11, 12, 27, 25, 26, 37, 29, 30, 17, 20, 13, 15, 14, 16, 21, 23, 33, 31, 32, 35, 36</t>
      </is>
    </nc>
  </rcc>
  <rcc rId="7679" sId="3" numFmtId="13">
    <oc r="L4">
      <v>0.21621621621621623</v>
    </oc>
    <nc r="L4">
      <v>0.24324324324324326</v>
    </nc>
  </rcc>
  <rcc rId="7680" sId="3" numFmtId="13">
    <oc r="L3">
      <v>0.21621621621621623</v>
    </oc>
    <nc r="L3">
      <v>0.24324324324324326</v>
    </nc>
  </rcc>
  <rcc rId="7681" sId="3">
    <oc r="M5" t="inlineStr">
      <is>
        <t>5, 6, 1, 3, 2, 4, 9, 11, 12, 27, 25, 26, 37, 29, 30, 17, 20, 13, 15, 14, 16, 21, 22, 23, 33, 31, 32, 35, 36</t>
      </is>
    </oc>
    <nc r="M5" t="inlineStr">
      <is>
        <t>5, 6, 1, 3, 2, 4, 9, 11, 12, 27, 25, 26, 37, 29, 30, 17, 20, 13, 15, 14, 16, 21, 23, 33, 31, 32, 35, 36</t>
      </is>
    </nc>
  </rcc>
  <rcc rId="7682" sId="3" numFmtId="13">
    <oc r="M4">
      <v>0.21621621621621623</v>
    </oc>
    <nc r="M4">
      <v>0.24324324324324326</v>
    </nc>
  </rcc>
  <rcc rId="7683" sId="3" numFmtId="13">
    <oc r="M3">
      <v>0.21621621621621623</v>
    </oc>
    <nc r="M3">
      <v>0.24324324324324326</v>
    </nc>
  </rcc>
  <rcc rId="7684" sId="3">
    <oc r="N5" t="inlineStr">
      <is>
        <t>5, 6, 1, 3, 2, 4, 9, 11, 12, 27, 25, 26, 37, 29, 30, 17, 20, 13, 15, 14, 16, 21, 22, 23, 33, 31, 32, 35, 36</t>
      </is>
    </oc>
    <nc r="N5" t="inlineStr">
      <is>
        <t>5, 6, 1, 3, 2, 4, 9, 11, 12, 27, 25, 26, 37, 29, 30, 17, 20, 13, 15, 14, 16, 21, 23, 33, 31, 32, 35, 36</t>
      </is>
    </nc>
  </rcc>
  <rcc rId="7685" sId="3" numFmtId="13">
    <oc r="N4">
      <v>0.21621621621621623</v>
    </oc>
    <nc r="N4">
      <v>0.24324324324324326</v>
    </nc>
  </rcc>
  <rcc rId="7686" sId="3" numFmtId="13">
    <oc r="N3">
      <v>0.21621621621621623</v>
    </oc>
    <nc r="N3">
      <v>0.24324324324324326</v>
    </nc>
  </rcc>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cc rId="7687" sId="3" numFmtId="13">
    <oc r="Q4">
      <v>0.75</v>
    </oc>
    <nc r="Q4">
      <v>1</v>
    </nc>
  </rcc>
  <rcc rId="7688" sId="3" numFmtId="13">
    <oc r="Q3">
      <v>0.75</v>
    </oc>
    <nc r="Q3">
      <v>1</v>
    </nc>
  </rcc>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J39" start="0" length="0">
    <dxf>
      <fill>
        <patternFill>
          <bgColor rgb="FFFFFFFF"/>
        </patternFill>
      </fill>
    </dxf>
  </rfmt>
  <rcc rId="7689" sId="3">
    <oc r="U5" t="inlineStr">
      <is>
        <t>1, 2, 3, 4, 6</t>
      </is>
    </oc>
    <nc r="U5" t="inlineStr">
      <is>
        <t>1, 2, 3, 4</t>
      </is>
    </nc>
  </rcc>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cc rId="7690" sId="3" numFmtId="13">
    <oc r="U4">
      <v>0.2857142857142857</v>
    </oc>
    <nc r="U4">
      <v>0.42857142857142855</v>
    </nc>
  </rcc>
  <rcc rId="7691" sId="3" numFmtId="13">
    <oc r="U3">
      <v>0.2857142857142857</v>
    </oc>
    <nc r="U3">
      <v>0.42857142857142855</v>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16" start="0" length="0">
    <dxf>
      <font>
        <color rgb="FF000000"/>
        <name val="Calibri"/>
        <scheme val="minor"/>
      </font>
      <border outline="0">
        <left style="thin">
          <color indexed="64"/>
        </left>
        <top style="thin">
          <color indexed="64"/>
        </top>
      </border>
    </dxf>
  </rfmt>
  <rfmt sheetId="3" sqref="B16" start="0" length="0">
    <dxf>
      <font>
        <sz val="9"/>
        <color indexed="8"/>
        <name val="Calibri"/>
        <scheme val="minor"/>
      </font>
      <fill>
        <patternFill>
          <bgColor rgb="FFCCFFCC"/>
        </patternFill>
      </fill>
    </dxf>
  </rfmt>
  <rfmt sheetId="3" sqref="C16" start="0" length="0">
    <dxf>
      <font>
        <sz val="9"/>
        <color indexed="8"/>
        <name val="Calibri"/>
        <scheme val="minor"/>
      </font>
      <fill>
        <patternFill>
          <bgColor rgb="FFCCFFCC"/>
        </patternFill>
      </fill>
    </dxf>
  </rfmt>
  <rfmt sheetId="3" sqref="D16" start="0" length="0">
    <dxf>
      <font>
        <sz val="9"/>
        <color indexed="8"/>
        <name val="Calibri"/>
        <scheme val="minor"/>
      </font>
      <fill>
        <patternFill>
          <bgColor rgb="FFCCFFCC"/>
        </patternFill>
      </fill>
    </dxf>
  </rfmt>
  <rfmt sheetId="3" sqref="E16" start="0" length="0">
    <dxf>
      <font>
        <sz val="9"/>
        <color indexed="8"/>
        <name val="Calibri"/>
        <scheme val="minor"/>
      </font>
      <fill>
        <patternFill>
          <bgColor rgb="FFCCFFCC"/>
        </patternFill>
      </fill>
    </dxf>
  </rfmt>
  <rfmt sheetId="3" s="1" sqref="F16" start="0" length="0">
    <dxf>
      <font>
        <sz val="10"/>
        <color indexed="8"/>
        <name val="Calibri"/>
        <scheme val="minor"/>
      </font>
      <fill>
        <patternFill>
          <bgColor rgb="FFCCFFCC"/>
        </patternFill>
      </fill>
      <alignment wrapText="1" readingOrder="0"/>
    </dxf>
  </rfmt>
  <rfmt sheetId="3" sqref="G16" start="0" length="0">
    <dxf>
      <fill>
        <patternFill>
          <bgColor rgb="FFCCFFCC"/>
        </patternFill>
      </fill>
    </dxf>
  </rfmt>
  <rfmt sheetId="3" sqref="H16" start="0" length="0">
    <dxf>
      <fill>
        <patternFill>
          <bgColor rgb="FFCCFFCC"/>
        </patternFill>
      </fill>
    </dxf>
  </rfmt>
  <rfmt sheetId="3" sqref="I16" start="0" length="0">
    <dxf>
      <fill>
        <patternFill>
          <bgColor rgb="FFCCFFCC"/>
        </patternFill>
      </fill>
    </dxf>
  </rfmt>
  <rfmt sheetId="3" sqref="J16" start="0" length="0">
    <dxf>
      <fill>
        <patternFill>
          <bgColor rgb="FFCCFFCC"/>
        </patternFill>
      </fill>
    </dxf>
  </rfmt>
  <rfmt sheetId="3" sqref="K16" start="0" length="0">
    <dxf>
      <fill>
        <patternFill>
          <bgColor rgb="FFCCFFCC"/>
        </patternFill>
      </fill>
    </dxf>
  </rfmt>
  <rfmt sheetId="3" sqref="L16" start="0" length="0">
    <dxf>
      <fill>
        <patternFill>
          <bgColor rgb="FFCCFFCC"/>
        </patternFill>
      </fill>
    </dxf>
  </rfmt>
  <rfmt sheetId="3" sqref="M16" start="0" length="0">
    <dxf>
      <fill>
        <patternFill>
          <bgColor rgb="FFCCFFCC"/>
        </patternFill>
      </fill>
    </dxf>
  </rfmt>
  <rfmt sheetId="3" sqref="N16" start="0" length="0">
    <dxf>
      <fill>
        <patternFill>
          <bgColor rgb="FFCCFFCC"/>
        </patternFill>
      </fill>
    </dxf>
  </rfmt>
  <rfmt sheetId="3" sqref="O16" start="0" length="0">
    <dxf>
      <font>
        <sz val="9"/>
        <color indexed="8"/>
        <name val="Calibri"/>
        <scheme val="minor"/>
      </font>
      <fill>
        <patternFill>
          <bgColor rgb="FFCCFFCC"/>
        </patternFill>
      </fill>
    </dxf>
  </rfmt>
  <rfmt sheetId="3" sqref="P16" start="0" length="0">
    <dxf>
      <font>
        <sz val="9"/>
        <color indexed="8"/>
        <name val="Calibri"/>
        <scheme val="minor"/>
      </font>
      <fill>
        <patternFill>
          <bgColor rgb="FFCCFFCC"/>
        </patternFill>
      </fill>
    </dxf>
  </rfmt>
  <rfmt sheetId="3" sqref="Q16" start="0" length="0">
    <dxf>
      <font>
        <sz val="9"/>
        <color indexed="8"/>
        <name val="Calibri"/>
        <scheme val="minor"/>
      </font>
      <fill>
        <patternFill>
          <bgColor rgb="FFCCFFCC"/>
        </patternFill>
      </fill>
    </dxf>
  </rfmt>
  <rfmt sheetId="3" sqref="R16" start="0" length="0">
    <dxf>
      <font>
        <sz val="9"/>
        <color indexed="8"/>
        <name val="Calibri"/>
        <scheme val="minor"/>
      </font>
      <fill>
        <patternFill>
          <bgColor rgb="FFCCFFCC"/>
        </patternFill>
      </fill>
    </dxf>
  </rfmt>
  <rcc rId="7692" sId="3" odxf="1" dxf="1">
    <nc r="S16">
      <v>1</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T16" start="0" length="0">
    <dxf>
      <font>
        <sz val="9"/>
        <color indexed="8"/>
        <name val="Calibri"/>
        <scheme val="minor"/>
      </font>
      <fill>
        <patternFill>
          <bgColor rgb="FFCCFFCC"/>
        </patternFill>
      </fill>
    </dxf>
  </rfmt>
  <rfmt sheetId="3" sqref="U16"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7693" sId="3" odxf="1" dxf="1">
    <nc r="V16"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fmt sheetId="3" sqref="W16" start="0" length="0">
    <dxf>
      <font>
        <sz val="9"/>
        <color indexed="8"/>
        <name val="Times New Roman"/>
        <scheme val="none"/>
      </font>
      <fill>
        <patternFill>
          <bgColor rgb="FFFFFF99"/>
        </patternFill>
      </fill>
    </dxf>
  </rfmt>
  <rcc rId="7694" sId="3" numFmtId="19">
    <nc r="A16">
      <v>41703</v>
    </nc>
  </rcc>
  <rcc rId="7695" sId="3">
    <nc r="B16">
      <v>13</v>
    </nc>
  </rcc>
  <rcc rId="7696" sId="3">
    <nc r="C16">
      <v>15</v>
    </nc>
  </rcc>
  <rcc rId="7697" sId="3">
    <nc r="D16">
      <v>38</v>
    </nc>
  </rcc>
  <rcc rId="7698" sId="3">
    <nc r="E16">
      <v>44</v>
    </nc>
  </rcc>
  <rcc rId="7699" sId="3">
    <nc r="F16">
      <v>9</v>
    </nc>
  </rcc>
  <rcc rId="7700" sId="3">
    <nc r="G16">
      <v>8</v>
    </nc>
  </rcc>
  <rcc rId="7701" sId="3">
    <nc r="H16">
      <v>8</v>
    </nc>
  </rcc>
  <rcc rId="7702" sId="3">
    <nc r="I16">
      <v>8</v>
    </nc>
  </rcc>
  <rcc rId="7703" sId="3">
    <nc r="J16">
      <v>8</v>
    </nc>
  </rcc>
  <rcc rId="7704" sId="3">
    <nc r="K16">
      <v>37</v>
    </nc>
  </rcc>
  <rcc rId="7705" sId="3">
    <nc r="L16">
      <v>37</v>
    </nc>
  </rcc>
  <rcc rId="7706" sId="3">
    <nc r="M16">
      <v>37</v>
    </nc>
  </rcc>
  <rcc rId="7707" sId="3">
    <nc r="N16">
      <v>37</v>
    </nc>
  </rcc>
  <rcc rId="7708" sId="3">
    <nc r="O16">
      <v>5</v>
    </nc>
  </rcc>
  <rcc rId="7709" sId="3">
    <nc r="P16">
      <v>7</v>
    </nc>
  </rcc>
  <rcc rId="7710" sId="3">
    <nc r="Q16">
      <v>2</v>
    </nc>
  </rcc>
  <rcc rId="7711" sId="3">
    <nc r="R16">
      <v>11</v>
    </nc>
  </rcc>
  <rcc rId="7712" sId="3">
    <nc r="T16">
      <v>2</v>
    </nc>
  </rcc>
  <rcc rId="7713" sId="3">
    <nc r="U16">
      <v>7</v>
    </nc>
  </rcc>
  <rcc rId="7714" sId="3" odxf="1" dxf="1">
    <nc r="W16" t="inlineStr">
      <is>
        <t>Pass</t>
      </is>
    </nc>
    <ndxf>
      <font>
        <color indexed="8"/>
        <name val="Calibri"/>
        <scheme val="minor"/>
      </font>
      <fill>
        <patternFill>
          <bgColor rgb="FFCCFFCC"/>
        </patternFill>
      </fill>
    </ndxf>
  </rcc>
  <rcc rId="7715" sId="3" odxf="1" dxf="1">
    <oc r="W15" t="inlineStr">
      <is>
        <t>C.Pass</t>
      </is>
    </oc>
    <nc r="W15" t="inlineStr">
      <is>
        <t>Pass</t>
      </is>
    </nc>
    <odxf>
      <font>
        <color indexed="8"/>
        <name val="Times New Roman"/>
        <scheme val="none"/>
      </font>
      <fill>
        <patternFill>
          <bgColor rgb="FFFFFF99"/>
        </patternFill>
      </fill>
    </odxf>
    <ndxf>
      <font>
        <color indexed="8"/>
        <name val="Calibri"/>
        <scheme val="minor"/>
      </font>
      <fill>
        <patternFill>
          <bgColor rgb="FFCCFFCC"/>
        </patternFill>
      </fill>
    </ndxf>
  </rcc>
  <rcc rId="7716" sId="3">
    <nc r="X16" t="inlineStr">
      <is>
        <t>Reset detected 5 times on downstream unit .231
All units have valid video and audio output.
VBI warnings on all due to known setup issue.
AUD2 warnings on some units, issue CSCuh61762.
MPE warnings on some units, system issue.</t>
      </is>
    </nc>
  </rcc>
  <rcc rId="7717" sId="4" numFmtId="19">
    <oc r="I2">
      <v>41702</v>
    </oc>
    <nc r="I2">
      <v>41703</v>
    </nc>
  </rcc>
  <rfmt sheetId="4" sqref="B5" start="0" length="0">
    <dxf>
      <fill>
        <patternFill>
          <bgColor rgb="FFFFFFFF"/>
        </patternFill>
      </fill>
    </dxf>
  </rfmt>
  <rfmt sheetId="4" sqref="B6"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E5"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M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718" sId="3">
    <oc r="D5" t="inlineStr">
      <is>
        <t>1, 16, 19, 22, 25, 2, 5, 8, 17, 20, 26, 3, 6, 9, 21, 27, 10, 13, 28, 31, 34, 37, 14, 29, 32, 38, 12, 15, 30, 33, 40, 41, 42, 43, 44, 45, 46, 47, 48, 49</t>
      </is>
    </oc>
    <nc r="D5" t="inlineStr">
      <is>
        <t>1, 16, 19, 22, 25, 2, 5, 8, 17, 20, 26, 3, 6, 9, 21, 27, 10, 13, 28, 31, 34, 37, 14, 29, 32, 12, 15, 30, 33, 40, 41, 42, 43, 44, 45, 46, 47, 48, 49</t>
      </is>
    </nc>
  </rcc>
  <rcc rId="7719" sId="3" numFmtId="13">
    <oc r="D4">
      <v>0.18367346938775511</v>
    </oc>
    <nc r="D4">
      <v>0.20408163265306123</v>
    </nc>
  </rcc>
  <rcc rId="7720" sId="3" numFmtId="13">
    <oc r="D3">
      <v>0.18367346938775511</v>
    </oc>
    <nc r="D3">
      <v>0.20408163265306123</v>
    </nc>
  </rcc>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J24"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J24"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7721" sId="3">
    <oc r="E5" t="inlineStr">
      <is>
        <t>1, 3, 5, 2, 4, 6, 7, 9, 11, 15, 8, 10, 12, 16, 13, 14, 19, 21, 20, 22, 26, 23, 27, 29, 30, 31, 32, 33, 34, 35, 36, 37, 38, 40, 39, 41, 42, 44, 45, 46, 47, 49, 50, 53</t>
      </is>
    </oc>
    <nc r="E5" t="inlineStr">
      <is>
        <t>1, 3, 5, 2, 4, 6, 7, 9, 11, 15, 8, 10, 12, 16, 13, 14, 19, 21, 20, 22, 26, 23, 27, 29, 30, 31, 32, 33, 34, 35, 36, 37, 38, 40, 39, 41, 42, 45, 46, 47, 49, 50, 53</t>
      </is>
    </nc>
  </rcc>
  <rfmt sheetId="4" sqref="J33" start="0" length="0">
    <dxf>
      <fill>
        <patternFill>
          <bgColor rgb="FFCCFFCC"/>
        </patternFill>
      </fill>
    </dxf>
  </rfmt>
  <rcc rId="7722" sId="3" numFmtId="13">
    <oc r="E4">
      <v>0.16981132075471697</v>
    </oc>
    <nc r="E4">
      <v>0.18867924528301888</v>
    </nc>
  </rcc>
  <rcc rId="7723" sId="3" numFmtId="13">
    <oc r="E3">
      <v>0.16981132075471697</v>
    </oc>
    <nc r="E3">
      <v>0.18867924528301888</v>
    </nc>
  </rcc>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cc rId="7724" sId="3">
    <oc r="F5" t="inlineStr">
      <is>
        <t>1, 4, 6, 7, 9</t>
      </is>
    </oc>
    <nc r="F5" t="inlineStr">
      <is>
        <t>1, 4, 6, 7</t>
      </is>
    </nc>
  </rcc>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cc rId="7725" sId="3" numFmtId="13">
    <oc r="F4">
      <v>0.6428571428571429</v>
    </oc>
    <nc r="F4">
      <v>0.7142857142857143</v>
    </nc>
  </rcc>
  <rcc rId="7726" sId="3" numFmtId="13">
    <oc r="F3">
      <v>0.6428571428571429</v>
    </oc>
    <nc r="F3">
      <v>0.7142857142857143</v>
    </nc>
  </rcc>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S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cc rId="7727" sId="3">
    <oc r="G5" t="inlineStr">
      <is>
        <t>5, 7, 6, 8, 1, 2, 10, 11, 12, 27, 28, 25, 37, 29, 30, 19, 18, 20, 13, 14, 16, 22, 24, 33, 34, 31, 35, 36</t>
      </is>
    </oc>
    <nc r="G5" t="inlineStr">
      <is>
        <t>5, 7, 6, 1, 2, 10, 11, 12, 27, 28, 25, 37, 29, 30, 19, 18, 20, 13, 14, 16, 22, 24, 33, 34, 31, 35, 36</t>
      </is>
    </nc>
  </rcc>
  <rcc rId="7728" sId="3" numFmtId="13">
    <oc r="G4">
      <v>0.24324324324324326</v>
    </oc>
    <nc r="G4">
      <v>0.27027027027027029</v>
    </nc>
  </rcc>
  <rcc rId="7729" sId="3" numFmtId="13">
    <oc r="G3">
      <v>0.24324324324324326</v>
    </oc>
    <nc r="G3">
      <v>0.27027027027027029</v>
    </nc>
  </rcc>
  <rcc rId="7730" sId="3">
    <oc r="H5" t="inlineStr">
      <is>
        <t>5, 7, 6, 8, 1, 2, 10, 11, 12, 27, 28, 25, 37, 29, 30, 19, 18, 20, 13, 14, 16, 22, 24, 33, 34, 31, 35, 36</t>
      </is>
    </oc>
    <nc r="H5" t="inlineStr">
      <is>
        <t>5, 7, 6, 1, 2, 10, 11, 12, 27, 28, 25, 37, 29, 30, 19, 18, 20, 13, 14, 16, 22, 24, 33, 34, 31, 35, 36</t>
      </is>
    </nc>
  </rcc>
  <rcc rId="7731" sId="3" numFmtId="13">
    <oc r="H4">
      <v>0.24324324324324326</v>
    </oc>
    <nc r="H4">
      <v>0.27027027027027029</v>
    </nc>
  </rcc>
  <rcc rId="7732" sId="3" numFmtId="13">
    <oc r="H3">
      <v>0.24324324324324326</v>
    </oc>
    <nc r="H3">
      <v>0.27027027027027029</v>
    </nc>
  </rcc>
  <rcc rId="7733" sId="3">
    <oc r="I5" t="inlineStr">
      <is>
        <t>5, 7, 6, 8, 1, 2, 10, 11, 12, 27, 28, 25, 37, 29, 30, 19, 18, 20, 13, 14, 16, 22, 24, 33, 34, 31, 35, 36</t>
      </is>
    </oc>
    <nc r="I5" t="inlineStr">
      <is>
        <t>5, 7, 6, 1, 2, 10, 11, 12, 27, 28, 25, 37, 29, 30, 19, 18, 20, 13, 14, 16, 22, 24, 33, 34, 31, 35, 36</t>
      </is>
    </nc>
  </rcc>
  <rcc rId="7734" sId="3" numFmtId="13">
    <oc r="I4">
      <v>0.24324324324324326</v>
    </oc>
    <nc r="I4">
      <v>0.27027027027027029</v>
    </nc>
  </rcc>
  <rcc rId="7735" sId="3" numFmtId="13">
    <oc r="I3">
      <v>0.24324324324324326</v>
    </oc>
    <nc r="I3">
      <v>0.27027027027027029</v>
    </nc>
  </rcc>
  <rcc rId="7736" sId="3">
    <oc r="J5" t="inlineStr">
      <is>
        <t>5, 7, 6, 8, 1, 2, 10, 11, 12, 27, 28, 25, 37, 29, 30, 19, 18, 20, 13, 14, 16, 22, 24, 33, 34, 31, 35, 36</t>
      </is>
    </oc>
    <nc r="J5" t="inlineStr">
      <is>
        <t>5, 7, 6, 1, 2, 10, 11, 12, 27, 28, 25, 37, 29, 30, 19, 18, 20, 13, 14, 16, 22, 24, 33, 34, 31, 35, 36</t>
      </is>
    </nc>
  </rcc>
  <rcc rId="7737" sId="3" numFmtId="13">
    <oc r="J4">
      <v>0.24324324324324326</v>
    </oc>
    <nc r="J4">
      <v>0.27027027027027029</v>
    </nc>
  </rcc>
  <rcc rId="7738" sId="3" numFmtId="13">
    <oc r="J3">
      <v>0.24324324324324326</v>
    </oc>
    <nc r="J3">
      <v>0.27027027027027029</v>
    </nc>
  </rcc>
  <rcc rId="7739" sId="3">
    <oc r="K5" t="inlineStr">
      <is>
        <t>5, 6, 1, 3, 2, 4, 9, 11, 12, 27, 25, 26, 37, 29, 30, 17, 20, 13, 15, 14, 16, 21, 23, 33, 31, 32, 35, 36</t>
      </is>
    </oc>
    <nc r="K5" t="inlineStr">
      <is>
        <t>5, 6, 1, 3, 2, 4, 9, 11, 12, 27, 25, 26, 29, 30, 17, 20, 13, 15, 14, 16, 21, 23, 33, 31, 32, 35, 36</t>
      </is>
    </nc>
  </rcc>
  <rcc rId="7740" sId="3" numFmtId="13">
    <oc r="K4">
      <v>0.24324324324324326</v>
    </oc>
    <nc r="K4">
      <v>0.27027027027027029</v>
    </nc>
  </rcc>
  <rcc rId="7741" sId="3" numFmtId="13">
    <oc r="K3">
      <v>0.24324324324324326</v>
    </oc>
    <nc r="K3">
      <v>0.27027027027027029</v>
    </nc>
  </rcc>
  <rcc rId="7742" sId="3">
    <oc r="L5" t="inlineStr">
      <is>
        <t>5, 6, 1, 3, 2, 4, 9, 11, 12, 27, 25, 26, 37, 29, 30, 17, 20, 13, 15, 14, 16, 21, 23, 33, 31, 32, 35, 36</t>
      </is>
    </oc>
    <nc r="L5" t="inlineStr">
      <is>
        <t>5, 6, 1, 3, 2, 4, 9, 11, 12, 27, 25, 26, 29, 30, 17, 20, 13, 15, 14, 16, 21, 23, 33, 31, 32, 35, 36</t>
      </is>
    </nc>
  </rcc>
  <rcc rId="7743" sId="3" numFmtId="13">
    <oc r="L4">
      <v>0.24324324324324326</v>
    </oc>
    <nc r="L4">
      <v>0.27027027027027029</v>
    </nc>
  </rcc>
  <rcc rId="7744" sId="3" numFmtId="13">
    <oc r="L3">
      <v>0.24324324324324326</v>
    </oc>
    <nc r="L3">
      <v>0.27027027027027029</v>
    </nc>
  </rcc>
  <rcc rId="7745" sId="3">
    <oc r="M5" t="inlineStr">
      <is>
        <t>5, 6, 1, 3, 2, 4, 9, 11, 12, 27, 25, 26, 37, 29, 30, 17, 20, 13, 15, 14, 16, 21, 23, 33, 31, 32, 35, 36</t>
      </is>
    </oc>
    <nc r="M5" t="inlineStr">
      <is>
        <t>5, 6, 1, 3, 2, 4, 9, 11, 12, 27, 25, 26, 29, 30, 17, 20, 13, 15, 14, 16, 21, 23, 33, 31, 32, 35, 36</t>
      </is>
    </nc>
  </rcc>
  <rcc rId="7746" sId="3" numFmtId="13">
    <oc r="M4">
      <v>0.24324324324324326</v>
    </oc>
    <nc r="M4">
      <v>0.27027027027027029</v>
    </nc>
  </rcc>
  <rcc rId="7747" sId="3" numFmtId="13">
    <oc r="M3">
      <v>0.24324324324324326</v>
    </oc>
    <nc r="M3">
      <v>0.27027027027027029</v>
    </nc>
  </rcc>
  <rcc rId="7748" sId="3">
    <oc r="N5" t="inlineStr">
      <is>
        <t>5, 6, 1, 3, 2, 4, 9, 11, 12, 27, 25, 26, 37, 29, 30, 17, 20, 13, 15, 14, 16, 21, 23, 33, 31, 32, 35, 36</t>
      </is>
    </oc>
    <nc r="N5" t="inlineStr">
      <is>
        <t>5, 6, 1, 3, 2, 4, 9, 11, 12, 27, 25, 26, 29, 30, 17, 20, 13, 15, 14, 16, 21, 23, 33, 31, 32, 35, 36</t>
      </is>
    </nc>
  </rcc>
  <rcc rId="7749" sId="3" numFmtId="13">
    <oc r="N4">
      <v>0.24324324324324326</v>
    </oc>
    <nc r="N4">
      <v>0.27027027027027029</v>
    </nc>
  </rcc>
  <rcc rId="7750" sId="3" numFmtId="13">
    <oc r="N3">
      <v>0.24324324324324326</v>
    </oc>
    <nc r="N3">
      <v>0.27027027027027029</v>
    </nc>
  </rcc>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17" start="0" length="0">
    <dxf>
      <font>
        <color rgb="FF000000"/>
        <name val="Calibri"/>
        <scheme val="minor"/>
      </font>
      <border outline="0">
        <left style="thin">
          <color indexed="64"/>
        </left>
        <top style="thin">
          <color indexed="64"/>
        </top>
      </border>
    </dxf>
  </rfmt>
  <rfmt sheetId="3" sqref="B17" start="0" length="0">
    <dxf>
      <font>
        <sz val="9"/>
        <color indexed="8"/>
        <name val="Calibri"/>
        <scheme val="minor"/>
      </font>
      <fill>
        <patternFill>
          <bgColor rgb="FFCCFFCC"/>
        </patternFill>
      </fill>
    </dxf>
  </rfmt>
  <rfmt sheetId="3" sqref="C17" start="0" length="0">
    <dxf>
      <font>
        <sz val="9"/>
        <color indexed="8"/>
        <name val="Calibri"/>
        <scheme val="minor"/>
      </font>
      <fill>
        <patternFill>
          <bgColor rgb="FFCCFFCC"/>
        </patternFill>
      </fill>
    </dxf>
  </rfmt>
  <rfmt sheetId="3" sqref="D17" start="0" length="0">
    <dxf>
      <font>
        <sz val="9"/>
        <color indexed="8"/>
        <name val="Calibri"/>
        <scheme val="minor"/>
      </font>
      <fill>
        <patternFill>
          <bgColor rgb="FFCCFFCC"/>
        </patternFill>
      </fill>
    </dxf>
  </rfmt>
  <rfmt sheetId="3" sqref="E17" start="0" length="0">
    <dxf>
      <font>
        <sz val="9"/>
        <color indexed="8"/>
        <name val="Calibri"/>
        <scheme val="minor"/>
      </font>
      <fill>
        <patternFill>
          <bgColor rgb="FFCCFFCC"/>
        </patternFill>
      </fill>
    </dxf>
  </rfmt>
  <rfmt sheetId="3" s="1" sqref="F17" start="0" length="0">
    <dxf>
      <font>
        <sz val="10"/>
        <color indexed="8"/>
        <name val="Calibri"/>
        <scheme val="minor"/>
      </font>
      <fill>
        <patternFill>
          <bgColor rgb="FFCCFFCC"/>
        </patternFill>
      </fill>
      <alignment wrapText="1" readingOrder="0"/>
    </dxf>
  </rfmt>
  <rfmt sheetId="3" sqref="G17" start="0" length="0">
    <dxf>
      <fill>
        <patternFill>
          <bgColor rgb="FFCCFFCC"/>
        </patternFill>
      </fill>
    </dxf>
  </rfmt>
  <rfmt sheetId="3" sqref="H17" start="0" length="0">
    <dxf>
      <fill>
        <patternFill>
          <bgColor rgb="FFCCFFCC"/>
        </patternFill>
      </fill>
    </dxf>
  </rfmt>
  <rfmt sheetId="3" sqref="I17" start="0" length="0">
    <dxf>
      <fill>
        <patternFill>
          <bgColor rgb="FFCCFFCC"/>
        </patternFill>
      </fill>
    </dxf>
  </rfmt>
  <rfmt sheetId="3" sqref="J17" start="0" length="0">
    <dxf>
      <fill>
        <patternFill>
          <bgColor rgb="FFCCFFCC"/>
        </patternFill>
      </fill>
    </dxf>
  </rfmt>
  <rfmt sheetId="3" sqref="K17" start="0" length="0">
    <dxf>
      <fill>
        <patternFill>
          <bgColor rgb="FFCCFFCC"/>
        </patternFill>
      </fill>
    </dxf>
  </rfmt>
  <rfmt sheetId="3" sqref="L17" start="0" length="0">
    <dxf>
      <fill>
        <patternFill>
          <bgColor rgb="FFCCFFCC"/>
        </patternFill>
      </fill>
    </dxf>
  </rfmt>
  <rfmt sheetId="3" sqref="M17" start="0" length="0">
    <dxf>
      <fill>
        <patternFill>
          <bgColor rgb="FFCCFFCC"/>
        </patternFill>
      </fill>
    </dxf>
  </rfmt>
  <rfmt sheetId="3" sqref="N17" start="0" length="0">
    <dxf>
      <fill>
        <patternFill>
          <bgColor rgb="FFCCFFCC"/>
        </patternFill>
      </fill>
    </dxf>
  </rfmt>
  <rcc rId="7751" sId="3" odxf="1" dxf="1">
    <nc r="O17">
      <v>5</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P17" start="0" length="0">
    <dxf>
      <font>
        <sz val="9"/>
        <color indexed="8"/>
        <name val="Calibri"/>
        <scheme val="minor"/>
      </font>
      <fill>
        <patternFill>
          <bgColor rgb="FFCCFFCC"/>
        </patternFill>
      </fill>
    </dxf>
  </rfmt>
  <rfmt sheetId="3" sqref="Q17" start="0" length="0">
    <dxf>
      <font>
        <sz val="9"/>
        <color indexed="8"/>
        <name val="Calibri"/>
        <scheme val="minor"/>
      </font>
      <fill>
        <patternFill>
          <bgColor rgb="FFCCFFCC"/>
        </patternFill>
      </fill>
    </dxf>
  </rfmt>
  <rfmt sheetId="3" sqref="R17" start="0" length="0">
    <dxf>
      <font>
        <sz val="9"/>
        <color indexed="8"/>
        <name val="Calibri"/>
        <scheme val="minor"/>
      </font>
      <fill>
        <patternFill>
          <bgColor rgb="FFCCFFCC"/>
        </patternFill>
      </fill>
    </dxf>
  </rfmt>
  <rfmt sheetId="3" sqref="S17" start="0" length="0">
    <dxf>
      <font>
        <sz val="9"/>
        <color indexed="8"/>
        <name val="Calibri"/>
        <scheme val="minor"/>
      </font>
      <fill>
        <patternFill>
          <bgColor rgb="FFCCFFCC"/>
        </patternFill>
      </fill>
    </dxf>
  </rfmt>
  <rfmt sheetId="3" sqref="T17" start="0" length="0">
    <dxf>
      <font>
        <sz val="9"/>
        <color indexed="8"/>
        <name val="Calibri"/>
        <scheme val="minor"/>
      </font>
      <fill>
        <patternFill>
          <bgColor rgb="FFCCFFCC"/>
        </patternFill>
      </fill>
    </dxf>
  </rfmt>
  <rfmt sheetId="3" sqref="U17"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7752" sId="3" odxf="1" dxf="1">
    <nc r="V17"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753" sId="3" odxf="1" dxf="1">
    <nc r="W17"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7754" sId="3">
    <nc r="B17">
      <v>4</v>
    </nc>
  </rcc>
  <rcc rId="7755" sId="3">
    <nc r="C17">
      <v>2</v>
    </nc>
  </rcc>
  <rcc rId="7756" sId="3">
    <nc r="D17">
      <v>8</v>
    </nc>
  </rcc>
  <rcc rId="7757" sId="3">
    <nc r="E17">
      <v>20</v>
    </nc>
  </rcc>
  <rcc rId="7758" sId="3">
    <nc r="F17">
      <v>15</v>
    </nc>
  </rcc>
  <rcc rId="7759" sId="3">
    <nc r="G17">
      <v>23</v>
    </nc>
  </rcc>
  <rcc rId="7760" sId="3">
    <nc r="H17">
      <v>23</v>
    </nc>
  </rcc>
  <rcc rId="7761" sId="3">
    <nc r="I17">
      <v>23</v>
    </nc>
  </rcc>
  <rcc rId="7762" sId="3">
    <nc r="J17">
      <v>23</v>
    </nc>
  </rcc>
  <rcc rId="7763" sId="3">
    <nc r="K17">
      <v>24</v>
    </nc>
  </rcc>
  <rcc rId="7764" sId="3">
    <nc r="L17">
      <v>24</v>
    </nc>
  </rcc>
  <rcc rId="7765" sId="3">
    <nc r="M17">
      <v>24</v>
    </nc>
  </rcc>
  <rcc rId="7766" sId="3">
    <nc r="N17">
      <v>24</v>
    </nc>
  </rcc>
  <rcc rId="7767" sId="3">
    <nc r="P17">
      <v>3</v>
    </nc>
  </rcc>
  <rcc rId="7768" sId="3">
    <nc r="Q17">
      <v>4</v>
    </nc>
  </rcc>
  <rcc rId="7769" sId="3">
    <nc r="R17">
      <v>12</v>
    </nc>
  </rcc>
  <rcc rId="7770" sId="3">
    <nc r="S17">
      <v>0</v>
    </nc>
  </rcc>
  <rcc rId="7771" sId="3">
    <nc r="T17">
      <v>1</v>
    </nc>
  </rcc>
  <rcc rId="7772" sId="3">
    <nc r="U17">
      <v>5</v>
    </nc>
  </rcc>
  <rcc rId="7773" sId="3">
    <nc r="X17" t="inlineStr">
      <is>
        <t>All units have valid video and audio output.
AUD2 warnings on some units, issue CSCuh61762.
MPE warnings on some units, system issue.</t>
      </is>
    </nc>
  </rcc>
  <rcc rId="7774" sId="3" numFmtId="19">
    <nc r="A17">
      <v>41704</v>
    </nc>
  </rcc>
  <rfmt sheetId="4" sqref="B5" start="0" length="0">
    <dxf>
      <fill>
        <patternFill>
          <bgColor rgb="FFFFFFFF"/>
        </patternFill>
      </fill>
    </dxf>
  </rfmt>
  <rfmt sheetId="4" sqref="B6"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E5"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J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J24"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4"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S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cc rId="7775" sId="4" numFmtId="19">
    <oc r="I2">
      <v>41703</v>
    </oc>
    <nc r="I2">
      <v>41704</v>
    </nc>
  </rcc>
  <rfmt sheetId="4" sqref="B5" start="0" length="0">
    <dxf>
      <fill>
        <patternFill>
          <bgColor rgb="FFFFFFFF"/>
        </patternFill>
      </fill>
    </dxf>
  </rfmt>
  <rfmt sheetId="4" sqref="B6"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cc rId="7776" sId="3">
    <oc r="C5" t="inlineStr">
      <is>
        <t>2, 3, 6, 7, 9, 10, 11</t>
      </is>
    </oc>
    <nc r="C5" t="inlineStr">
      <is>
        <t>3, 6, 7, 9, 10, 11</t>
      </is>
    </nc>
  </rcc>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cc rId="7777" sId="3" numFmtId="13">
    <oc r="C4">
      <v>0.41666666666666669</v>
    </oc>
    <nc r="C4">
      <v>0.5</v>
    </nc>
  </rcc>
  <rcc rId="7778" sId="3" numFmtId="13">
    <oc r="C3">
      <v>0.41666666666666669</v>
    </oc>
    <nc r="C3">
      <v>0.5</v>
    </nc>
  </rcc>
  <rfmt sheetId="4" sqref="I5" start="0" length="0">
    <dxf>
      <fill>
        <patternFill>
          <bgColor rgb="FFFFFFFF"/>
        </patternFill>
      </fill>
    </dxf>
  </rfmt>
  <rfmt sheetId="4" sqref="J5" start="0" length="0">
    <dxf>
      <fill>
        <patternFill>
          <bgColor rgb="FFFFFFFF"/>
        </patternFill>
      </fill>
    </dxf>
  </rfmt>
  <rfmt sheetId="4" sqref="J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J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779" sId="3">
    <oc r="D5" t="inlineStr">
      <is>
        <t>1, 16, 19, 22, 25, 2, 5, 8, 17, 20, 26, 3, 6, 9, 21, 27, 10, 13, 28, 31, 34, 37, 14, 29, 32, 12, 15, 30, 33, 40, 41, 42, 43, 44, 45, 46, 47, 48, 49</t>
      </is>
    </oc>
    <nc r="D5" t="inlineStr">
      <is>
        <t>1, 16, 19, 22, 25, 2, 5, 17, 20, 26, 3, 6, 9, 21, 27, 10, 13, 28, 31, 34, 37, 14, 29, 32, 12, 15, 30, 33, 40, 41, 42, 43, 44, 45, 46, 47, 48, 49</t>
      </is>
    </nc>
  </rcc>
  <rcc rId="7780" sId="3" numFmtId="13">
    <oc r="D4">
      <v>0.20408163265306123</v>
    </oc>
    <nc r="D4">
      <v>0.22448979591836735</v>
    </nc>
  </rcc>
  <rcc rId="7781" sId="3" numFmtId="13">
    <oc r="D3">
      <v>0.20408163265306123</v>
    </oc>
    <nc r="D3">
      <v>0.22448979591836735</v>
    </nc>
  </rcc>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4"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4"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7782" sId="3">
    <oc r="E5" t="inlineStr">
      <is>
        <t>1, 3, 5, 2, 4, 6, 7, 9, 11, 15, 8, 10, 12, 16, 13, 14, 19, 21, 20, 22, 26, 23, 27, 29, 30, 31, 32, 33, 34, 35, 36, 37, 38, 40, 39, 41, 42, 45, 46, 47, 49, 50, 53</t>
      </is>
    </oc>
    <nc r="E5" t="inlineStr">
      <is>
        <t>1, 3, 5, 2, 4, 6, 7, 9, 11, 15, 8, 10, 12, 16, 13, 14, 19, 21, 22, 26, 23, 27, 29, 30, 31, 32, 33, 34, 35, 36, 37, 38, 40, 39, 41, 42, 45, 46, 47, 49, 50, 53</t>
      </is>
    </nc>
  </rcc>
  <rfmt sheetId="4" sqref="J33" start="0" length="0">
    <dxf>
      <fill>
        <patternFill>
          <bgColor rgb="FFCCFFCC"/>
        </patternFill>
      </fill>
    </dxf>
  </rfmt>
  <rcc rId="7783" sId="3" numFmtId="13">
    <oc r="E4">
      <v>0.18867924528301888</v>
    </oc>
    <nc r="E4">
      <v>0.20754716981132076</v>
    </nc>
  </rcc>
  <rcc rId="7784" sId="3" numFmtId="13">
    <oc r="E3">
      <v>0.18867924528301888</v>
    </oc>
    <nc r="E3">
      <v>0.20754716981132076</v>
    </nc>
  </rcc>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S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cc rId="7785" sId="3">
    <oc r="P5" t="inlineStr">
      <is>
        <t>1, 3</t>
      </is>
    </oc>
    <nc r="P5">
      <v>1</v>
    </nc>
  </rcc>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cc rId="7786" sId="3" numFmtId="13">
    <oc r="P4">
      <v>0.7142857142857143</v>
    </oc>
    <nc r="P4">
      <v>0.8571428571428571</v>
    </nc>
  </rcc>
  <rcc rId="7787" sId="3" numFmtId="13">
    <oc r="P3">
      <v>0.7142857142857143</v>
    </oc>
    <nc r="P3">
      <v>0.8571428571428571</v>
    </nc>
  </rcc>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cc rId="7788" sId="3">
    <oc r="R5" t="inlineStr">
      <is>
        <t>10, 6, 12</t>
      </is>
    </oc>
    <nc r="R5" t="inlineStr">
      <is>
        <t>10, 6</t>
      </is>
    </nc>
  </rcc>
  <rfmt sheetId="4" sqref="S26" start="0" length="0">
    <dxf>
      <fill>
        <patternFill>
          <bgColor rgb="FFCCFFCC"/>
        </patternFill>
      </fill>
    </dxf>
  </rfmt>
  <rfmt sheetId="4" sqref="N27" start="0" length="0">
    <dxf>
      <fill>
        <patternFill>
          <bgColor rgb="FFCCFFCC"/>
        </patternFill>
      </fill>
    </dxf>
  </rfmt>
  <rcc rId="7789" sId="3" numFmtId="13">
    <oc r="R4">
      <v>0.625</v>
    </oc>
    <nc r="R4">
      <v>0.75</v>
    </nc>
  </rcc>
  <rcc rId="7790" sId="3" numFmtId="13">
    <oc r="R3">
      <v>0.625</v>
    </oc>
    <nc r="R3">
      <v>0.75</v>
    </nc>
  </rcc>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791" sId="3" odxf="1" dxf="1" numFmtId="19">
    <nc r="A18">
      <v>41704</v>
    </nc>
    <odxf>
      <font>
        <color indexed="8"/>
        <name val="Times New Roman"/>
        <scheme val="none"/>
      </font>
      <border outline="0">
        <left style="medium">
          <color indexed="64"/>
        </left>
        <top/>
      </border>
    </odxf>
    <ndxf>
      <font>
        <color rgb="FF000000"/>
        <name val="Calibri"/>
        <scheme val="minor"/>
      </font>
      <border outline="0">
        <left style="thin">
          <color indexed="64"/>
        </left>
        <top style="thin">
          <color indexed="64"/>
        </top>
      </border>
    </ndxf>
  </rcc>
  <rfmt sheetId="3" sqref="B18" start="0" length="0">
    <dxf>
      <font>
        <sz val="9"/>
        <color indexed="8"/>
        <name val="Calibri"/>
        <scheme val="minor"/>
      </font>
      <fill>
        <patternFill>
          <bgColor rgb="FFCCFFCC"/>
        </patternFill>
      </fill>
    </dxf>
  </rfmt>
  <rfmt sheetId="3" sqref="C18" start="0" length="0">
    <dxf>
      <font>
        <sz val="9"/>
        <color indexed="8"/>
        <name val="Calibri"/>
        <scheme val="minor"/>
      </font>
      <fill>
        <patternFill>
          <bgColor rgb="FFCCFFCC"/>
        </patternFill>
      </fill>
    </dxf>
  </rfmt>
  <rfmt sheetId="3" sqref="D18" start="0" length="0">
    <dxf>
      <font>
        <sz val="9"/>
        <color indexed="8"/>
        <name val="Calibri"/>
        <scheme val="minor"/>
      </font>
      <fill>
        <patternFill>
          <bgColor rgb="FFCCFFCC"/>
        </patternFill>
      </fill>
    </dxf>
  </rfmt>
  <rfmt sheetId="3" sqref="E18" start="0" length="0">
    <dxf>
      <font>
        <sz val="9"/>
        <color indexed="8"/>
        <name val="Calibri"/>
        <scheme val="minor"/>
      </font>
      <fill>
        <patternFill>
          <bgColor rgb="FFCCFFCC"/>
        </patternFill>
      </fill>
    </dxf>
  </rfmt>
  <rfmt sheetId="3" s="1" sqref="F18" start="0" length="0">
    <dxf>
      <font>
        <sz val="10"/>
        <color indexed="8"/>
        <name val="Calibri"/>
        <scheme val="minor"/>
      </font>
      <fill>
        <patternFill>
          <bgColor rgb="FFCCFFCC"/>
        </patternFill>
      </fill>
      <alignment wrapText="1" readingOrder="0"/>
    </dxf>
  </rfmt>
  <rfmt sheetId="3" sqref="G18" start="0" length="0">
    <dxf>
      <fill>
        <patternFill>
          <bgColor rgb="FFCCFFCC"/>
        </patternFill>
      </fill>
    </dxf>
  </rfmt>
  <rfmt sheetId="3" sqref="H18" start="0" length="0">
    <dxf>
      <fill>
        <patternFill>
          <bgColor rgb="FFCCFFCC"/>
        </patternFill>
      </fill>
    </dxf>
  </rfmt>
  <rfmt sheetId="3" sqref="I18" start="0" length="0">
    <dxf>
      <fill>
        <patternFill>
          <bgColor rgb="FFCCFFCC"/>
        </patternFill>
      </fill>
    </dxf>
  </rfmt>
  <rfmt sheetId="3" sqref="J18" start="0" length="0">
    <dxf>
      <fill>
        <patternFill>
          <bgColor rgb="FFCCFFCC"/>
        </patternFill>
      </fill>
    </dxf>
  </rfmt>
  <rfmt sheetId="3" sqref="K18" start="0" length="0">
    <dxf>
      <fill>
        <patternFill>
          <bgColor rgb="FFCCFFCC"/>
        </patternFill>
      </fill>
    </dxf>
  </rfmt>
  <rfmt sheetId="3" sqref="L18" start="0" length="0">
    <dxf>
      <fill>
        <patternFill>
          <bgColor rgb="FFCCFFCC"/>
        </patternFill>
      </fill>
    </dxf>
  </rfmt>
  <rfmt sheetId="3" sqref="M18" start="0" length="0">
    <dxf>
      <fill>
        <patternFill>
          <bgColor rgb="FFCCFFCC"/>
        </patternFill>
      </fill>
    </dxf>
  </rfmt>
  <rfmt sheetId="3" sqref="N18" start="0" length="0">
    <dxf>
      <fill>
        <patternFill>
          <bgColor rgb="FFCCFFCC"/>
        </patternFill>
      </fill>
    </dxf>
  </rfmt>
  <rfmt sheetId="3" sqref="O18" start="0" length="0">
    <dxf>
      <font>
        <sz val="9"/>
        <color indexed="8"/>
        <name val="Calibri"/>
        <scheme val="minor"/>
      </font>
      <fill>
        <patternFill>
          <bgColor rgb="FFCCFFCC"/>
        </patternFill>
      </fill>
    </dxf>
  </rfmt>
  <rcc rId="7792" sId="3" odxf="1" dxf="1">
    <nc r="P18">
      <v>3</v>
    </nc>
    <odxf>
      <font>
        <sz val="9"/>
        <color indexed="8"/>
        <name val="Calibri"/>
        <scheme val="none"/>
      </font>
      <fill>
        <patternFill>
          <bgColor theme="0"/>
        </patternFill>
      </fill>
    </odxf>
    <ndxf>
      <font>
        <sz val="9"/>
        <color indexed="8"/>
        <name val="Calibri"/>
        <scheme val="minor"/>
      </font>
      <fill>
        <patternFill>
          <bgColor rgb="FFCCFFCC"/>
        </patternFill>
      </fill>
    </ndxf>
  </rcc>
  <rcc rId="7793" sId="3" odxf="1" dxf="1">
    <nc r="Q18">
      <v>4</v>
    </nc>
    <odxf>
      <font>
        <sz val="9"/>
        <color indexed="8"/>
        <name val="Calibri"/>
        <scheme val="none"/>
      </font>
      <fill>
        <patternFill>
          <bgColor theme="0"/>
        </patternFill>
      </fill>
    </odxf>
    <ndxf>
      <font>
        <sz val="9"/>
        <color indexed="8"/>
        <name val="Calibri"/>
        <scheme val="minor"/>
      </font>
      <fill>
        <patternFill>
          <bgColor rgb="FFCCFFCC"/>
        </patternFill>
      </fill>
    </ndxf>
  </rcc>
  <rcc rId="7794" sId="3" odxf="1" dxf="1">
    <nc r="R18">
      <v>12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S18" start="0" length="0">
    <dxf>
      <font>
        <sz val="9"/>
        <color indexed="8"/>
        <name val="Calibri"/>
        <scheme val="minor"/>
      </font>
      <fill>
        <patternFill>
          <bgColor rgb="FFCCFFCC"/>
        </patternFill>
      </fill>
    </dxf>
  </rfmt>
  <rfmt sheetId="3" sqref="T18" start="0" length="0">
    <dxf>
      <font>
        <sz val="9"/>
        <color indexed="8"/>
        <name val="Calibri"/>
        <scheme val="minor"/>
      </font>
      <fill>
        <patternFill>
          <bgColor rgb="FFCCFFCC"/>
        </patternFill>
      </fill>
    </dxf>
  </rfmt>
  <rcc rId="7795" sId="3" odxf="1" dxf="1">
    <nc r="U18">
      <v>5</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7796" sId="3" odxf="1" dxf="1">
    <nc r="V18"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797" sId="3" odxf="1" s="1" dxf="1">
    <nc r="W18" t="inlineStr">
      <is>
        <t>Pass</t>
      </is>
    </nc>
    <odxf>
      <font>
        <b val="0"/>
        <i val="0"/>
        <strike val="0"/>
        <condense val="0"/>
        <extend val="0"/>
        <outline val="0"/>
        <shadow val="0"/>
        <u val="none"/>
        <vertAlign val="baseline"/>
        <sz val="9"/>
        <color indexed="8"/>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ndxf>
  </rcc>
  <rcc rId="7798" sId="3">
    <nc r="B18">
      <v>3</v>
    </nc>
  </rcc>
  <rcc rId="7799" sId="3">
    <nc r="C18">
      <v>3</v>
    </nc>
  </rcc>
  <rcc rId="7800" sId="3">
    <nc r="D18">
      <v>14</v>
    </nc>
  </rcc>
  <rcc rId="7801" sId="3">
    <nc r="E18">
      <v>31</v>
    </nc>
  </rcc>
  <rcc rId="7802" sId="3">
    <nc r="F18">
      <v>16</v>
    </nc>
  </rcc>
  <rcc rId="7803" sId="3">
    <nc r="G18">
      <v>11</v>
    </nc>
  </rcc>
  <rcc rId="7804" sId="3">
    <nc r="H18">
      <v>11</v>
    </nc>
  </rcc>
  <rcc rId="7805" sId="3">
    <nc r="I18">
      <v>11</v>
    </nc>
  </rcc>
  <rcc rId="7806" sId="3">
    <nc r="J18">
      <v>11</v>
    </nc>
  </rcc>
  <rcc rId="7807" sId="3">
    <nc r="K18">
      <v>12</v>
    </nc>
  </rcc>
  <rcc rId="7808" sId="3">
    <nc r="L18">
      <v>12</v>
    </nc>
  </rcc>
  <rcc rId="7809" sId="3">
    <nc r="M18">
      <v>12</v>
    </nc>
  </rcc>
  <rcc rId="7810" sId="3">
    <nc r="N18">
      <v>12</v>
    </nc>
  </rcc>
  <rcc rId="7811" sId="3">
    <nc r="O18">
      <v>2</v>
    </nc>
  </rcc>
  <rcc rId="7812" sId="3">
    <nc r="S18">
      <v>1</v>
    </nc>
  </rcc>
  <rcc rId="7813" sId="3">
    <nc r="T18">
      <v>2</v>
    </nc>
  </rcc>
  <rcc rId="7814" sId="3">
    <nc r="X18" t="inlineStr">
      <is>
        <t>All units have valid video and audio output.  
TX CC errors on VBI PID 4150 co-timed on all units, uplink issue..
AUD2 warnings on all units, known issue CSCuh25081.
VID warning only on all units, issue CSCuh25144(Decoder reports H264_DECODER_ERROR_RECOVERED).
Data warning on all units:
data_rcv_check_tp_hdr: Data TP packet was lost, tp_expect_cnt=8, tp_cont_counter=9</t>
      </is>
    </nc>
  </rcc>
  <rfmt sheetId="4" sqref="B5" start="0" length="0">
    <dxf>
      <fill>
        <patternFill>
          <bgColor rgb="FFFFFFFF"/>
        </patternFill>
      </fill>
    </dxf>
  </rfmt>
  <rfmt sheetId="4" sqref="B6"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cc rId="7815" sId="3">
    <oc r="B5" t="inlineStr">
      <is>
        <t>3, 6, 7, 8, 9, 10, 12, 16, 19, 20</t>
      </is>
    </oc>
    <nc r="B5" t="inlineStr">
      <is>
        <t>6, 7, 8, 9, 10, 12, 16, 19, 20</t>
      </is>
    </nc>
  </rcc>
  <rcc rId="7816" sId="3" numFmtId="13">
    <oc r="B4">
      <v>0.41176470588235292</v>
    </oc>
    <nc r="B4">
      <v>0.47058823529411764</v>
    </nc>
  </rcc>
  <rcc rId="7817" sId="3" numFmtId="13">
    <oc r="B3">
      <v>0.41176470588235292</v>
    </oc>
    <nc r="B3">
      <v>0.47058823529411764</v>
    </nc>
  </rcc>
  <rfmt sheetId="4" sqref="E5" start="0" length="0">
    <dxf>
      <fill>
        <patternFill>
          <bgColor rgb="FFFFFFFF"/>
        </patternFill>
      </fill>
    </dxf>
  </rfmt>
  <rfmt sheetId="4" sqref="E6"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cc rId="7818" sId="3">
    <oc r="C5" t="inlineStr">
      <is>
        <t>3, 6, 7, 9, 10, 11</t>
      </is>
    </oc>
    <nc r="C5" t="inlineStr">
      <is>
        <t>6, 7, 9, 10, 11</t>
      </is>
    </nc>
  </rcc>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cc rId="7819" sId="3" numFmtId="13">
    <oc r="C4">
      <v>0.5</v>
    </oc>
    <nc r="C4">
      <v>0.58333333333333337</v>
    </nc>
  </rcc>
  <rcc rId="7820" sId="3" numFmtId="13">
    <oc r="C3">
      <v>0.5</v>
    </oc>
    <nc r="C3">
      <v>0.58333333333333337</v>
    </nc>
  </rcc>
  <rfmt sheetId="4" sqref="I5" start="0" length="0">
    <dxf>
      <fill>
        <patternFill>
          <bgColor rgb="FFFFFFFF"/>
        </patternFill>
      </fill>
    </dxf>
  </rfmt>
  <rfmt sheetId="4" sqref="J5" start="0" length="0">
    <dxf>
      <fill>
        <patternFill>
          <bgColor rgb="FFFFFFFF"/>
        </patternFill>
      </fill>
    </dxf>
  </rfmt>
  <rfmt sheetId="4" sqref="J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J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821" sId="3">
    <oc r="D5" t="inlineStr">
      <is>
        <t>1, 16, 19, 22, 25, 2, 5, 17, 20, 26, 3, 6, 9, 21, 27, 10, 13, 28, 31, 34, 37, 14, 29, 32, 12, 15, 30, 33, 40, 41, 42, 43, 44, 45, 46, 47, 48, 49</t>
      </is>
    </oc>
    <nc r="D5" t="inlineStr">
      <is>
        <t>1, 16, 19, 22, 25, 2, 5, 17, 20, 26, 3, 6, 9, 21, 27, 10, 13, 28, 31, 34, 37, 29, 32, 12, 15, 30, 33, 40, 41, 42, 43, 44, 45, 46, 47, 48, 49</t>
      </is>
    </nc>
  </rcc>
  <rcc rId="7822" sId="3" numFmtId="13">
    <oc r="D4">
      <v>0.22448979591836735</v>
    </oc>
    <nc r="D4">
      <v>0.24489795918367346</v>
    </nc>
  </rcc>
  <rcc rId="7823" sId="3" numFmtId="13">
    <oc r="D3">
      <v>0.22448979591836735</v>
    </oc>
    <nc r="D3">
      <v>0.24489795918367346</v>
    </nc>
  </rcc>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4"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7824" sId="3">
    <oc r="E5" t="inlineStr">
      <is>
        <t>1, 3, 5, 2, 4, 6, 7, 9, 11, 15, 8, 10, 12, 16, 13, 14, 19, 21, 22, 26, 23, 27, 29, 30, 31, 32, 33, 34, 35, 36, 37, 38, 40, 39, 41, 42, 45, 46, 47, 49, 50, 53</t>
      </is>
    </oc>
    <nc r="E5" t="inlineStr">
      <is>
        <t>1, 3, 5, 2, 4, 6, 7, 9, 11, 15, 8, 10, 12, 16, 13, 14, 19, 21, 22, 26, 23, 27, 29, 30, 32, 33, 34, 35, 36, 37, 38, 40, 39, 41, 42, 45, 46, 47, 49, 50, 53</t>
      </is>
    </nc>
  </rcc>
  <rfmt sheetId="4" sqref="J33" start="0" length="0">
    <dxf>
      <fill>
        <patternFill>
          <bgColor rgb="FFCCFFCC"/>
        </patternFill>
      </fill>
    </dxf>
  </rfmt>
  <rcc rId="7825" sId="3" numFmtId="13">
    <oc r="E4">
      <v>0.20754716981132076</v>
    </oc>
    <nc r="E4">
      <v>0.22641509433962265</v>
    </nc>
  </rcc>
  <rcc rId="7826" sId="3" numFmtId="13">
    <oc r="E3">
      <v>0.20754716981132076</v>
    </oc>
    <nc r="E3">
      <v>0.22641509433962265</v>
    </nc>
  </rcc>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S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cc rId="7827" sId="3">
    <oc r="G5" t="inlineStr">
      <is>
        <t>5, 7, 6, 1, 2, 10, 11, 12, 27, 28, 25, 37, 29, 30, 19, 18, 20, 13, 14, 16, 22, 24, 33, 34, 31, 35, 36</t>
      </is>
    </oc>
    <nc r="G5" t="inlineStr">
      <is>
        <t>5, 7, 6, 1, 2, 10, 12, 27, 28, 25, 37, 29, 30, 19, 18, 20, 13, 14, 16, 22, 24, 33, 34, 31, 35, 36</t>
      </is>
    </nc>
  </rcc>
  <rcc rId="7828" sId="3" numFmtId="13">
    <oc r="G4">
      <v>0.27027027027027029</v>
    </oc>
    <nc r="G4">
      <v>0.29729729729729731</v>
    </nc>
  </rcc>
  <rcc rId="7829" sId="3" numFmtId="13">
    <oc r="G3">
      <v>0.27027027027027029</v>
    </oc>
    <nc r="G3">
      <v>0.29729729729729731</v>
    </nc>
  </rcc>
  <rcc rId="7830" sId="3">
    <oc r="H5" t="inlineStr">
      <is>
        <t>5, 7, 6, 1, 2, 10, 11, 12, 27, 28, 25, 37, 29, 30, 19, 18, 20, 13, 14, 16, 22, 24, 33, 34, 31, 35, 36</t>
      </is>
    </oc>
    <nc r="H5" t="inlineStr">
      <is>
        <t>5, 7, 6, 1, 2, 10, 12, 27, 28, 25, 37, 29, 30, 19, 18, 20, 13, 14, 16, 22, 24, 33, 34, 31, 35, 36</t>
      </is>
    </nc>
  </rcc>
  <rcc rId="7831" sId="3" numFmtId="13">
    <oc r="H4">
      <v>0.27027027027027029</v>
    </oc>
    <nc r="H4">
      <v>0.29729729729729731</v>
    </nc>
  </rcc>
  <rcc rId="7832" sId="3" numFmtId="13">
    <oc r="H3">
      <v>0.27027027027027029</v>
    </oc>
    <nc r="H3">
      <v>0.29729729729729731</v>
    </nc>
  </rcc>
  <rcc rId="7833" sId="3">
    <oc r="I5" t="inlineStr">
      <is>
        <t>5, 7, 6, 1, 2, 10, 11, 12, 27, 28, 25, 37, 29, 30, 19, 18, 20, 13, 14, 16, 22, 24, 33, 34, 31, 35, 36</t>
      </is>
    </oc>
    <nc r="I5" t="inlineStr">
      <is>
        <t>5, 7, 6, 1, 2, 10, 12, 27, 28, 25, 37, 29, 30, 19, 18, 20, 13, 14, 16, 22, 24, 33, 34, 31, 35, 36</t>
      </is>
    </nc>
  </rcc>
  <rcc rId="7834" sId="3" numFmtId="13">
    <oc r="I4">
      <v>0.27027027027027029</v>
    </oc>
    <nc r="I4">
      <v>0.29729729729729731</v>
    </nc>
  </rcc>
  <rcc rId="7835" sId="3" numFmtId="13">
    <oc r="I3">
      <v>0.27027027027027029</v>
    </oc>
    <nc r="I3">
      <v>0.29729729729729731</v>
    </nc>
  </rcc>
  <rcc rId="7836" sId="3">
    <oc r="J5" t="inlineStr">
      <is>
        <t>5, 7, 6, 1, 2, 10, 11, 12, 27, 28, 25, 37, 29, 30, 19, 18, 20, 13, 14, 16, 22, 24, 33, 34, 31, 35, 36</t>
      </is>
    </oc>
    <nc r="J5" t="inlineStr">
      <is>
        <t>5, 7, 6, 1, 2, 10, 12, 27, 28, 25, 37, 29, 30, 19, 18, 20, 13, 14, 16, 22, 24, 33, 34, 31, 35, 36</t>
      </is>
    </nc>
  </rcc>
  <rcc rId="7837" sId="3" numFmtId="13">
    <oc r="J4">
      <v>0.27027027027027029</v>
    </oc>
    <nc r="J4">
      <v>0.29729729729729731</v>
    </nc>
  </rcc>
  <rcc rId="7838" sId="3" numFmtId="13">
    <oc r="J3">
      <v>0.27027027027027029</v>
    </oc>
    <nc r="J3">
      <v>0.29729729729729731</v>
    </nc>
  </rcc>
  <rcc rId="7839" sId="3">
    <oc r="K5" t="inlineStr">
      <is>
        <t>5, 6, 1, 3, 2, 4, 9, 11, 12, 27, 25, 26, 29, 30, 17, 20, 13, 15, 14, 16, 21, 23, 33, 31, 32, 35, 36</t>
      </is>
    </oc>
    <nc r="K5" t="inlineStr">
      <is>
        <t>5, 6, 1, 3, 2, 4, 9, 11, 27, 25, 26, 29, 30, 17, 20, 13, 15, 14, 16, 21, 23, 33, 31, 32, 35, 36</t>
      </is>
    </nc>
  </rcc>
  <rcc rId="7840" sId="3" numFmtId="13">
    <oc r="K4">
      <v>0.27027027027027029</v>
    </oc>
    <nc r="K4">
      <v>0.29729729729729731</v>
    </nc>
  </rcc>
  <rcc rId="7841" sId="3" numFmtId="13">
    <oc r="K3">
      <v>0.27027027027027029</v>
    </oc>
    <nc r="K3">
      <v>0.29729729729729731</v>
    </nc>
  </rcc>
  <rcc rId="7842" sId="3">
    <oc r="L5" t="inlineStr">
      <is>
        <t>5, 6, 1, 3, 2, 4, 9, 11, 12, 27, 25, 26, 29, 30, 17, 20, 13, 15, 14, 16, 21, 23, 33, 31, 32, 35, 36</t>
      </is>
    </oc>
    <nc r="L5" t="inlineStr">
      <is>
        <t>5, 6, 1, 3, 2, 4, 9, 11, 27, 25, 26, 29, 30, 17, 20, 13, 15, 14, 16, 21, 23, 33, 31, 32, 35, 36</t>
      </is>
    </nc>
  </rcc>
  <rcc rId="7843" sId="3" numFmtId="13">
    <oc r="L4">
      <v>0.27027027027027029</v>
    </oc>
    <nc r="L4">
      <v>0.29729729729729731</v>
    </nc>
  </rcc>
  <rcc rId="7844" sId="3" numFmtId="13">
    <oc r="L3">
      <v>0.27027027027027029</v>
    </oc>
    <nc r="L3">
      <v>0.29729729729729731</v>
    </nc>
  </rcc>
  <rcc rId="7845" sId="3">
    <oc r="M5" t="inlineStr">
      <is>
        <t>5, 6, 1, 3, 2, 4, 9, 11, 12, 27, 25, 26, 29, 30, 17, 20, 13, 15, 14, 16, 21, 23, 33, 31, 32, 35, 36</t>
      </is>
    </oc>
    <nc r="M5" t="inlineStr">
      <is>
        <t>5, 6, 1, 3, 2, 4, 9, 11, 27, 25, 26, 29, 30, 17, 20, 13, 15, 14, 16, 21, 23, 33, 31, 32, 35, 36</t>
      </is>
    </nc>
  </rcc>
  <rcc rId="7846" sId="3" numFmtId="13">
    <oc r="M4">
      <v>0.27027027027027029</v>
    </oc>
    <nc r="M4">
      <v>0.29729729729729731</v>
    </nc>
  </rcc>
  <rcc rId="7847" sId="3" numFmtId="13">
    <oc r="M3">
      <v>0.27027027027027029</v>
    </oc>
    <nc r="M3">
      <v>0.29729729729729731</v>
    </nc>
  </rcc>
  <rcc rId="7848" sId="3">
    <oc r="N5" t="inlineStr">
      <is>
        <t>5, 6, 1, 3, 2, 4, 9, 11, 12, 27, 25, 26, 29, 30, 17, 20, 13, 15, 14, 16, 21, 23, 33, 31, 32, 35, 36</t>
      </is>
    </oc>
    <nc r="N5" t="inlineStr">
      <is>
        <t>5, 6, 1, 3, 2, 4, 9, 11, 27, 25, 26, 29, 30, 17, 20, 13, 15, 14, 16, 21, 23, 33, 31, 32, 35, 36</t>
      </is>
    </nc>
  </rcc>
  <rcc rId="7849" sId="3" numFmtId="13">
    <oc r="N4">
      <v>0.27027027027027029</v>
    </oc>
    <nc r="N4">
      <v>0.29729729729729731</v>
    </nc>
  </rcc>
  <rcc rId="7850" sId="3" numFmtId="13">
    <oc r="N3">
      <v>0.27027027027027029</v>
    </oc>
    <nc r="N3">
      <v>0.29729729729729731</v>
    </nc>
  </rcc>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cc rId="7851" sId="3">
    <oc r="O5" t="inlineStr">
      <is>
        <t>1, 2</t>
      </is>
    </oc>
    <nc r="O5">
      <v>1</v>
    </nc>
  </rcc>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cc rId="7852" sId="3" numFmtId="13">
    <oc r="O4">
      <v>0.75</v>
    </oc>
    <nc r="O4">
      <v>0.875</v>
    </nc>
  </rcc>
  <rcc rId="7853" sId="3" numFmtId="13">
    <oc r="O3">
      <v>0.75</v>
    </oc>
    <nc r="O3">
      <v>0.875</v>
    </nc>
  </rcc>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854" sId="3" numFmtId="19">
    <oc r="A18">
      <v>41704</v>
    </oc>
    <nc r="A18">
      <v>41705</v>
    </nc>
  </rcc>
  <rfmt sheetId="3" sqref="A20" start="0" length="0">
    <dxf>
      <font>
        <color rgb="FF000000"/>
        <name val="Calibri"/>
        <scheme val="minor"/>
      </font>
      <border outline="0">
        <left style="thin">
          <color indexed="64"/>
        </left>
        <top style="thin">
          <color indexed="64"/>
        </top>
      </border>
    </dxf>
  </rfmt>
  <rfmt sheetId="3" sqref="B20" start="0" length="0">
    <dxf>
      <font>
        <sz val="9"/>
        <color indexed="8"/>
        <name val="Calibri"/>
        <scheme val="minor"/>
      </font>
      <fill>
        <patternFill>
          <bgColor rgb="FFCCFFCC"/>
        </patternFill>
      </fill>
    </dxf>
  </rfmt>
  <rfmt sheetId="3" sqref="C20" start="0" length="0">
    <dxf>
      <font>
        <sz val="9"/>
        <color indexed="8"/>
        <name val="Calibri"/>
        <scheme val="minor"/>
      </font>
      <fill>
        <patternFill>
          <bgColor rgb="FFCCFFCC"/>
        </patternFill>
      </fill>
    </dxf>
  </rfmt>
  <rfmt sheetId="3" sqref="D20" start="0" length="0">
    <dxf>
      <font>
        <sz val="9"/>
        <color indexed="8"/>
        <name val="Calibri"/>
        <scheme val="minor"/>
      </font>
      <fill>
        <patternFill>
          <bgColor rgb="FFCCFFCC"/>
        </patternFill>
      </fill>
    </dxf>
  </rfmt>
  <rfmt sheetId="3" sqref="E20" start="0" length="0">
    <dxf>
      <font>
        <sz val="9"/>
        <color indexed="8"/>
        <name val="Calibri"/>
        <scheme val="minor"/>
      </font>
      <fill>
        <patternFill>
          <bgColor rgb="FFCCFFCC"/>
        </patternFill>
      </fill>
    </dxf>
  </rfmt>
  <rfmt sheetId="3" s="1" sqref="F20" start="0" length="0">
    <dxf>
      <font>
        <sz val="10"/>
        <color indexed="8"/>
        <name val="Calibri"/>
        <scheme val="minor"/>
      </font>
      <fill>
        <patternFill>
          <bgColor rgb="FFCCFFCC"/>
        </patternFill>
      </fill>
      <alignment wrapText="1" readingOrder="0"/>
    </dxf>
  </rfmt>
  <rfmt sheetId="3" sqref="G20" start="0" length="0">
    <dxf>
      <fill>
        <patternFill>
          <bgColor rgb="FFCCFFCC"/>
        </patternFill>
      </fill>
    </dxf>
  </rfmt>
  <rfmt sheetId="3" sqref="H20" start="0" length="0">
    <dxf>
      <fill>
        <patternFill>
          <bgColor rgb="FFCCFFCC"/>
        </patternFill>
      </fill>
    </dxf>
  </rfmt>
  <rfmt sheetId="3" sqref="I20" start="0" length="0">
    <dxf>
      <fill>
        <patternFill>
          <bgColor rgb="FFCCFFCC"/>
        </patternFill>
      </fill>
    </dxf>
  </rfmt>
  <rfmt sheetId="3" sqref="J20" start="0" length="0">
    <dxf>
      <fill>
        <patternFill>
          <bgColor rgb="FFCCFFCC"/>
        </patternFill>
      </fill>
    </dxf>
  </rfmt>
  <rfmt sheetId="3" sqref="K20" start="0" length="0">
    <dxf>
      <fill>
        <patternFill>
          <bgColor rgb="FFCCFFCC"/>
        </patternFill>
      </fill>
    </dxf>
  </rfmt>
  <rfmt sheetId="3" sqref="L20" start="0" length="0">
    <dxf>
      <fill>
        <patternFill>
          <bgColor rgb="FFCCFFCC"/>
        </patternFill>
      </fill>
    </dxf>
  </rfmt>
  <rfmt sheetId="3" sqref="M20" start="0" length="0">
    <dxf>
      <fill>
        <patternFill>
          <bgColor rgb="FFCCFFCC"/>
        </patternFill>
      </fill>
    </dxf>
  </rfmt>
  <rfmt sheetId="3" sqref="N20" start="0" length="0">
    <dxf>
      <fill>
        <patternFill>
          <bgColor rgb="FFCCFFCC"/>
        </patternFill>
      </fill>
    </dxf>
  </rfmt>
  <rfmt sheetId="3" sqref="O20" start="0" length="0">
    <dxf>
      <font>
        <sz val="9"/>
        <color indexed="8"/>
        <name val="Calibri"/>
        <scheme val="minor"/>
      </font>
      <fill>
        <patternFill>
          <bgColor rgb="FFCCFFCC"/>
        </patternFill>
      </fill>
    </dxf>
  </rfmt>
  <rfmt sheetId="3" sqref="P20" start="0" length="0">
    <dxf>
      <font>
        <sz val="9"/>
        <color indexed="8"/>
        <name val="Calibri"/>
        <scheme val="minor"/>
      </font>
      <fill>
        <patternFill>
          <bgColor rgb="FFCCFFCC"/>
        </patternFill>
      </fill>
    </dxf>
  </rfmt>
  <rfmt sheetId="3" sqref="Q20" start="0" length="0">
    <dxf>
      <font>
        <sz val="9"/>
        <color indexed="8"/>
        <name val="Calibri"/>
        <scheme val="minor"/>
      </font>
      <fill>
        <patternFill>
          <bgColor rgb="FFCCFFCC"/>
        </patternFill>
      </fill>
    </dxf>
  </rfmt>
  <rfmt sheetId="3" sqref="R20" start="0" length="0">
    <dxf>
      <font>
        <sz val="9"/>
        <color indexed="8"/>
        <name val="Calibri"/>
        <scheme val="minor"/>
      </font>
      <fill>
        <patternFill>
          <bgColor rgb="FFCCFFCC"/>
        </patternFill>
      </fill>
    </dxf>
  </rfmt>
  <rcc rId="7855" sId="3" odxf="1" dxf="1">
    <nc r="S20">
      <v>1</v>
    </nc>
    <odxf>
      <font>
        <sz val="9"/>
        <color indexed="8"/>
        <name val="Calibri"/>
        <scheme val="none"/>
      </font>
      <fill>
        <patternFill>
          <bgColor theme="0"/>
        </patternFill>
      </fill>
    </odxf>
    <ndxf>
      <font>
        <sz val="9"/>
        <color indexed="8"/>
        <name val="Calibri"/>
        <scheme val="minor"/>
      </font>
      <fill>
        <patternFill>
          <bgColor rgb="FFCCFFCC"/>
        </patternFill>
      </fill>
    </ndxf>
  </rcc>
  <rcc rId="7856" sId="3" odxf="1" dxf="1">
    <nc r="T20">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20"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7857" sId="3" odxf="1" dxf="1">
    <nc r="V20"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858" sId="3" odxf="1" s="1" dxf="1">
    <nc r="W20" t="inlineStr">
      <is>
        <t>Pass</t>
      </is>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7859" sId="3" numFmtId="19">
    <nc r="A20">
      <v>41709</v>
    </nc>
  </rcc>
  <rcc rId="7860" sId="3">
    <nc r="B20">
      <v>17</v>
    </nc>
  </rcc>
  <rcc rId="7861" sId="3">
    <nc r="C20">
      <v>17</v>
    </nc>
  </rcc>
  <rcc rId="7862" sId="3">
    <nc r="D20">
      <v>17</v>
    </nc>
  </rcc>
  <rcc rId="7863" sId="3">
    <nc r="E20">
      <v>34</v>
    </nc>
  </rcc>
  <rcc rId="7864" sId="3">
    <nc r="F20">
      <v>4</v>
    </nc>
  </rcc>
  <rcc rId="7865" sId="3">
    <nc r="G20">
      <v>14</v>
    </nc>
  </rcc>
  <rfmt sheetId="3" xfDxf="1" sqref="H20" start="0" length="0">
    <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cc rId="7866" sId="3">
    <nc r="H20">
      <v>14</v>
    </nc>
  </rcc>
  <rcc rId="7867" sId="3">
    <nc r="I20">
      <v>14</v>
    </nc>
  </rcc>
  <rcc rId="7868" sId="3">
    <nc r="J20">
      <v>14</v>
    </nc>
  </rcc>
  <rcc rId="7869" sId="3">
    <nc r="K20">
      <v>13</v>
    </nc>
  </rcc>
  <rcc rId="7870" sId="3">
    <nc r="L20">
      <v>13</v>
    </nc>
  </rcc>
  <rcc rId="7871" sId="3">
    <nc r="M20">
      <v>13</v>
    </nc>
  </rcc>
  <rcc rId="7872" sId="3">
    <nc r="N20">
      <v>13</v>
    </nc>
  </rcc>
  <rcc rId="7873" sId="3">
    <nc r="O20">
      <v>8</v>
    </nc>
  </rcc>
  <rcc rId="7874" sId="3">
    <nc r="P20">
      <v>5</v>
    </nc>
  </rcc>
  <rcc rId="7875" sId="3">
    <nc r="Q20">
      <v>1</v>
    </nc>
  </rcc>
  <rcc rId="7876" sId="3">
    <nc r="R20">
      <v>5</v>
    </nc>
  </rcc>
  <rcc rId="7877" sId="3">
    <nc r="U20">
      <v>6</v>
    </nc>
  </rcc>
  <rcc rId="7878" sId="3">
    <nc r="X20" t="inlineStr">
      <is>
        <t>All units have valid video and audio output.  
TX CC errors on PID 4001,4002,4003,4004,4005,206 co-timed on all units, uplink issue..
MPE warnings on several units, system issue</t>
      </is>
    </nc>
  </rcc>
  <rcc rId="7879" sId="4" numFmtId="19">
    <oc r="I2">
      <v>41704</v>
    </oc>
    <nc r="I2">
      <v>41709</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J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880" sId="3">
    <oc r="D5" t="inlineStr">
      <is>
        <t>1, 16, 19, 22, 25, 2, 5, 17, 20, 26, 3, 6, 9, 21, 27, 10, 13, 28, 31, 34, 37, 29, 32, 12, 15, 30, 33, 40, 41, 42, 43, 44, 45, 46, 47, 48, 49</t>
      </is>
    </oc>
    <nc r="D5" t="inlineStr">
      <is>
        <t>1, 16, 19, 22, 25, 2, 5, 20, 26, 3, 6, 9, 21, 27, 10, 13, 28, 31, 34, 37, 29, 32, 12, 15, 30, 33, 40, 41, 42, 43, 44, 45, 46, 47, 48, 49</t>
      </is>
    </nc>
  </rcc>
  <rcc rId="7881" sId="3" numFmtId="13">
    <oc r="D4">
      <v>0.24489795918367346</v>
    </oc>
    <nc r="D4">
      <v>0.26530612244897961</v>
    </nc>
  </rcc>
  <rcc rId="7882" sId="3" numFmtId="13">
    <oc r="D3">
      <v>0.24489795918367346</v>
    </oc>
    <nc r="D3">
      <v>0.26530612244897961</v>
    </nc>
  </rcc>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J27"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7883" sId="3">
    <oc r="E5" t="inlineStr">
      <is>
        <t>1, 3, 5, 2, 4, 6, 7, 9, 11, 15, 8, 10, 12, 16, 13, 14, 19, 21, 22, 26, 23, 27, 29, 30, 32, 33, 34, 35, 36, 37, 38, 40, 39, 41, 42, 45, 46, 47, 49, 50, 53</t>
      </is>
    </oc>
    <nc r="E5" t="inlineStr">
      <is>
        <t>1, 3, 5, 2, 4, 6, 7, 9, 11, 15, 8, 10, 12, 16, 13, 14, 19, 21, 22, 26, 23, 27, 29, 30, 32, 33, 35, 36, 37, 38, 40, 39, 41, 42, 45, 46, 47, 49, 50, 53</t>
      </is>
    </nc>
  </rcc>
  <rfmt sheetId="4" sqref="J33" start="0" length="0">
    <dxf>
      <fill>
        <patternFill>
          <bgColor rgb="FFCCFFCC"/>
        </patternFill>
      </fill>
    </dxf>
  </rfmt>
  <rcc rId="7884" sId="3" numFmtId="13">
    <oc r="E4">
      <v>0.22641509433962265</v>
    </oc>
    <nc r="E4">
      <v>0.24528301886792453</v>
    </nc>
  </rcc>
  <rcc rId="7885" sId="3" numFmtId="13">
    <oc r="E3">
      <v>0.22641509433962265</v>
    </oc>
    <nc r="E3">
      <v>0.24528301886792453</v>
    </nc>
  </rcc>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cc rId="7886" sId="3">
    <oc r="F5" t="inlineStr">
      <is>
        <t>1, 4, 6, 7</t>
      </is>
    </oc>
    <nc r="F5" t="inlineStr">
      <is>
        <t>1, 6, 7</t>
      </is>
    </nc>
  </rcc>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cc rId="7887" sId="3" numFmtId="13">
    <oc r="F4">
      <v>0.7142857142857143</v>
    </oc>
    <nc r="F4">
      <v>0.7857142857142857</v>
    </nc>
  </rcc>
  <rcc rId="7888" sId="3" numFmtId="13">
    <oc r="F3">
      <v>0.7142857142857143</v>
    </oc>
    <nc r="F3">
      <v>0.7857142857142857</v>
    </nc>
  </rcc>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S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cc rId="7889" sId="3">
    <oc r="G5" t="inlineStr">
      <is>
        <t>5, 7, 6, 1, 2, 10, 12, 27, 28, 25, 37, 29, 30, 19, 18, 20, 13, 14, 16, 22, 24, 33, 34, 31, 35, 36</t>
      </is>
    </oc>
    <nc r="G5" t="inlineStr">
      <is>
        <t>5, 7, 6, 1, 2, 10, 12, 27, 28, 25, 37, 29, 30, 19, 18, 20, 13, 16, 22, 24, 33, 34, 31, 35, 36</t>
      </is>
    </nc>
  </rcc>
  <rcc rId="7890" sId="3" numFmtId="13">
    <oc r="G4">
      <v>0.29729729729729731</v>
    </oc>
    <nc r="G4">
      <v>0.32432432432432434</v>
    </nc>
  </rcc>
  <rcc rId="7891" sId="3" numFmtId="13">
    <oc r="G3">
      <v>0.29729729729729731</v>
    </oc>
    <nc r="G3">
      <v>0.32432432432432434</v>
    </nc>
  </rcc>
  <rcc rId="7892" sId="3">
    <oc r="H5" t="inlineStr">
      <is>
        <t>5, 7, 6, 1, 2, 10, 12, 27, 28, 25, 37, 29, 30, 19, 18, 20, 13, 14, 16, 22, 24, 33, 34, 31, 35, 36</t>
      </is>
    </oc>
    <nc r="H5" t="inlineStr">
      <is>
        <t>5, 7, 6, 1, 2, 10, 12, 27, 28, 25, 37, 29, 30, 19, 18, 20, 13, 16, 22, 24, 33, 34, 31, 35, 36</t>
      </is>
    </nc>
  </rcc>
  <rcc rId="7893" sId="3" numFmtId="13">
    <oc r="H4">
      <v>0.29729729729729731</v>
    </oc>
    <nc r="H4">
      <v>0.32432432432432434</v>
    </nc>
  </rcc>
  <rcc rId="7894" sId="3" numFmtId="13">
    <oc r="H3">
      <v>0.29729729729729731</v>
    </oc>
    <nc r="H3">
      <v>0.32432432432432434</v>
    </nc>
  </rcc>
  <rcc rId="7895" sId="3">
    <oc r="I5" t="inlineStr">
      <is>
        <t>5, 7, 6, 1, 2, 10, 12, 27, 28, 25, 37, 29, 30, 19, 18, 20, 13, 14, 16, 22, 24, 33, 34, 31, 35, 36</t>
      </is>
    </oc>
    <nc r="I5" t="inlineStr">
      <is>
        <t>5, 7, 6, 1, 2, 10, 12, 27, 28, 25, 37, 29, 30, 19, 18, 20, 13, 16, 22, 24, 33, 34, 31, 35, 36</t>
      </is>
    </nc>
  </rcc>
  <rcc rId="7896" sId="3" numFmtId="13">
    <oc r="I4">
      <v>0.29729729729729731</v>
    </oc>
    <nc r="I4">
      <v>0.32432432432432434</v>
    </nc>
  </rcc>
  <rcc rId="7897" sId="3" numFmtId="13">
    <oc r="I3">
      <v>0.29729729729729731</v>
    </oc>
    <nc r="I3">
      <v>0.32432432432432434</v>
    </nc>
  </rcc>
  <rcc rId="7898" sId="3">
    <oc r="J5" t="inlineStr">
      <is>
        <t>5, 7, 6, 1, 2, 10, 12, 27, 28, 25, 37, 29, 30, 19, 18, 20, 13, 14, 16, 22, 24, 33, 34, 31, 35, 36</t>
      </is>
    </oc>
    <nc r="J5" t="inlineStr">
      <is>
        <t>5, 7, 6, 1, 2, 10, 12, 27, 28, 25, 37, 29, 30, 19, 18, 20, 13, 16, 22, 24, 33, 34, 31, 35, 36</t>
      </is>
    </nc>
  </rcc>
  <rcc rId="7899" sId="3" numFmtId="13">
    <oc r="J4">
      <v>0.29729729729729731</v>
    </oc>
    <nc r="J4">
      <v>0.32432432432432434</v>
    </nc>
  </rcc>
  <rcc rId="7900" sId="3" numFmtId="13">
    <oc r="J3">
      <v>0.29729729729729731</v>
    </oc>
    <nc r="J3">
      <v>0.32432432432432434</v>
    </nc>
  </rcc>
  <rcc rId="7901" sId="3">
    <oc r="K5" t="inlineStr">
      <is>
        <t>5, 6, 1, 3, 2, 4, 9, 11, 27, 25, 26, 29, 30, 17, 20, 13, 15, 14, 16, 21, 23, 33, 31, 32, 35, 36</t>
      </is>
    </oc>
    <nc r="K5" t="inlineStr">
      <is>
        <t>5, 6, 1, 3, 2, 4, 9, 11, 27, 25, 26, 29, 30, 17, 20, 15, 14, 16, 21, 23, 33, 31, 32, 35, 36</t>
      </is>
    </nc>
  </rcc>
  <rcc rId="7902" sId="3" numFmtId="13">
    <oc r="K4">
      <v>0.29729729729729731</v>
    </oc>
    <nc r="K4">
      <v>0.32432432432432434</v>
    </nc>
  </rcc>
  <rcc rId="7903" sId="3" numFmtId="13">
    <oc r="K3">
      <v>0.29729729729729731</v>
    </oc>
    <nc r="K3">
      <v>0.32432432432432434</v>
    </nc>
  </rcc>
  <rcc rId="7904" sId="3">
    <oc r="L5" t="inlineStr">
      <is>
        <t>5, 6, 1, 3, 2, 4, 9, 11, 27, 25, 26, 29, 30, 17, 20, 13, 15, 14, 16, 21, 23, 33, 31, 32, 35, 36</t>
      </is>
    </oc>
    <nc r="L5" t="inlineStr">
      <is>
        <t>5, 6, 1, 3, 2, 4, 9, 11, 27, 25, 26, 29, 30, 17, 20, 15, 14, 16, 21, 23, 33, 31, 32, 35, 36</t>
      </is>
    </nc>
  </rcc>
  <rcc rId="7905" sId="3" numFmtId="13">
    <oc r="L4">
      <v>0.29729729729729731</v>
    </oc>
    <nc r="L4">
      <v>0.32432432432432434</v>
    </nc>
  </rcc>
  <rcc rId="7906" sId="3" numFmtId="13">
    <oc r="L3">
      <v>0.29729729729729731</v>
    </oc>
    <nc r="L3">
      <v>0.32432432432432434</v>
    </nc>
  </rcc>
  <rcc rId="7907" sId="3">
    <oc r="M5" t="inlineStr">
      <is>
        <t>5, 6, 1, 3, 2, 4, 9, 11, 27, 25, 26, 29, 30, 17, 20, 13, 15, 14, 16, 21, 23, 33, 31, 32, 35, 36</t>
      </is>
    </oc>
    <nc r="M5" t="inlineStr">
      <is>
        <t>5, 6, 1, 3, 2, 4, 9, 11, 27, 25, 26, 29, 30, 17, 20, 15, 14, 16, 21, 23, 33, 31, 32, 35, 36</t>
      </is>
    </nc>
  </rcc>
  <rcc rId="7908" sId="3" numFmtId="13">
    <oc r="M4">
      <v>0.29729729729729731</v>
    </oc>
    <nc r="M4">
      <v>0.32432432432432434</v>
    </nc>
  </rcc>
  <rcc rId="7909" sId="3" numFmtId="13">
    <oc r="M3">
      <v>0.29729729729729731</v>
    </oc>
    <nc r="M3">
      <v>0.32432432432432434</v>
    </nc>
  </rcc>
  <rcc rId="7910" sId="3">
    <oc r="N5" t="inlineStr">
      <is>
        <t>5, 6, 1, 3, 2, 4, 9, 11, 27, 25, 26, 29, 30, 17, 20, 13, 15, 14, 16, 21, 23, 33, 31, 32, 35, 36</t>
      </is>
    </oc>
    <nc r="N5" t="inlineStr">
      <is>
        <t>5, 6, 1, 3, 2, 4, 9, 11, 27, 25, 26, 29, 30, 17, 20, 15, 14, 16, 21, 23, 33, 31, 32, 35, 36</t>
      </is>
    </nc>
  </rcc>
  <rcc rId="7911" sId="3" numFmtId="13">
    <oc r="N4">
      <v>0.29729729729729731</v>
    </oc>
    <nc r="N4">
      <v>0.32432432432432434</v>
    </nc>
  </rcc>
  <rcc rId="7912" sId="3" numFmtId="13">
    <oc r="N3">
      <v>0.29729729729729731</v>
    </oc>
    <nc r="N3">
      <v>0.32432432432432434</v>
    </nc>
  </rcc>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fmt sheetId="3" sqref="A19" start="0" length="0">
    <dxf>
      <font>
        <color rgb="FF000000"/>
        <name val="Calibri"/>
        <scheme val="minor"/>
      </font>
      <border outline="0">
        <left style="thin">
          <color indexed="64"/>
        </left>
        <top style="thin">
          <color indexed="64"/>
        </top>
      </border>
    </dxf>
  </rfmt>
  <rfmt sheetId="3" sqref="B19" start="0" length="0">
    <dxf>
      <font>
        <sz val="9"/>
        <color indexed="8"/>
        <name val="Calibri"/>
        <scheme val="minor"/>
      </font>
      <fill>
        <patternFill>
          <bgColor rgb="FFCCFFCC"/>
        </patternFill>
      </fill>
    </dxf>
  </rfmt>
  <rfmt sheetId="3" sqref="C19" start="0" length="0">
    <dxf>
      <font>
        <sz val="9"/>
        <color indexed="8"/>
        <name val="Calibri"/>
        <scheme val="minor"/>
      </font>
      <fill>
        <patternFill>
          <bgColor rgb="FFCCFFCC"/>
        </patternFill>
      </fill>
    </dxf>
  </rfmt>
  <rfmt sheetId="3" sqref="D19" start="0" length="0">
    <dxf>
      <font>
        <sz val="9"/>
        <color indexed="8"/>
        <name val="Calibri"/>
        <scheme val="minor"/>
      </font>
      <fill>
        <patternFill>
          <bgColor rgb="FFCCFFCC"/>
        </patternFill>
      </fill>
    </dxf>
  </rfmt>
  <rcc rId="7913" sId="3" odxf="1" dxf="1">
    <nc r="E19">
      <v>34</v>
    </nc>
    <odxf>
      <font>
        <sz val="9"/>
        <color indexed="8"/>
        <name val="Calibri"/>
        <scheme val="none"/>
      </font>
      <fill>
        <patternFill>
          <bgColor theme="0"/>
        </patternFill>
      </fill>
    </odxf>
    <ndxf>
      <font>
        <sz val="9"/>
        <color indexed="8"/>
        <name val="Calibri"/>
        <scheme val="minor"/>
      </font>
      <fill>
        <patternFill>
          <bgColor rgb="FFCCFFCC"/>
        </patternFill>
      </fill>
    </ndxf>
  </rcc>
  <rcc rId="7914" sId="3" odxf="1" s="1" dxf="1">
    <nc r="F19">
      <v>4</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qref="G19" start="0" length="0">
    <dxf>
      <fill>
        <patternFill>
          <bgColor rgb="FFCCFFCC"/>
        </patternFill>
      </fill>
    </dxf>
  </rfmt>
  <rfmt sheetId="3" sqref="H19" start="0" length="0">
    <dxf>
      <fill>
        <patternFill>
          <bgColor rgb="FFCCFFCC"/>
        </patternFill>
      </fill>
    </dxf>
  </rfmt>
  <rfmt sheetId="3" sqref="I19" start="0" length="0">
    <dxf>
      <fill>
        <patternFill>
          <bgColor rgb="FFCCFFCC"/>
        </patternFill>
      </fill>
    </dxf>
  </rfmt>
  <rfmt sheetId="3" sqref="J19" start="0" length="0">
    <dxf>
      <fill>
        <patternFill>
          <bgColor rgb="FFCCFFCC"/>
        </patternFill>
      </fill>
    </dxf>
  </rfmt>
  <rfmt sheetId="3" sqref="K19" start="0" length="0">
    <dxf>
      <fill>
        <patternFill>
          <bgColor rgb="FFCCFFCC"/>
        </patternFill>
      </fill>
    </dxf>
  </rfmt>
  <rfmt sheetId="3" sqref="L19" start="0" length="0">
    <dxf>
      <fill>
        <patternFill>
          <bgColor rgb="FFCCFFCC"/>
        </patternFill>
      </fill>
    </dxf>
  </rfmt>
  <rfmt sheetId="3" sqref="M19" start="0" length="0">
    <dxf>
      <fill>
        <patternFill>
          <bgColor rgb="FFCCFFCC"/>
        </patternFill>
      </fill>
    </dxf>
  </rfmt>
  <rfmt sheetId="3" sqref="N19" start="0" length="0">
    <dxf>
      <fill>
        <patternFill>
          <bgColor rgb="FFCCFFCC"/>
        </patternFill>
      </fill>
    </dxf>
  </rfmt>
  <rcc rId="7915" sId="3" odxf="1" dxf="1">
    <nc r="O19">
      <v>8</v>
    </nc>
    <odxf>
      <font>
        <sz val="9"/>
        <color indexed="8"/>
        <name val="Calibri"/>
        <scheme val="none"/>
      </font>
      <fill>
        <patternFill>
          <bgColor theme="0"/>
        </patternFill>
      </fill>
    </odxf>
    <ndxf>
      <font>
        <sz val="9"/>
        <color indexed="8"/>
        <name val="Calibri"/>
        <scheme val="minor"/>
      </font>
      <fill>
        <patternFill>
          <bgColor rgb="FFCCFFCC"/>
        </patternFill>
      </fill>
    </ndxf>
  </rcc>
  <rcc rId="7916" sId="3" odxf="1" dxf="1">
    <nc r="P19">
      <v>5</v>
    </nc>
    <odxf>
      <font>
        <sz val="9"/>
        <color indexed="8"/>
        <name val="Calibri"/>
        <scheme val="none"/>
      </font>
      <fill>
        <patternFill>
          <bgColor theme="0"/>
        </patternFill>
      </fill>
    </odxf>
    <ndxf>
      <font>
        <sz val="9"/>
        <color indexed="8"/>
        <name val="Calibri"/>
        <scheme val="minor"/>
      </font>
      <fill>
        <patternFill>
          <bgColor rgb="FFCCFFCC"/>
        </patternFill>
      </fill>
    </ndxf>
  </rcc>
  <rcc rId="7917" sId="3" odxf="1" dxf="1">
    <nc r="Q19">
      <v>1</v>
    </nc>
    <odxf>
      <font>
        <sz val="9"/>
        <color indexed="8"/>
        <name val="Calibri"/>
        <scheme val="none"/>
      </font>
      <fill>
        <patternFill>
          <bgColor theme="0"/>
        </patternFill>
      </fill>
    </odxf>
    <ndxf>
      <font>
        <sz val="9"/>
        <color indexed="8"/>
        <name val="Calibri"/>
        <scheme val="minor"/>
      </font>
      <fill>
        <patternFill>
          <bgColor rgb="FFCCFFCC"/>
        </patternFill>
      </fill>
    </ndxf>
  </rcc>
  <rcc rId="7918" sId="3" odxf="1" dxf="1">
    <nc r="R19">
      <v>5</v>
    </nc>
    <odxf>
      <font>
        <sz val="9"/>
        <color indexed="8"/>
        <name val="Calibri"/>
        <scheme val="none"/>
      </font>
      <fill>
        <patternFill>
          <bgColor theme="0"/>
        </patternFill>
      </fill>
    </odxf>
    <ndxf>
      <font>
        <sz val="9"/>
        <color indexed="8"/>
        <name val="Calibri"/>
        <scheme val="minor"/>
      </font>
      <fill>
        <patternFill>
          <bgColor rgb="FFCCFFCC"/>
        </patternFill>
      </fill>
    </ndxf>
  </rcc>
  <rcc rId="7919" sId="3" odxf="1" dxf="1">
    <nc r="S19">
      <v>1</v>
    </nc>
    <odxf>
      <font>
        <sz val="9"/>
        <color indexed="8"/>
        <name val="Calibri"/>
        <scheme val="none"/>
      </font>
      <fill>
        <patternFill>
          <bgColor theme="0"/>
        </patternFill>
      </fill>
    </odxf>
    <ndxf>
      <font>
        <sz val="9"/>
        <color indexed="8"/>
        <name val="Calibri"/>
        <scheme val="minor"/>
      </font>
      <fill>
        <patternFill>
          <bgColor rgb="FFCCFFCC"/>
        </patternFill>
      </fill>
    </ndxf>
  </rcc>
  <rcc rId="7920" sId="3" odxf="1" dxf="1">
    <nc r="T19">
      <v>2</v>
    </nc>
    <odxf>
      <font>
        <sz val="9"/>
        <color indexed="8"/>
        <name val="Calibri"/>
        <scheme val="none"/>
      </font>
      <fill>
        <patternFill>
          <bgColor theme="0"/>
        </patternFill>
      </fill>
    </odxf>
    <ndxf>
      <font>
        <sz val="9"/>
        <color indexed="8"/>
        <name val="Calibri"/>
        <scheme val="minor"/>
      </font>
      <fill>
        <patternFill>
          <bgColor rgb="FFCCFFCC"/>
        </patternFill>
      </fill>
    </ndxf>
  </rcc>
  <rcc rId="7921" sId="3" odxf="1" dxf="1">
    <nc r="U19">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7922" sId="3" odxf="1" dxf="1">
    <nc r="V19"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923" sId="3" odxf="1" dxf="1">
    <nc r="W19"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7924" sId="3">
    <nc r="X19" t="inlineStr">
      <is>
        <t>All units have valid video and audio output.  
TX CC errors on PID 4001,4002,4003,4004,4005,206 co-timed on all units, uplink issue..
MPE warnings on several units, system issue</t>
      </is>
    </nc>
  </rcc>
  <rcc rId="7925" sId="3" numFmtId="19">
    <nc r="A19">
      <v>41708</v>
    </nc>
  </rcc>
  <rcc rId="7926" sId="3">
    <nc r="B19">
      <v>18</v>
    </nc>
  </rcc>
  <rcc rId="7927" sId="3">
    <nc r="C19">
      <v>7</v>
    </nc>
  </rcc>
  <rcc rId="7928" sId="3">
    <nc r="D19">
      <v>16</v>
    </nc>
  </rcc>
  <rcc rId="7929" sId="3">
    <nc r="G19">
      <v>31</v>
    </nc>
  </rcc>
  <rcc rId="7930" sId="3">
    <nc r="H19">
      <v>31</v>
    </nc>
  </rcc>
  <rcc rId="7931" sId="3">
    <nc r="I19">
      <v>31</v>
    </nc>
  </rcc>
  <rcc rId="7932" sId="3">
    <nc r="J19">
      <v>31</v>
    </nc>
  </rcc>
  <rcc rId="7933" sId="3">
    <nc r="K19">
      <v>33</v>
    </nc>
  </rcc>
  <rcc rId="7934" sId="3">
    <nc r="L19">
      <v>33</v>
    </nc>
  </rcc>
  <rcc rId="7935" sId="3">
    <nc r="M19">
      <v>33</v>
    </nc>
  </rcc>
  <rcc rId="7936" sId="3">
    <nc r="N19">
      <v>33</v>
    </nc>
  </rcc>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37" sId="3">
    <oc r="O19">
      <v>8</v>
    </oc>
    <nc r="O19">
      <v>5</v>
    </nc>
  </rcc>
  <rcc rId="7938" sId="3">
    <oc r="P19">
      <v>5</v>
    </oc>
    <nc r="P19">
      <v>7</v>
    </nc>
  </rcc>
  <rcc rId="7939" sId="3">
    <oc r="Q19">
      <v>1</v>
    </oc>
    <nc r="Q19">
      <v>2</v>
    </nc>
  </rcc>
  <rcc rId="7940" sId="3">
    <oc r="R19">
      <v>5</v>
    </oc>
    <nc r="R19">
      <v>10</v>
    </nc>
  </rcc>
  <rcc rId="7941" sId="3">
    <oc r="X20" t="inlineStr">
      <is>
        <t>All units have valid video and audio output.  
TX CC errors on PID 4001,4002,4003,4004,4005,206 co-timed on all units, uplink issue..
MPE warnings on several units, system issue</t>
      </is>
    </oc>
    <nc r="X20" t="inlineStr">
      <is>
        <t>Unit.117-132(Make-up test for Monday’s case):
AUD2 warnings on some units, issue CSCuh61762.
MPE,VBI warnings and TX CC error (on PID 106) only on Unit.209.</t>
      </is>
    </nc>
  </rcc>
  <rfmt sheetId="3" sqref="A21" start="0" length="0">
    <dxf>
      <font>
        <color rgb="FF000000"/>
        <name val="Calibri"/>
        <scheme val="minor"/>
      </font>
      <border outline="0">
        <left style="thin">
          <color indexed="64"/>
        </left>
        <top style="thin">
          <color indexed="64"/>
        </top>
      </border>
    </dxf>
  </rfmt>
  <rfmt sheetId="3" sqref="B21" start="0" length="0">
    <dxf>
      <font>
        <sz val="9"/>
        <color indexed="8"/>
        <name val="Calibri"/>
        <scheme val="minor"/>
      </font>
      <fill>
        <patternFill>
          <bgColor rgb="FFCCFFCC"/>
        </patternFill>
      </fill>
    </dxf>
  </rfmt>
  <rfmt sheetId="3" sqref="C21" start="0" length="0">
    <dxf>
      <font>
        <sz val="9"/>
        <color indexed="8"/>
        <name val="Calibri"/>
        <scheme val="minor"/>
      </font>
      <fill>
        <patternFill>
          <bgColor rgb="FFCCFFCC"/>
        </patternFill>
      </fill>
    </dxf>
  </rfmt>
  <rfmt sheetId="3" sqref="D21" start="0" length="0">
    <dxf>
      <font>
        <sz val="9"/>
        <color indexed="8"/>
        <name val="Calibri"/>
        <scheme val="minor"/>
      </font>
      <fill>
        <patternFill>
          <bgColor rgb="FFCCFFCC"/>
        </patternFill>
      </fill>
    </dxf>
  </rfmt>
  <rfmt sheetId="3" sqref="E21" start="0" length="0">
    <dxf>
      <font>
        <sz val="9"/>
        <color indexed="8"/>
        <name val="Calibri"/>
        <scheme val="minor"/>
      </font>
      <fill>
        <patternFill>
          <bgColor rgb="FFCCFFCC"/>
        </patternFill>
      </fill>
    </dxf>
  </rfmt>
  <rfmt sheetId="3" s="1" sqref="F21" start="0" length="0">
    <dxf>
      <font>
        <sz val="10"/>
        <color indexed="8"/>
        <name val="Calibri"/>
        <scheme val="minor"/>
      </font>
      <fill>
        <patternFill>
          <bgColor rgb="FFCCFFCC"/>
        </patternFill>
      </fill>
      <alignment wrapText="1" readingOrder="0"/>
    </dxf>
  </rfmt>
  <rfmt sheetId="3" sqref="G21" start="0" length="0">
    <dxf>
      <fill>
        <patternFill>
          <bgColor rgb="FFCCFFCC"/>
        </patternFill>
      </fill>
    </dxf>
  </rfmt>
  <rfmt sheetId="3" sqref="H21" start="0" length="0">
    <dxf>
      <fill>
        <patternFill>
          <bgColor rgb="FFCCFFCC"/>
        </patternFill>
      </fill>
    </dxf>
  </rfmt>
  <rfmt sheetId="3" sqref="I21" start="0" length="0">
    <dxf>
      <fill>
        <patternFill>
          <bgColor rgb="FFCCFFCC"/>
        </patternFill>
      </fill>
    </dxf>
  </rfmt>
  <rfmt sheetId="3" sqref="J21" start="0" length="0">
    <dxf>
      <fill>
        <patternFill>
          <bgColor rgb="FFCCFFCC"/>
        </patternFill>
      </fill>
    </dxf>
  </rfmt>
  <rfmt sheetId="3" sqref="K21" start="0" length="0">
    <dxf>
      <fill>
        <patternFill>
          <bgColor rgb="FFCCFFCC"/>
        </patternFill>
      </fill>
    </dxf>
  </rfmt>
  <rfmt sheetId="3" sqref="L21" start="0" length="0">
    <dxf>
      <fill>
        <patternFill>
          <bgColor rgb="FFCCFFCC"/>
        </patternFill>
      </fill>
    </dxf>
  </rfmt>
  <rfmt sheetId="3" sqref="M21" start="0" length="0">
    <dxf>
      <fill>
        <patternFill>
          <bgColor rgb="FFCCFFCC"/>
        </patternFill>
      </fill>
    </dxf>
  </rfmt>
  <rfmt sheetId="3" sqref="N21" start="0" length="0">
    <dxf>
      <fill>
        <patternFill>
          <bgColor rgb="FFCCFFCC"/>
        </patternFill>
      </fill>
    </dxf>
  </rfmt>
  <rfmt sheetId="3" sqref="O21" start="0" length="0">
    <dxf>
      <font>
        <sz val="9"/>
        <color indexed="8"/>
        <name val="Calibri"/>
        <scheme val="minor"/>
      </font>
      <fill>
        <patternFill>
          <bgColor rgb="FFCCFFCC"/>
        </patternFill>
      </fill>
    </dxf>
  </rfmt>
  <rfmt sheetId="3" sqref="P21" start="0" length="0">
    <dxf>
      <font>
        <sz val="9"/>
        <color indexed="8"/>
        <name val="Calibri"/>
        <scheme val="minor"/>
      </font>
      <fill>
        <patternFill>
          <bgColor rgb="FFCCFFCC"/>
        </patternFill>
      </fill>
    </dxf>
  </rfmt>
  <rfmt sheetId="3" sqref="Q21" start="0" length="0">
    <dxf>
      <font>
        <sz val="9"/>
        <color indexed="8"/>
        <name val="Calibri"/>
        <scheme val="minor"/>
      </font>
      <fill>
        <patternFill>
          <bgColor rgb="FFCCFFCC"/>
        </patternFill>
      </fill>
    </dxf>
  </rfmt>
  <rfmt sheetId="3" sqref="R21" start="0" length="0">
    <dxf>
      <font>
        <sz val="9"/>
        <color indexed="8"/>
        <name val="Calibri"/>
        <scheme val="minor"/>
      </font>
      <fill>
        <patternFill>
          <bgColor rgb="FFCCFFCC"/>
        </patternFill>
      </fill>
    </dxf>
  </rfmt>
  <rcc rId="7942" sId="3" odxf="1" dxf="1">
    <nc r="S21">
      <v>1</v>
    </nc>
    <odxf>
      <font>
        <sz val="9"/>
        <color indexed="8"/>
        <name val="Calibri"/>
        <scheme val="none"/>
      </font>
      <fill>
        <patternFill>
          <bgColor theme="0"/>
        </patternFill>
      </fill>
    </odxf>
    <ndxf>
      <font>
        <sz val="9"/>
        <color indexed="8"/>
        <name val="Calibri"/>
        <scheme val="minor"/>
      </font>
      <fill>
        <patternFill>
          <bgColor rgb="FFCCFFCC"/>
        </patternFill>
      </fill>
    </ndxf>
  </rcc>
  <rcc rId="7943" sId="3" odxf="1" dxf="1">
    <nc r="T21">
      <v>2</v>
    </nc>
    <odxf>
      <font>
        <sz val="9"/>
        <color indexed="8"/>
        <name val="Calibri"/>
        <scheme val="none"/>
      </font>
      <fill>
        <patternFill>
          <bgColor theme="0"/>
        </patternFill>
      </fill>
    </odxf>
    <ndxf>
      <font>
        <sz val="9"/>
        <color indexed="8"/>
        <name val="Calibri"/>
        <scheme val="minor"/>
      </font>
      <fill>
        <patternFill>
          <bgColor rgb="FFCCFFCC"/>
        </patternFill>
      </fill>
    </ndxf>
  </rcc>
  <rcc rId="7944" sId="3" odxf="1" dxf="1">
    <nc r="U21">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7945" sId="3" odxf="1" dxf="1">
    <nc r="V21"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7946" sId="3" odxf="1" s="1" dxf="1">
    <nc r="W21" t="inlineStr">
      <is>
        <t>Pass</t>
      </is>
    </nc>
    <odxf>
      <font>
        <b val="0"/>
        <i val="0"/>
        <strike val="0"/>
        <condense val="0"/>
        <extend val="0"/>
        <outline val="0"/>
        <shadow val="0"/>
        <u val="none"/>
        <vertAlign val="baseline"/>
        <sz val="9"/>
        <color indexed="8"/>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ndxf>
  </rcc>
  <rcc rId="7947" sId="3">
    <nc r="X21" t="inlineStr">
      <is>
        <t>Unit.117-132(Make-up test for Monday’s case):
AUD2 warnings on some units, issue CSCuh61762.
MPE,VBI warnings and TX CC error (on PID 106) only on Unit.209.</t>
      </is>
    </nc>
  </rcc>
  <rcc rId="7948" sId="3" numFmtId="19">
    <nc r="A21">
      <v>41710</v>
    </nc>
  </rcc>
  <rcc rId="7949" sId="3">
    <nc r="B21">
      <v>18</v>
    </nc>
  </rcc>
  <rcc rId="7950" sId="3">
    <nc r="C21">
      <v>7</v>
    </nc>
  </rcc>
  <rcc rId="7951" sId="3">
    <nc r="D21">
      <v>27</v>
    </nc>
  </rcc>
  <rcc rId="7952" sId="3">
    <nc r="E21">
      <v>39</v>
    </nc>
  </rcc>
  <rcc rId="7953" sId="3">
    <nc r="F21">
      <v>7</v>
    </nc>
  </rcc>
  <rcc rId="7954" sId="3">
    <nc r="G21">
      <v>16</v>
    </nc>
  </rcc>
  <rcc rId="7955" sId="3">
    <nc r="H21">
      <v>16</v>
    </nc>
  </rcc>
  <rcc rId="7956" sId="3">
    <nc r="I21">
      <v>16</v>
    </nc>
  </rcc>
  <rcc rId="7957" sId="3">
    <nc r="J21">
      <v>16</v>
    </nc>
  </rcc>
  <rcc rId="7958" sId="3">
    <nc r="K21">
      <v>20</v>
    </nc>
  </rcc>
  <rcc rId="7959" sId="3">
    <nc r="L21">
      <v>20</v>
    </nc>
  </rcc>
  <rcc rId="7960" sId="3">
    <nc r="M21">
      <v>20</v>
    </nc>
  </rcc>
  <rcc rId="7961" sId="3">
    <nc r="N21">
      <v>20</v>
    </nc>
  </rcc>
  <rcc rId="7962" sId="3">
    <nc r="O21">
      <v>1</v>
    </nc>
  </rcc>
  <rcc rId="7963" sId="3">
    <nc r="P21">
      <v>7</v>
    </nc>
  </rcc>
  <rcc rId="7964" sId="3">
    <nc r="Q21">
      <v>2</v>
    </nc>
  </rcc>
  <rcc rId="7965" sId="3">
    <nc r="R21">
      <v>10</v>
    </nc>
  </rcc>
  <rcc rId="7966" sId="3">
    <oc r="O5">
      <v>1</v>
    </oc>
    <nc r="O5"/>
  </rcc>
  <rcc rId="7967" sId="4" numFmtId="19">
    <oc r="I2">
      <v>41709</v>
    </oc>
    <nc r="I2">
      <v>41710</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1" start="0" length="0">
    <dxf>
      <fill>
        <patternFill>
          <bgColor rgb="FFCCFFCC"/>
        </patternFill>
      </fill>
    </dxf>
  </rfmt>
  <rcc rId="7968" sId="3">
    <oc r="C5" t="inlineStr">
      <is>
        <t>6, 7, 9, 10, 11</t>
      </is>
    </oc>
    <nc r="C5" t="inlineStr">
      <is>
        <t>6, 9, 10, 11</t>
      </is>
    </nc>
  </rcc>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cc rId="7969" sId="3" numFmtId="13">
    <oc r="C4">
      <v>0.58333333333333337</v>
    </oc>
    <nc r="C4">
      <v>0.66666666666666663</v>
    </nc>
  </rcc>
  <rcc rId="7970" sId="3" numFmtId="13">
    <oc r="C3">
      <v>0.58333333333333337</v>
    </oc>
    <nc r="C3">
      <v>0.66666666666666663</v>
    </nc>
  </rcc>
  <rfmt sheetId="4" sqref="I5" start="0" length="0">
    <dxf>
      <fill>
        <patternFill>
          <bgColor rgb="FFFFFFFF"/>
        </patternFill>
      </fill>
    </dxf>
  </rfmt>
  <rfmt sheetId="4" sqref="J5"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7971" sId="3">
    <oc r="D5" t="inlineStr">
      <is>
        <t>1, 16, 19, 22, 25, 2, 5, 20, 26, 3, 6, 9, 21, 27, 10, 13, 28, 31, 34, 37, 29, 32, 12, 15, 30, 33, 40, 41, 42, 43, 44, 45, 46, 47, 48, 49</t>
      </is>
    </oc>
    <nc r="D5" t="inlineStr">
      <is>
        <t>1, 19, 22, 25, 2, 5, 20, 26, 3, 6, 9, 21, 10, 13, 28, 31, 34, 37, 29, 32, 12, 15, 30, 33, 40, 41, 42, 43, 44, 45, 46, 47, 48, 49</t>
      </is>
    </nc>
  </rcc>
  <rcc rId="7972" sId="3" numFmtId="13">
    <oc r="D4">
      <v>0.26530612244897961</v>
    </oc>
    <nc r="D4">
      <v>0.30612244897959184</v>
    </nc>
  </rcc>
  <rcc rId="7973" sId="3" numFmtId="13">
    <oc r="D3">
      <v>0.26530612244897961</v>
    </oc>
    <nc r="D3">
      <v>0.30612244897959184</v>
    </nc>
  </rcc>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J27"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J27"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7974" sId="3">
    <oc r="E5" t="inlineStr">
      <is>
        <t>1, 3, 5, 2, 4, 6, 7, 9, 11, 15, 8, 10, 12, 16, 13, 14, 19, 21, 22, 26, 23, 27, 29, 30, 32, 33, 35, 36, 37, 38, 40, 39, 41, 42, 45, 46, 47, 49, 50, 53</t>
      </is>
    </oc>
    <nc r="E5" t="inlineStr">
      <is>
        <t>1, 3, 5, 2, 4, 6, 7, 9, 11, 15, 8, 10, 12, 16, 13, 14, 19, 21, 22, 26, 23, 27, 29, 30, 32, 33, 35, 36, 37, 38, 40, 41, 42, 45, 46, 47, 49, 50, 53</t>
      </is>
    </nc>
  </rcc>
  <rfmt sheetId="4" sqref="J33" start="0" length="0">
    <dxf>
      <fill>
        <patternFill>
          <bgColor rgb="FFCCFFCC"/>
        </patternFill>
      </fill>
    </dxf>
  </rfmt>
  <rcc rId="7975" sId="3" numFmtId="13">
    <oc r="E4">
      <v>0.24528301886792453</v>
    </oc>
    <nc r="E4">
      <v>0.26415094339622641</v>
    </nc>
  </rcc>
  <rcc rId="7976" sId="3" numFmtId="13">
    <oc r="E3">
      <v>0.24528301886792453</v>
    </oc>
    <nc r="E3">
      <v>0.26415094339622641</v>
    </nc>
  </rcc>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cc rId="7977" sId="3">
    <oc r="F5" t="inlineStr">
      <is>
        <t>1, 6, 7</t>
      </is>
    </oc>
    <nc r="F5" t="inlineStr">
      <is>
        <t>1, 6</t>
      </is>
    </nc>
  </rcc>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cc rId="7978" sId="3" numFmtId="13">
    <oc r="F4">
      <v>0.7857142857142857</v>
    </oc>
    <nc r="F4">
      <v>0.8571428571428571</v>
    </nc>
  </rcc>
  <rcc rId="7979" sId="3" numFmtId="13">
    <oc r="F3">
      <v>0.7857142857142857</v>
    </oc>
    <nc r="F3">
      <v>0.8571428571428571</v>
    </nc>
  </rcc>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O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cc rId="7980" sId="3">
    <oc r="G5" t="inlineStr">
      <is>
        <t>5, 7, 6, 1, 2, 10, 12, 27, 28, 25, 37, 29, 30, 19, 18, 20, 13, 16, 22, 24, 33, 34, 31, 35, 36</t>
      </is>
    </oc>
    <nc r="G5" t="inlineStr">
      <is>
        <t>5, 7, 6, 1, 2, 10, 12, 27, 28, 25, 37, 29, 30, 19, 18, 20, 13, 22, 24, 33, 34, 35, 36</t>
      </is>
    </nc>
  </rcc>
  <rcc rId="7981" sId="3" numFmtId="13">
    <oc r="G4">
      <v>0.32432432432432434</v>
    </oc>
    <nc r="G4">
      <v>0.3783783783783784</v>
    </nc>
  </rcc>
  <rcc rId="7982" sId="3" numFmtId="13">
    <oc r="G3">
      <v>0.32432432432432434</v>
    </oc>
    <nc r="G3">
      <v>0.3783783783783784</v>
    </nc>
  </rcc>
  <rcc rId="7983" sId="3">
    <oc r="H5" t="inlineStr">
      <is>
        <t>5, 7, 6, 1, 2, 10, 12, 27, 28, 25, 37, 29, 30, 19, 18, 20, 13, 16, 22, 24, 33, 34, 31, 35, 36</t>
      </is>
    </oc>
    <nc r="H5" t="inlineStr">
      <is>
        <t>5, 7, 6, 1, 2, 10, 12, 27, 28, 25, 37, 29, 30, 19, 18, 20, 13, 22, 24, 33, 34, 35, 36</t>
      </is>
    </nc>
  </rcc>
  <rcc rId="7984" sId="3" numFmtId="13">
    <oc r="H4">
      <v>0.32432432432432434</v>
    </oc>
    <nc r="H4">
      <v>0.3783783783783784</v>
    </nc>
  </rcc>
  <rcc rId="7985" sId="3" numFmtId="13">
    <oc r="H3">
      <v>0.32432432432432434</v>
    </oc>
    <nc r="H3">
      <v>0.3783783783783784</v>
    </nc>
  </rcc>
  <rcc rId="7986" sId="3">
    <oc r="I5" t="inlineStr">
      <is>
        <t>5, 7, 6, 1, 2, 10, 12, 27, 28, 25, 37, 29, 30, 19, 18, 20, 13, 16, 22, 24, 33, 34, 31, 35, 36</t>
      </is>
    </oc>
    <nc r="I5" t="inlineStr">
      <is>
        <t>5, 7, 6, 1, 2, 10, 12, 27, 28, 25, 37, 29, 30, 19, 18, 20, 13, 22, 24, 33, 34, 35, 36</t>
      </is>
    </nc>
  </rcc>
  <rcc rId="7987" sId="3" numFmtId="13">
    <oc r="I4">
      <v>0.32432432432432434</v>
    </oc>
    <nc r="I4">
      <v>0.3783783783783784</v>
    </nc>
  </rcc>
  <rcc rId="7988" sId="3" numFmtId="13">
    <oc r="I3">
      <v>0.32432432432432434</v>
    </oc>
    <nc r="I3">
      <v>0.3783783783783784</v>
    </nc>
  </rcc>
  <rcc rId="7989" sId="3">
    <oc r="J5" t="inlineStr">
      <is>
        <t>5, 7, 6, 1, 2, 10, 12, 27, 28, 25, 37, 29, 30, 19, 18, 20, 13, 16, 22, 24, 33, 34, 31, 35, 36</t>
      </is>
    </oc>
    <nc r="J5" t="inlineStr">
      <is>
        <t>5, 7, 6, 1, 2, 10, 12, 27, 28, 25, 37, 29, 30, 19, 18, 20, 13, 22, 24, 33, 34, 35, 36</t>
      </is>
    </nc>
  </rcc>
  <rcc rId="7990" sId="3" numFmtId="13">
    <oc r="J4">
      <v>0.32432432432432434</v>
    </oc>
    <nc r="J4">
      <v>0.3783783783783784</v>
    </nc>
  </rcc>
  <rcc rId="7991" sId="3" numFmtId="13">
    <oc r="J3">
      <v>0.32432432432432434</v>
    </oc>
    <nc r="J3">
      <v>0.3783783783783784</v>
    </nc>
  </rcc>
  <rcc rId="7992" sId="3">
    <oc r="K5" t="inlineStr">
      <is>
        <t>5, 6, 1, 3, 2, 4, 9, 11, 27, 25, 26, 29, 30, 17, 20, 15, 14, 16, 21, 23, 33, 31, 32, 35, 36</t>
      </is>
    </oc>
    <nc r="K5" t="inlineStr">
      <is>
        <t>5, 6, 1, 3, 2, 4, 9, 11, 27, 25, 26, 29, 30, 17, 15, 14, 16, 21, 23, 31, 32, 35, 36</t>
      </is>
    </nc>
  </rcc>
  <rcc rId="7993" sId="3" numFmtId="13">
    <oc r="K4">
      <v>0.32432432432432434</v>
    </oc>
    <nc r="K4">
      <v>0.3783783783783784</v>
    </nc>
  </rcc>
  <rcc rId="7994" sId="3" numFmtId="13">
    <oc r="K3">
      <v>0.32432432432432434</v>
    </oc>
    <nc r="K3">
      <v>0.3783783783783784</v>
    </nc>
  </rcc>
  <rcc rId="7995" sId="3">
    <oc r="L5" t="inlineStr">
      <is>
        <t>5, 6, 1, 3, 2, 4, 9, 11, 27, 25, 26, 29, 30, 17, 20, 15, 14, 16, 21, 23, 33, 31, 32, 35, 36</t>
      </is>
    </oc>
    <nc r="L5" t="inlineStr">
      <is>
        <t>5, 6, 1, 3, 2, 4, 9, 11, 27, 25, 26, 29, 30, 17, 15, 14, 16, 21, 23, 31, 32, 35, 36</t>
      </is>
    </nc>
  </rcc>
  <rcc rId="7996" sId="3" numFmtId="13">
    <oc r="L4">
      <v>0.32432432432432434</v>
    </oc>
    <nc r="L4">
      <v>0.3783783783783784</v>
    </nc>
  </rcc>
  <rcc rId="7997" sId="3" numFmtId="13">
    <oc r="L3">
      <v>0.32432432432432434</v>
    </oc>
    <nc r="L3">
      <v>0.3783783783783784</v>
    </nc>
  </rcc>
  <rcc rId="7998" sId="3">
    <oc r="M5" t="inlineStr">
      <is>
        <t>5, 6, 1, 3, 2, 4, 9, 11, 27, 25, 26, 29, 30, 17, 20, 15, 14, 16, 21, 23, 33, 31, 32, 35, 36</t>
      </is>
    </oc>
    <nc r="M5" t="inlineStr">
      <is>
        <t>5, 6, 1, 3, 2, 4, 9, 11, 27, 25, 26, 29, 30, 17, 15, 14, 16, 21, 23, 31, 32, 35, 36</t>
      </is>
    </nc>
  </rcc>
  <rcc rId="7999" sId="3" numFmtId="13">
    <oc r="M4">
      <v>0.32432432432432434</v>
    </oc>
    <nc r="M4">
      <v>0.3783783783783784</v>
    </nc>
  </rcc>
  <rcc rId="8000" sId="3" numFmtId="13">
    <oc r="M3">
      <v>0.32432432432432434</v>
    </oc>
    <nc r="M3">
      <v>0.3783783783783784</v>
    </nc>
  </rcc>
  <rcc rId="8001" sId="3">
    <oc r="N5" t="inlineStr">
      <is>
        <t>5, 6, 1, 3, 2, 4, 9, 11, 27, 25, 26, 29, 30, 17, 20, 15, 14, 16, 21, 23, 33, 31, 32, 35, 36</t>
      </is>
    </oc>
    <nc r="N5" t="inlineStr">
      <is>
        <t>5, 6, 1, 3, 2, 4, 9, 11, 27, 25, 26, 29, 30, 17, 15, 14, 16, 21, 23, 31, 32, 35, 36</t>
      </is>
    </nc>
  </rcc>
  <rcc rId="8002" sId="3" numFmtId="13">
    <oc r="N4">
      <v>0.32432432432432434</v>
    </oc>
    <nc r="N4">
      <v>0.3783783783783784</v>
    </nc>
  </rcc>
  <rcc rId="8003" sId="3" numFmtId="13">
    <oc r="N3">
      <v>0.32432432432432434</v>
    </oc>
    <nc r="N3">
      <v>0.3783783783783784</v>
    </nc>
  </rcc>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cc rId="8004" sId="3" numFmtId="13">
    <oc r="O4">
      <v>0.875</v>
    </oc>
    <nc r="O4">
      <v>1</v>
    </nc>
  </rcc>
  <rcc rId="8005" sId="3" numFmtId="13">
    <oc r="O3">
      <v>0.875</v>
    </oc>
    <nc r="O3">
      <v>1</v>
    </nc>
  </rcc>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cc rId="8006" sId="3">
    <oc r="R5" t="inlineStr">
      <is>
        <t>10, 6</t>
      </is>
    </oc>
    <nc r="R5">
      <v>6</v>
    </nc>
  </rcc>
  <rfmt sheetId="4" sqref="S26" start="0" length="0">
    <dxf>
      <fill>
        <patternFill>
          <bgColor rgb="FFCCFFCC"/>
        </patternFill>
      </fill>
    </dxf>
  </rfmt>
  <rfmt sheetId="4" sqref="N27" start="0" length="0">
    <dxf>
      <fill>
        <patternFill>
          <bgColor rgb="FFCCFFCC"/>
        </patternFill>
      </fill>
    </dxf>
  </rfmt>
  <rcc rId="8007" sId="3" numFmtId="13">
    <oc r="R4">
      <v>0.75</v>
    </oc>
    <nc r="R4">
      <v>0.875</v>
    </nc>
  </rcc>
  <rcc rId="8008" sId="3" numFmtId="13">
    <oc r="R3">
      <v>0.75</v>
    </oc>
    <nc r="R3">
      <v>0.875</v>
    </nc>
  </rcc>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22" start="0" length="0">
    <dxf>
      <font>
        <color rgb="FF000000"/>
        <name val="Calibri"/>
        <scheme val="minor"/>
      </font>
      <border outline="0">
        <left style="thin">
          <color indexed="64"/>
        </left>
        <top style="thin">
          <color indexed="64"/>
        </top>
      </border>
    </dxf>
  </rfmt>
  <rfmt sheetId="3" sqref="B22" start="0" length="0">
    <dxf>
      <font>
        <sz val="9"/>
        <color indexed="8"/>
        <name val="Calibri"/>
        <scheme val="minor"/>
      </font>
      <fill>
        <patternFill>
          <bgColor rgb="FFCCFFCC"/>
        </patternFill>
      </fill>
    </dxf>
  </rfmt>
  <rfmt sheetId="3" sqref="C22" start="0" length="0">
    <dxf>
      <font>
        <sz val="9"/>
        <color indexed="8"/>
        <name val="Calibri"/>
        <scheme val="minor"/>
      </font>
      <fill>
        <patternFill>
          <bgColor rgb="FFCCFFCC"/>
        </patternFill>
      </fill>
    </dxf>
  </rfmt>
  <rfmt sheetId="3" sqref="D22" start="0" length="0">
    <dxf>
      <font>
        <sz val="9"/>
        <color indexed="8"/>
        <name val="Calibri"/>
        <scheme val="minor"/>
      </font>
      <fill>
        <patternFill>
          <bgColor rgb="FFCCFFCC"/>
        </patternFill>
      </fill>
    </dxf>
  </rfmt>
  <rfmt sheetId="3" sqref="E22" start="0" length="0">
    <dxf>
      <font>
        <sz val="9"/>
        <color indexed="8"/>
        <name val="Calibri"/>
        <scheme val="minor"/>
      </font>
      <fill>
        <patternFill>
          <bgColor rgb="FFCCFFCC"/>
        </patternFill>
      </fill>
    </dxf>
  </rfmt>
  <rfmt sheetId="3" s="1" sqref="F22" start="0" length="0">
    <dxf>
      <font>
        <sz val="10"/>
        <color indexed="8"/>
        <name val="Calibri"/>
        <scheme val="minor"/>
      </font>
      <fill>
        <patternFill>
          <bgColor rgb="FFCCFFCC"/>
        </patternFill>
      </fill>
      <alignment wrapText="1" readingOrder="0"/>
    </dxf>
  </rfmt>
  <rfmt sheetId="3" sqref="G22" start="0" length="0">
    <dxf>
      <fill>
        <patternFill>
          <bgColor rgb="FFCCFFCC"/>
        </patternFill>
      </fill>
    </dxf>
  </rfmt>
  <rfmt sheetId="3" sqref="H22" start="0" length="0">
    <dxf>
      <fill>
        <patternFill>
          <bgColor rgb="FFCCFFCC"/>
        </patternFill>
      </fill>
    </dxf>
  </rfmt>
  <rfmt sheetId="3" sqref="I22" start="0" length="0">
    <dxf>
      <fill>
        <patternFill>
          <bgColor rgb="FFCCFFCC"/>
        </patternFill>
      </fill>
    </dxf>
  </rfmt>
  <rfmt sheetId="3" sqref="J22" start="0" length="0">
    <dxf>
      <fill>
        <patternFill>
          <bgColor rgb="FFCCFFCC"/>
        </patternFill>
      </fill>
    </dxf>
  </rfmt>
  <rfmt sheetId="3" sqref="K22" start="0" length="0">
    <dxf>
      <fill>
        <patternFill>
          <bgColor rgb="FFCCFFCC"/>
        </patternFill>
      </fill>
    </dxf>
  </rfmt>
  <rfmt sheetId="3" sqref="L22" start="0" length="0">
    <dxf>
      <fill>
        <patternFill>
          <bgColor rgb="FFCCFFCC"/>
        </patternFill>
      </fill>
    </dxf>
  </rfmt>
  <rfmt sheetId="3" sqref="M22" start="0" length="0">
    <dxf>
      <fill>
        <patternFill>
          <bgColor rgb="FFCCFFCC"/>
        </patternFill>
      </fill>
    </dxf>
  </rfmt>
  <rfmt sheetId="3" sqref="N22" start="0" length="0">
    <dxf>
      <fill>
        <patternFill>
          <bgColor rgb="FFCCFFCC"/>
        </patternFill>
      </fill>
    </dxf>
  </rfmt>
  <rfmt sheetId="3" sqref="O22" start="0" length="0">
    <dxf>
      <font>
        <sz val="9"/>
        <color indexed="8"/>
        <name val="Calibri"/>
        <scheme val="minor"/>
      </font>
      <fill>
        <patternFill>
          <bgColor rgb="FFCCFFCC"/>
        </patternFill>
      </fill>
    </dxf>
  </rfmt>
  <rfmt sheetId="3" sqref="P22" start="0" length="0">
    <dxf>
      <font>
        <sz val="9"/>
        <color indexed="8"/>
        <name val="Calibri"/>
        <scheme val="minor"/>
      </font>
      <fill>
        <patternFill>
          <bgColor rgb="FFCCFFCC"/>
        </patternFill>
      </fill>
    </dxf>
  </rfmt>
  <rfmt sheetId="3" sqref="Q22" start="0" length="0">
    <dxf>
      <font>
        <sz val="9"/>
        <color indexed="8"/>
        <name val="Calibri"/>
        <scheme val="minor"/>
      </font>
      <fill>
        <patternFill>
          <bgColor rgb="FFCCFFCC"/>
        </patternFill>
      </fill>
    </dxf>
  </rfmt>
  <rfmt sheetId="3" sqref="R22" start="0" length="0">
    <dxf>
      <font>
        <sz val="9"/>
        <color indexed="8"/>
        <name val="Calibri"/>
        <scheme val="minor"/>
      </font>
      <fill>
        <patternFill>
          <bgColor rgb="FFCCFFCC"/>
        </patternFill>
      </fill>
    </dxf>
  </rfmt>
  <rcc rId="8009" sId="3" odxf="1" dxf="1">
    <nc r="S22">
      <v>1</v>
    </nc>
    <odxf>
      <font>
        <sz val="9"/>
        <color indexed="8"/>
        <name val="Calibri"/>
        <scheme val="none"/>
      </font>
      <fill>
        <patternFill>
          <bgColor theme="0"/>
        </patternFill>
      </fill>
    </odxf>
    <ndxf>
      <font>
        <sz val="9"/>
        <color indexed="8"/>
        <name val="Calibri"/>
        <scheme val="minor"/>
      </font>
      <fill>
        <patternFill>
          <bgColor rgb="FFCCFFCC"/>
        </patternFill>
      </fill>
    </ndxf>
  </rcc>
  <rcc rId="8010" sId="3" odxf="1" dxf="1">
    <nc r="T22">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22"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8011" sId="3" odxf="1" dxf="1">
    <nc r="V22" t="inlineStr">
      <is>
        <t>B04.00.16DD</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012" sId="3" odxf="1" s="1" dxf="1">
    <nc r="W22" t="inlineStr">
      <is>
        <t>Pass</t>
      </is>
    </nc>
    <odxf>
      <font>
        <b val="0"/>
        <i val="0"/>
        <strike val="0"/>
        <condense val="0"/>
        <extend val="0"/>
        <outline val="0"/>
        <shadow val="0"/>
        <u val="none"/>
        <vertAlign val="baseline"/>
        <sz val="9"/>
        <color indexed="8"/>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ndxf>
  </rcc>
  <rcc rId="8013" sId="3" numFmtId="19">
    <nc r="A22">
      <v>41711</v>
    </nc>
  </rcc>
  <rcc rId="8014" sId="3">
    <nc r="X22" t="inlineStr">
      <is>
        <t xml:space="preserve">All units have valid video and audio output
MPE warning only on control unit(.058). 
</t>
      </is>
    </nc>
  </rcc>
  <rcc rId="8015" sId="3">
    <nc r="B22">
      <v>19</v>
    </nc>
  </rcc>
  <rcc rId="8016" sId="3">
    <nc r="C22">
      <v>6</v>
    </nc>
  </rcc>
  <rcc rId="8017" sId="3">
    <nc r="D22">
      <v>10</v>
    </nc>
  </rcc>
  <rcc rId="8018" sId="3">
    <nc r="E22">
      <v>33</v>
    </nc>
  </rcc>
  <rcc rId="8019" sId="3">
    <nc r="F22">
      <v>1</v>
    </nc>
  </rcc>
  <rcc rId="8020" sId="3">
    <nc r="G22">
      <v>29</v>
    </nc>
  </rcc>
  <rcc rId="8021" sId="3">
    <nc r="H22">
      <v>29</v>
    </nc>
  </rcc>
  <rcc rId="8022" sId="3">
    <nc r="I22">
      <v>29</v>
    </nc>
  </rcc>
  <rcc rId="8023" sId="3">
    <nc r="J22">
      <v>29</v>
    </nc>
  </rcc>
  <rcc rId="8024" sId="3">
    <nc r="K22">
      <v>30</v>
    </nc>
  </rcc>
  <rcc rId="8025" sId="3">
    <nc r="L22">
      <v>30</v>
    </nc>
  </rcc>
  <rcc rId="8026" sId="3">
    <nc r="M22">
      <v>30</v>
    </nc>
  </rcc>
  <rcc rId="8027" sId="3">
    <nc r="N22">
      <v>30</v>
    </nc>
  </rcc>
  <rcc rId="8028" sId="3">
    <nc r="O22">
      <v>4</v>
    </nc>
  </rcc>
  <rcc rId="8029" sId="3">
    <nc r="P22">
      <v>5</v>
    </nc>
  </rcc>
  <rcc rId="8030" sId="3">
    <nc r="Q22">
      <v>3</v>
    </nc>
  </rcc>
  <rcc rId="8031" sId="3">
    <nc r="R22">
      <v>9</v>
    </nc>
  </rcc>
  <rcc rId="8032" sId="3">
    <nc r="U22">
      <v>5</v>
    </nc>
  </rcc>
  <rcc rId="8033" sId="4" numFmtId="19">
    <oc r="I2">
      <v>41710</v>
    </oc>
    <nc r="I2">
      <v>41711</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3" start="0" length="0">
    <dxf>
      <fill>
        <patternFill>
          <bgColor rgb="FFCCFFCC"/>
        </patternFill>
      </fill>
    </dxf>
  </rfmt>
  <rcc rId="8034" sId="3">
    <oc r="B5" t="inlineStr">
      <is>
        <t>6, 7, 8, 9, 10, 12, 16, 19, 20</t>
      </is>
    </oc>
    <nc r="B5" t="inlineStr">
      <is>
        <t>6, 7, 8, 9, 10, 12, 16, 20</t>
      </is>
    </nc>
  </rcc>
  <rcc rId="8035" sId="3" numFmtId="13">
    <oc r="B4">
      <v>0.47058823529411764</v>
    </oc>
    <nc r="B4">
      <v>0.52941176470588236</v>
    </nc>
  </rcc>
  <rcc rId="8036" sId="3" numFmtId="13">
    <oc r="B3">
      <v>0.47058823529411764</v>
    </oc>
    <nc r="B3">
      <v>0.52941176470588236</v>
    </nc>
  </rcc>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cc rId="8037" sId="3">
    <oc r="C5" t="inlineStr">
      <is>
        <t>6, 9, 10, 11</t>
      </is>
    </oc>
    <nc r="C5" t="inlineStr">
      <is>
        <t>9, 10, 11</t>
      </is>
    </nc>
  </rcc>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cc rId="8038" sId="3" numFmtId="13">
    <oc r="C4">
      <v>0.66666666666666663</v>
    </oc>
    <nc r="C4">
      <v>0.75</v>
    </nc>
  </rcc>
  <rcc rId="8039" sId="3" numFmtId="13">
    <oc r="C3">
      <v>0.66666666666666663</v>
    </oc>
    <nc r="C3">
      <v>0.75</v>
    </nc>
  </rcc>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8040" sId="3">
    <oc r="D5" t="inlineStr">
      <is>
        <t>1, 19, 22, 25, 2, 5, 20, 26, 3, 6, 9, 21, 10, 13, 28, 31, 34, 37, 29, 32, 12, 15, 30, 33, 40, 41, 42, 43, 44, 45, 46, 47, 48, 49</t>
      </is>
    </oc>
    <nc r="D5" t="inlineStr">
      <is>
        <t>1, 19, 22, 25, 2, 5, 20, 26, 3, 6, 9, 21, 13, 28, 31, 34, 37, 29, 32, 12, 15, 30, 33, 40, 41, 42, 43, 44, 45, 46, 47, 48, 49</t>
      </is>
    </nc>
  </rcc>
  <rcc rId="8041" sId="3" numFmtId="13">
    <oc r="D4">
      <v>0.30612244897959184</v>
    </oc>
    <nc r="D4">
      <v>0.32653061224489793</v>
    </nc>
  </rcc>
  <rcc rId="8042" sId="3" numFmtId="13">
    <oc r="D3">
      <v>0.30612244897959184</v>
    </oc>
    <nc r="D3">
      <v>0.32653061224489793</v>
    </nc>
  </rcc>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J27"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8043" sId="3">
    <oc r="E5" t="inlineStr">
      <is>
        <t>1, 3, 5, 2, 4, 6, 7, 9, 11, 15, 8, 10, 12, 16, 13, 14, 19, 21, 22, 26, 23, 27, 29, 30, 32, 33, 35, 36, 37, 38, 40, 41, 42, 45, 46, 47, 49, 50, 53</t>
      </is>
    </oc>
    <nc r="E5" t="inlineStr">
      <is>
        <t>1, 3, 5, 2, 4, 6, 7, 9, 11, 15, 8, 10, 12, 16, 13, 14, 19, 21, 22, 26, 23, 27, 29, 30, 32, 35, 36, 37, 38, 40, 41, 42, 45, 46, 47, 49, 50, 53</t>
      </is>
    </nc>
  </rcc>
  <rfmt sheetId="4" sqref="J33" start="0" length="0">
    <dxf>
      <fill>
        <patternFill>
          <bgColor rgb="FFCCFFCC"/>
        </patternFill>
      </fill>
    </dxf>
  </rfmt>
  <rcc rId="8044" sId="3" numFmtId="13">
    <oc r="E4">
      <v>0.26415094339622641</v>
    </oc>
    <nc r="E4">
      <v>0.28301886792452829</v>
    </nc>
  </rcc>
  <rcc rId="8045" sId="3" numFmtId="13">
    <oc r="E3">
      <v>0.26415094339622641</v>
    </oc>
    <nc r="E3">
      <v>0.28301886792452829</v>
    </nc>
  </rcc>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cc rId="8046" sId="3">
    <oc r="F5" t="inlineStr">
      <is>
        <t>1, 6</t>
      </is>
    </oc>
    <nc r="F5">
      <v>6</v>
    </nc>
  </rcc>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cc rId="8047" sId="3" numFmtId="13">
    <oc r="F4">
      <v>0.8571428571428571</v>
    </oc>
    <nc r="F4">
      <v>0.9285714285714286</v>
    </nc>
  </rcc>
  <rcc rId="8048" sId="3" numFmtId="13">
    <oc r="F3">
      <v>0.8571428571428571</v>
    </oc>
    <nc r="F3">
      <v>0.9285714285714286</v>
    </nc>
  </rcc>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cc rId="8049" sId="3">
    <oc r="G5" t="inlineStr">
      <is>
        <t>5, 7, 6, 1, 2, 10, 12, 27, 28, 25, 37, 29, 30, 19, 18, 20, 13, 22, 24, 33, 34, 35, 36</t>
      </is>
    </oc>
    <nc r="G5" t="inlineStr">
      <is>
        <t>5, 7, 6, 1, 2, 10, 12, 27, 28, 25, 37, 30, 19, 18, 20, 13, 22, 24, 33, 34, 35, 36</t>
      </is>
    </nc>
  </rcc>
  <rcc rId="8050" sId="3" numFmtId="13">
    <oc r="G4">
      <v>0.3783783783783784</v>
    </oc>
    <nc r="G4">
      <v>0.40540540540540543</v>
    </nc>
  </rcc>
  <rcc rId="8051" sId="3" numFmtId="13">
    <oc r="G3">
      <v>0.3783783783783784</v>
    </oc>
    <nc r="G3">
      <v>0.40540540540540543</v>
    </nc>
  </rcc>
  <rcc rId="8052" sId="3">
    <oc r="H5" t="inlineStr">
      <is>
        <t>5, 7, 6, 1, 2, 10, 12, 27, 28, 25, 37, 29, 30, 19, 18, 20, 13, 22, 24, 33, 34, 35, 36</t>
      </is>
    </oc>
    <nc r="H5" t="inlineStr">
      <is>
        <t>5, 7, 6, 1, 2, 10, 12, 27, 28, 25, 37, 30, 19, 18, 20, 13, 22, 24, 33, 34, 35, 36</t>
      </is>
    </nc>
  </rcc>
  <rcc rId="8053" sId="3" numFmtId="13">
    <oc r="H4">
      <v>0.3783783783783784</v>
    </oc>
    <nc r="H4">
      <v>0.40540540540540543</v>
    </nc>
  </rcc>
  <rcc rId="8054" sId="3" numFmtId="13">
    <oc r="H3">
      <v>0.3783783783783784</v>
    </oc>
    <nc r="H3">
      <v>0.40540540540540543</v>
    </nc>
  </rcc>
  <rcc rId="8055" sId="3">
    <oc r="I5" t="inlineStr">
      <is>
        <t>5, 7, 6, 1, 2, 10, 12, 27, 28, 25, 37, 29, 30, 19, 18, 20, 13, 22, 24, 33, 34, 35, 36</t>
      </is>
    </oc>
    <nc r="I5" t="inlineStr">
      <is>
        <t>5, 7, 6, 1, 2, 10, 12, 27, 28, 25, 37, 30, 19, 18, 20, 13, 22, 24, 33, 34, 35, 36</t>
      </is>
    </nc>
  </rcc>
  <rcc rId="8056" sId="3" numFmtId="13">
    <oc r="I4">
      <v>0.3783783783783784</v>
    </oc>
    <nc r="I4">
      <v>0.40540540540540543</v>
    </nc>
  </rcc>
  <rcc rId="8057" sId="3" numFmtId="13">
    <oc r="I3">
      <v>0.3783783783783784</v>
    </oc>
    <nc r="I3">
      <v>0.40540540540540543</v>
    </nc>
  </rcc>
  <rcc rId="8058" sId="3">
    <oc r="J5" t="inlineStr">
      <is>
        <t>5, 7, 6, 1, 2, 10, 12, 27, 28, 25, 37, 29, 30, 19, 18, 20, 13, 22, 24, 33, 34, 35, 36</t>
      </is>
    </oc>
    <nc r="J5" t="inlineStr">
      <is>
        <t>5, 7, 6, 1, 2, 10, 12, 27, 28, 25, 37, 30, 19, 18, 20, 13, 22, 24, 33, 34, 35, 36</t>
      </is>
    </nc>
  </rcc>
  <rcc rId="8059" sId="3" numFmtId="13">
    <oc r="J4">
      <v>0.3783783783783784</v>
    </oc>
    <nc r="J4">
      <v>0.40540540540540543</v>
    </nc>
  </rcc>
  <rcc rId="8060" sId="3" numFmtId="13">
    <oc r="J3">
      <v>0.3783783783783784</v>
    </oc>
    <nc r="J3">
      <v>0.40540540540540543</v>
    </nc>
  </rcc>
  <rcc rId="8061" sId="3">
    <oc r="K5" t="inlineStr">
      <is>
        <t>5, 6, 1, 3, 2, 4, 9, 11, 27, 25, 26, 29, 30, 17, 15, 14, 16, 21, 23, 31, 32, 35, 36</t>
      </is>
    </oc>
    <nc r="K5" t="inlineStr">
      <is>
        <t>5, 6, 1, 3, 2, 4, 9, 11, 27, 25, 26, 29, 17, 15, 14, 16, 21, 23, 31, 32, 35, 36</t>
      </is>
    </nc>
  </rcc>
  <rcc rId="8062" sId="3" numFmtId="13">
    <oc r="K4">
      <v>0.3783783783783784</v>
    </oc>
    <nc r="K4">
      <v>0.40540540540540543</v>
    </nc>
  </rcc>
  <rcc rId="8063" sId="3" numFmtId="13">
    <oc r="K3">
      <v>0.3783783783783784</v>
    </oc>
    <nc r="K3">
      <v>0.40540540540540543</v>
    </nc>
  </rcc>
  <rcc rId="8064" sId="3">
    <oc r="L5" t="inlineStr">
      <is>
        <t>5, 6, 1, 3, 2, 4, 9, 11, 27, 25, 26, 29, 30, 17, 15, 14, 16, 21, 23, 31, 32, 35, 36</t>
      </is>
    </oc>
    <nc r="L5" t="inlineStr">
      <is>
        <t>5, 6, 1, 3, 2, 4, 9, 11, 27, 25, 26, 29, 17, 15, 14, 16, 21, 23, 31, 32, 35, 36</t>
      </is>
    </nc>
  </rcc>
  <rcc rId="8065" sId="3" numFmtId="13">
    <oc r="L4">
      <v>0.3783783783783784</v>
    </oc>
    <nc r="L4">
      <v>0.40540540540540543</v>
    </nc>
  </rcc>
  <rcc rId="8066" sId="3" numFmtId="13">
    <oc r="L3">
      <v>0.3783783783783784</v>
    </oc>
    <nc r="L3">
      <v>0.40540540540540543</v>
    </nc>
  </rcc>
  <rcc rId="8067" sId="3">
    <oc r="M5" t="inlineStr">
      <is>
        <t>5, 6, 1, 3, 2, 4, 9, 11, 27, 25, 26, 29, 30, 17, 15, 14, 16, 21, 23, 31, 32, 35, 36</t>
      </is>
    </oc>
    <nc r="M5" t="inlineStr">
      <is>
        <t>5, 6, 1, 3, 2, 4, 9, 11, 27, 25, 26, 29, 17, 15, 14, 16, 21, 23, 31, 32, 35, 36</t>
      </is>
    </nc>
  </rcc>
  <rcc rId="8068" sId="3" numFmtId="13">
    <oc r="M4">
      <v>0.3783783783783784</v>
    </oc>
    <nc r="M4">
      <v>0.40540540540540543</v>
    </nc>
  </rcc>
  <rcc rId="8069" sId="3" numFmtId="13">
    <oc r="M3">
      <v>0.3783783783783784</v>
    </oc>
    <nc r="M3">
      <v>0.40540540540540543</v>
    </nc>
  </rcc>
  <rcc rId="8070" sId="3">
    <oc r="N5" t="inlineStr">
      <is>
        <t>5, 6, 1, 3, 2, 4, 9, 11, 27, 25, 26, 29, 30, 17, 15, 14, 16, 21, 23, 31, 32, 35, 36</t>
      </is>
    </oc>
    <nc r="N5" t="inlineStr">
      <is>
        <t>5, 6, 1, 3, 2, 4, 9, 11, 27, 25, 26, 29, 17, 15, 14, 16, 21, 23, 31, 32, 35, 36</t>
      </is>
    </nc>
  </rcc>
  <rcc rId="8071" sId="3" numFmtId="13">
    <oc r="N4">
      <v>0.3783783783783784</v>
    </oc>
    <nc r="N4">
      <v>0.40540540540540543</v>
    </nc>
  </rcc>
  <rcc rId="8072" sId="3" numFmtId="13">
    <oc r="N3">
      <v>0.3783783783783784</v>
    </oc>
    <nc r="N3">
      <v>0.40540540540540543</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73" sId="3">
    <oc r="V7" t="inlineStr">
      <is>
        <t>B04.00.16DD</t>
      </is>
    </oc>
    <nc r="V7" t="inlineStr">
      <is>
        <t>T1.05B10 (1.05)</t>
      </is>
    </nc>
  </rcc>
  <rcc rId="8074" sId="3" odxf="1" s="1" dxf="1">
    <oc r="V8" t="inlineStr">
      <is>
        <t>B04.00.16DD</t>
      </is>
    </oc>
    <nc r="V8" t="inlineStr">
      <is>
        <t>T1.05B10 (1.05)</t>
      </is>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Calibri"/>
        <scheme val="minor"/>
      </font>
      <fill>
        <patternFill patternType="none">
          <bgColor indexed="65"/>
        </patternFill>
      </fill>
    </ndxf>
  </rcc>
  <rcc rId="8075" sId="3" odxf="1" s="1" dxf="1">
    <oc r="V9" t="inlineStr">
      <is>
        <t>B04.00.16DD</t>
      </is>
    </oc>
    <nc r="V9" t="inlineStr">
      <is>
        <t>T1.05B10 (1.05)</t>
      </is>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Calibri"/>
        <scheme val="minor"/>
      </font>
      <fill>
        <patternFill patternType="none">
          <bgColor indexed="65"/>
        </patternFill>
      </fill>
    </ndxf>
  </rcc>
  <rcc rId="8076" sId="3">
    <oc r="V10" t="inlineStr">
      <is>
        <t>B04.00.16DD</t>
      </is>
    </oc>
    <nc r="V10" t="inlineStr">
      <is>
        <t>T1.05B10 (1.05)</t>
      </is>
    </nc>
  </rcc>
  <rcc rId="8077" sId="3">
    <oc r="V11" t="inlineStr">
      <is>
        <t>B04.00.16DD</t>
      </is>
    </oc>
    <nc r="V11" t="inlineStr">
      <is>
        <t>T1.05B10 (1.05)</t>
      </is>
    </nc>
  </rcc>
  <rcc rId="8078" sId="3">
    <oc r="V12" t="inlineStr">
      <is>
        <t>B04.00.16DD</t>
      </is>
    </oc>
    <nc r="V12" t="inlineStr">
      <is>
        <t>T1.05B10 (1.05)</t>
      </is>
    </nc>
  </rcc>
  <rcc rId="8079" sId="3">
    <oc r="V13" t="inlineStr">
      <is>
        <t>B04.00.16DD</t>
      </is>
    </oc>
    <nc r="V13" t="inlineStr">
      <is>
        <t>T1.05B10 (1.05)</t>
      </is>
    </nc>
  </rcc>
  <rcc rId="8080" sId="3">
    <oc r="V14" t="inlineStr">
      <is>
        <t>B04.00.16DD</t>
      </is>
    </oc>
    <nc r="V14" t="inlineStr">
      <is>
        <t>T1.05B10 (1.05)</t>
      </is>
    </nc>
  </rcc>
  <rcc rId="8081" sId="3">
    <oc r="V15" t="inlineStr">
      <is>
        <t>B04.00.16DD</t>
      </is>
    </oc>
    <nc r="V15" t="inlineStr">
      <is>
        <t>T1.05B10 (1.05)</t>
      </is>
    </nc>
  </rcc>
  <rcc rId="8082" sId="3">
    <oc r="V16" t="inlineStr">
      <is>
        <t>B04.00.16DD</t>
      </is>
    </oc>
    <nc r="V16" t="inlineStr">
      <is>
        <t>T1.05B10 (1.05)</t>
      </is>
    </nc>
  </rcc>
  <rcc rId="8083" sId="3">
    <oc r="V17" t="inlineStr">
      <is>
        <t>B04.00.16DD</t>
      </is>
    </oc>
    <nc r="V17" t="inlineStr">
      <is>
        <t>T1.05B10 (1.05)</t>
      </is>
    </nc>
  </rcc>
  <rcc rId="8084" sId="3">
    <oc r="V18" t="inlineStr">
      <is>
        <t>B04.00.16DD</t>
      </is>
    </oc>
    <nc r="V18" t="inlineStr">
      <is>
        <t>T1.05B10 (1.05)</t>
      </is>
    </nc>
  </rcc>
  <rcc rId="8085" sId="3">
    <oc r="V19" t="inlineStr">
      <is>
        <t>B04.00.16DD</t>
      </is>
    </oc>
    <nc r="V19" t="inlineStr">
      <is>
        <t>T1.05B10 (1.05)</t>
      </is>
    </nc>
  </rcc>
  <rcc rId="8086" sId="3">
    <oc r="V20" t="inlineStr">
      <is>
        <t>B04.00.16DD</t>
      </is>
    </oc>
    <nc r="V20" t="inlineStr">
      <is>
        <t>T1.05B10 (1.05)</t>
      </is>
    </nc>
  </rcc>
  <rcc rId="8087" sId="3">
    <oc r="V21" t="inlineStr">
      <is>
        <t>B04.00.16DD</t>
      </is>
    </oc>
    <nc r="V21" t="inlineStr">
      <is>
        <t>T1.05B10 (1.05)</t>
      </is>
    </nc>
  </rcc>
  <rcc rId="8088" sId="3">
    <oc r="V22" t="inlineStr">
      <is>
        <t>B04.00.16DD</t>
      </is>
    </oc>
    <nc r="V22" t="inlineStr">
      <is>
        <t>T1.05B10 (1.05)</t>
      </is>
    </nc>
  </rcc>
  <rcc rId="8089" sId="4">
    <oc r="K1" t="inlineStr">
      <is>
        <t>B04.00.16DD</t>
      </is>
    </oc>
    <nc r="K1" t="inlineStr">
      <is>
        <t>T1.05B10 (1.05)</t>
      </is>
    </nc>
  </rcc>
  <rcc rId="8090" sId="4">
    <oc r="K2" t="inlineStr">
      <is>
        <t>B04.00.16DD</t>
      </is>
    </oc>
    <nc r="K2" t="inlineStr">
      <is>
        <t>T1.05B10 (1.05)</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91" sId="3" odxf="1" dxf="1" numFmtId="19">
    <nc r="A23">
      <v>41711</v>
    </nc>
    <odxf>
      <font>
        <color indexed="8"/>
        <name val="Times New Roman"/>
        <scheme val="none"/>
      </font>
      <border outline="0">
        <left style="medium">
          <color indexed="64"/>
        </left>
        <top/>
      </border>
    </odxf>
    <ndxf>
      <font>
        <color rgb="FF000000"/>
        <name val="Calibri"/>
        <scheme val="minor"/>
      </font>
      <border outline="0">
        <left style="thin">
          <color indexed="64"/>
        </left>
        <top style="thin">
          <color indexed="64"/>
        </top>
      </border>
    </ndxf>
  </rcc>
  <rfmt sheetId="3" sqref="B23" start="0" length="0">
    <dxf>
      <font>
        <sz val="9"/>
        <color indexed="8"/>
        <name val="Calibri"/>
        <scheme val="minor"/>
      </font>
      <fill>
        <patternFill>
          <bgColor rgb="FFCCFFCC"/>
        </patternFill>
      </fill>
    </dxf>
  </rfmt>
  <rfmt sheetId="3" sqref="C23" start="0" length="0">
    <dxf>
      <font>
        <sz val="9"/>
        <color indexed="8"/>
        <name val="Calibri"/>
        <scheme val="minor"/>
      </font>
      <fill>
        <patternFill>
          <bgColor rgb="FFCCFFCC"/>
        </patternFill>
      </fill>
    </dxf>
  </rfmt>
  <rfmt sheetId="3" sqref="D23" start="0" length="0">
    <dxf>
      <font>
        <sz val="9"/>
        <color indexed="8"/>
        <name val="Calibri"/>
        <scheme val="minor"/>
      </font>
      <fill>
        <patternFill>
          <bgColor rgb="FFCCFFCC"/>
        </patternFill>
      </fill>
    </dxf>
  </rfmt>
  <rfmt sheetId="3" sqref="E23" start="0" length="0">
    <dxf>
      <font>
        <sz val="9"/>
        <color indexed="8"/>
        <name val="Calibri"/>
        <scheme val="minor"/>
      </font>
      <fill>
        <patternFill>
          <bgColor rgb="FFCCFFCC"/>
        </patternFill>
      </fill>
    </dxf>
  </rfmt>
  <rfmt sheetId="3" s="1" sqref="F23" start="0" length="0">
    <dxf>
      <font>
        <sz val="10"/>
        <color indexed="8"/>
        <name val="Calibri"/>
        <scheme val="minor"/>
      </font>
      <fill>
        <patternFill>
          <bgColor rgb="FFCCFFCC"/>
        </patternFill>
      </fill>
      <alignment wrapText="1" readingOrder="0"/>
    </dxf>
  </rfmt>
  <rfmt sheetId="3" sqref="G23" start="0" length="0">
    <dxf>
      <fill>
        <patternFill>
          <bgColor rgb="FFCCFFCC"/>
        </patternFill>
      </fill>
    </dxf>
  </rfmt>
  <rfmt sheetId="3" sqref="H23" start="0" length="0">
    <dxf>
      <fill>
        <patternFill>
          <bgColor rgb="FFCCFFCC"/>
        </patternFill>
      </fill>
    </dxf>
  </rfmt>
  <rfmt sheetId="3" sqref="I23" start="0" length="0">
    <dxf>
      <fill>
        <patternFill>
          <bgColor rgb="FFCCFFCC"/>
        </patternFill>
      </fill>
    </dxf>
  </rfmt>
  <rfmt sheetId="3" sqref="J23" start="0" length="0">
    <dxf>
      <fill>
        <patternFill>
          <bgColor rgb="FFCCFFCC"/>
        </patternFill>
      </fill>
    </dxf>
  </rfmt>
  <rfmt sheetId="3" sqref="K23" start="0" length="0">
    <dxf>
      <fill>
        <patternFill>
          <bgColor rgb="FFCCFFCC"/>
        </patternFill>
      </fill>
    </dxf>
  </rfmt>
  <rfmt sheetId="3" sqref="L23" start="0" length="0">
    <dxf>
      <fill>
        <patternFill>
          <bgColor rgb="FFCCFFCC"/>
        </patternFill>
      </fill>
    </dxf>
  </rfmt>
  <rfmt sheetId="3" sqref="M23" start="0" length="0">
    <dxf>
      <fill>
        <patternFill>
          <bgColor rgb="FFCCFFCC"/>
        </patternFill>
      </fill>
    </dxf>
  </rfmt>
  <rfmt sheetId="3" sqref="N23" start="0" length="0">
    <dxf>
      <fill>
        <patternFill>
          <bgColor rgb="FFCCFFCC"/>
        </patternFill>
      </fill>
    </dxf>
  </rfmt>
  <rfmt sheetId="3" sqref="O23" start="0" length="0">
    <dxf>
      <font>
        <sz val="9"/>
        <color indexed="8"/>
        <name val="Calibri"/>
        <scheme val="minor"/>
      </font>
      <fill>
        <patternFill>
          <bgColor rgb="FFCCFFCC"/>
        </patternFill>
      </fill>
    </dxf>
  </rfmt>
  <rfmt sheetId="3" sqref="P23" start="0" length="0">
    <dxf>
      <font>
        <sz val="9"/>
        <color indexed="8"/>
        <name val="Calibri"/>
        <scheme val="minor"/>
      </font>
      <fill>
        <patternFill>
          <bgColor rgb="FFCCFFCC"/>
        </patternFill>
      </fill>
    </dxf>
  </rfmt>
  <rfmt sheetId="3" sqref="Q23" start="0" length="0">
    <dxf>
      <font>
        <sz val="9"/>
        <color indexed="8"/>
        <name val="Calibri"/>
        <scheme val="minor"/>
      </font>
      <fill>
        <patternFill>
          <bgColor rgb="FFCCFFCC"/>
        </patternFill>
      </fill>
    </dxf>
  </rfmt>
  <rfmt sheetId="3" sqref="R23" start="0" length="0">
    <dxf>
      <font>
        <sz val="9"/>
        <color indexed="8"/>
        <name val="Calibri"/>
        <scheme val="minor"/>
      </font>
      <fill>
        <patternFill>
          <bgColor rgb="FFCCFFCC"/>
        </patternFill>
      </fill>
    </dxf>
  </rfmt>
  <rcc rId="8092" sId="3" odxf="1" dxf="1">
    <nc r="S23">
      <v>1</v>
    </nc>
    <odxf>
      <font>
        <sz val="9"/>
        <color indexed="8"/>
        <name val="Calibri"/>
        <scheme val="none"/>
      </font>
      <fill>
        <patternFill>
          <bgColor theme="0"/>
        </patternFill>
      </fill>
    </odxf>
    <ndxf>
      <font>
        <sz val="9"/>
        <color indexed="8"/>
        <name val="Calibri"/>
        <scheme val="minor"/>
      </font>
      <fill>
        <patternFill>
          <bgColor rgb="FFCCFFCC"/>
        </patternFill>
      </fill>
    </ndxf>
  </rcc>
  <rcc rId="8093" sId="3" odxf="1" dxf="1">
    <nc r="T23">
      <v>2</v>
    </nc>
    <odxf>
      <font>
        <sz val="9"/>
        <color indexed="8"/>
        <name val="Calibri"/>
        <scheme val="none"/>
      </font>
      <fill>
        <patternFill>
          <bgColor theme="0"/>
        </patternFill>
      </fill>
    </odxf>
    <ndxf>
      <font>
        <sz val="9"/>
        <color indexed="8"/>
        <name val="Calibri"/>
        <scheme val="minor"/>
      </font>
      <fill>
        <patternFill>
          <bgColor rgb="FFCCFFCC"/>
        </patternFill>
      </fill>
    </ndxf>
  </rcc>
  <rcc rId="8094" sId="3" odxf="1" dxf="1">
    <nc r="U23">
      <v>5</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095" sId="3" odxf="1" dxf="1">
    <nc r="V23" t="inlineStr">
      <is>
        <t>T1.05B10 (1.05)</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096" sId="3" odxf="1" dxf="1">
    <nc r="W23"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097" sId="3">
    <nc r="B23">
      <v>3</v>
    </nc>
  </rcc>
  <rcc rId="8098" sId="3">
    <nc r="C23">
      <v>3</v>
    </nc>
  </rcc>
  <rcc rId="8099" sId="3">
    <nc r="D23">
      <v>14</v>
    </nc>
  </rcc>
  <rcc rId="8100" sId="3">
    <nc r="E23">
      <v>31</v>
    </nc>
  </rcc>
  <rcc rId="8101" sId="3">
    <nc r="F23">
      <v>16</v>
    </nc>
  </rcc>
  <rcc rId="8102" sId="3">
    <nc r="G23">
      <v>11</v>
    </nc>
  </rcc>
  <rcc rId="8103" sId="3">
    <nc r="H23">
      <v>11</v>
    </nc>
  </rcc>
  <rcc rId="8104" sId="3">
    <nc r="I23">
      <v>11</v>
    </nc>
  </rcc>
  <rcc rId="8105" sId="3">
    <nc r="J23">
      <v>11</v>
    </nc>
  </rcc>
  <rcc rId="8106" sId="3">
    <nc r="K23">
      <v>12</v>
    </nc>
  </rcc>
  <rcc rId="8107" sId="3">
    <nc r="L23">
      <v>12</v>
    </nc>
  </rcc>
  <rcc rId="8108" sId="3">
    <nc r="M23">
      <v>12</v>
    </nc>
  </rcc>
  <rcc rId="8109" sId="3">
    <nc r="N23">
      <v>12</v>
    </nc>
  </rcc>
  <rcc rId="8110" sId="3">
    <nc r="N24" t="inlineStr">
      <is>
        <t>`</t>
      </is>
    </nc>
  </rcc>
  <rcc rId="8111" sId="3">
    <nc r="O23">
      <v>2</v>
    </nc>
  </rcc>
  <rcc rId="8112" sId="3">
    <nc r="P23">
      <v>3</v>
    </nc>
  </rcc>
  <rcc rId="8113" sId="3">
    <nc r="Q23">
      <v>4</v>
    </nc>
  </rcc>
  <rcc rId="8114" sId="3">
    <nc r="R23">
      <v>12</v>
    </nc>
  </rcc>
  <rcc rId="8115" sId="3">
    <nc r="X23" t="inlineStr">
      <is>
        <t>All units except downstream unit.231 have valid video and audio output.
Output from D9859 units are all valid.
Reboot was detected on downstream units 230&amp;231.
TX CC errors on PID 603,3340,4150 on all units, uplink issue.
TX CC errors &amp; TC encode error on undetermined PID  on unit.112
AUD2 warnings on some units, issue CSCuh61762.
MPE warnings one unit(.104) refer to CSCzr06824,system issue.
VID warning only on several units  (Preprocessor reports H264_PREPROCESSOR_ERROR_BIT_BUFFER_UNDERFLOW)</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16" sId="3" numFmtId="19">
    <oc r="A23">
      <v>41711</v>
    </oc>
    <nc r="A23">
      <v>41712</v>
    </nc>
  </rcc>
  <rfmt sheetId="3" sqref="A24" start="0" length="0">
    <dxf>
      <font>
        <color rgb="FF000000"/>
        <name val="Calibri"/>
        <scheme val="minor"/>
      </font>
      <border outline="0">
        <left style="thin">
          <color indexed="64"/>
        </left>
        <top style="thin">
          <color indexed="64"/>
        </top>
      </border>
    </dxf>
  </rfmt>
  <rfmt sheetId="3" sqref="B24" start="0" length="0">
    <dxf>
      <font>
        <sz val="9"/>
        <color indexed="8"/>
        <name val="Calibri"/>
        <scheme val="minor"/>
      </font>
      <fill>
        <patternFill>
          <bgColor rgb="FFCCFFCC"/>
        </patternFill>
      </fill>
    </dxf>
  </rfmt>
  <rcc rId="8117" sId="3" odxf="1" dxf="1">
    <nc r="C24">
      <v>3</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D24" start="0" length="0">
    <dxf>
      <font>
        <sz val="9"/>
        <color indexed="8"/>
        <name val="Calibri"/>
        <scheme val="minor"/>
      </font>
      <fill>
        <patternFill>
          <bgColor rgb="FFCCFFCC"/>
        </patternFill>
      </fill>
    </dxf>
  </rfmt>
  <rfmt sheetId="3" sqref="E24" start="0" length="0">
    <dxf>
      <font>
        <sz val="9"/>
        <color indexed="8"/>
        <name val="Calibri"/>
        <scheme val="minor"/>
      </font>
      <fill>
        <patternFill>
          <bgColor rgb="FFCCFFCC"/>
        </patternFill>
      </fill>
    </dxf>
  </rfmt>
  <rfmt sheetId="3" s="1" sqref="F24" start="0" length="0">
    <dxf>
      <font>
        <sz val="10"/>
        <color indexed="8"/>
        <name val="Calibri"/>
        <scheme val="minor"/>
      </font>
      <fill>
        <patternFill>
          <bgColor rgb="FFCCFFCC"/>
        </patternFill>
      </fill>
      <alignment wrapText="1" readingOrder="0"/>
    </dxf>
  </rfmt>
  <rfmt sheetId="3" sqref="G24" start="0" length="0">
    <dxf>
      <fill>
        <patternFill>
          <bgColor rgb="FFCCFFCC"/>
        </patternFill>
      </fill>
    </dxf>
  </rfmt>
  <rfmt sheetId="3" sqref="H24" start="0" length="0">
    <dxf>
      <fill>
        <patternFill>
          <bgColor rgb="FFCCFFCC"/>
        </patternFill>
      </fill>
    </dxf>
  </rfmt>
  <rfmt sheetId="3" sqref="I24" start="0" length="0">
    <dxf>
      <fill>
        <patternFill>
          <bgColor rgb="FFCCFFCC"/>
        </patternFill>
      </fill>
    </dxf>
  </rfmt>
  <rfmt sheetId="3" sqref="J24" start="0" length="0">
    <dxf>
      <fill>
        <patternFill>
          <bgColor rgb="FFCCFFCC"/>
        </patternFill>
      </fill>
    </dxf>
  </rfmt>
  <rfmt sheetId="3" sqref="K24" start="0" length="0">
    <dxf>
      <fill>
        <patternFill>
          <bgColor rgb="FFCCFFCC"/>
        </patternFill>
      </fill>
    </dxf>
  </rfmt>
  <rfmt sheetId="3" sqref="L24" start="0" length="0">
    <dxf>
      <fill>
        <patternFill>
          <bgColor rgb="FFCCFFCC"/>
        </patternFill>
      </fill>
    </dxf>
  </rfmt>
  <rfmt sheetId="3" sqref="M24" start="0" length="0">
    <dxf>
      <fill>
        <patternFill>
          <bgColor rgb="FFCCFFCC"/>
        </patternFill>
      </fill>
    </dxf>
  </rfmt>
  <rfmt sheetId="3" sqref="N24" start="0" length="0">
    <dxf>
      <fill>
        <patternFill>
          <bgColor rgb="FFCCFFCC"/>
        </patternFill>
      </fill>
    </dxf>
  </rfmt>
  <rfmt sheetId="3" sqref="O24" start="0" length="0">
    <dxf>
      <font>
        <sz val="9"/>
        <color indexed="8"/>
        <name val="Calibri"/>
        <scheme val="minor"/>
      </font>
      <fill>
        <patternFill>
          <bgColor rgb="FFCCFFCC"/>
        </patternFill>
      </fill>
    </dxf>
  </rfmt>
  <rfmt sheetId="3" sqref="P24" start="0" length="0">
    <dxf>
      <font>
        <sz val="9"/>
        <color indexed="8"/>
        <name val="Calibri"/>
        <scheme val="minor"/>
      </font>
      <fill>
        <patternFill>
          <bgColor rgb="FFCCFFCC"/>
        </patternFill>
      </fill>
    </dxf>
  </rfmt>
  <rcc rId="8118" sId="3" odxf="1" s="1" dxf="1">
    <nc r="Q24">
      <v>4</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119" sId="3" odxf="1" s="1" dxf="1">
    <nc r="R24">
      <v>12</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qref="S24" start="0" length="0">
    <dxf>
      <font>
        <sz val="9"/>
        <color indexed="8"/>
        <name val="Calibri"/>
        <scheme val="minor"/>
      </font>
      <fill>
        <patternFill>
          <bgColor rgb="FFCCFFCC"/>
        </patternFill>
      </fill>
    </dxf>
  </rfmt>
  <rcc rId="8120" sId="3" odxf="1" dxf="1">
    <nc r="T24">
      <v>2</v>
    </nc>
    <odxf>
      <font>
        <sz val="9"/>
        <color indexed="8"/>
        <name val="Calibri"/>
        <scheme val="none"/>
      </font>
      <fill>
        <patternFill>
          <bgColor theme="0"/>
        </patternFill>
      </fill>
    </odxf>
    <ndxf>
      <font>
        <sz val="9"/>
        <color indexed="8"/>
        <name val="Calibri"/>
        <scheme val="minor"/>
      </font>
      <fill>
        <patternFill>
          <bgColor rgb="FFCCFFCC"/>
        </patternFill>
      </fill>
    </ndxf>
  </rcc>
  <rcc rId="8121" sId="3" odxf="1" dxf="1">
    <nc r="U24">
      <v>5</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122" sId="3" odxf="1" dxf="1">
    <nc r="V24" t="inlineStr">
      <is>
        <t>T1.05B10 (1.05)</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123" sId="3" odxf="1" dxf="1">
    <nc r="W24"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124" sId="3" numFmtId="19">
    <nc r="A24">
      <v>41715</v>
    </nc>
  </rcc>
  <rcc rId="8125" sId="3">
    <nc r="B24">
      <v>16</v>
    </nc>
  </rcc>
  <rcc rId="8126" sId="3">
    <nc r="D24">
      <v>5</v>
    </nc>
  </rcc>
  <rcc rId="8127" sId="3">
    <nc r="E24">
      <v>15</v>
    </nc>
  </rcc>
  <rcc rId="8128" sId="3">
    <nc r="F24">
      <v>7</v>
    </nc>
  </rcc>
  <rcc rId="8129" sId="3">
    <nc r="G24">
      <v>35</v>
    </nc>
  </rcc>
  <rcc rId="8130" sId="3">
    <nc r="H24">
      <v>35</v>
    </nc>
  </rcc>
  <rcc rId="8131" sId="3">
    <nc r="I24">
      <v>35</v>
    </nc>
  </rcc>
  <rcc rId="8132" sId="3">
    <nc r="J24">
      <v>35</v>
    </nc>
  </rcc>
  <rcc rId="8133" sId="3">
    <nc r="K24">
      <v>36</v>
    </nc>
  </rcc>
  <rcc rId="8134" sId="3">
    <nc r="L24">
      <v>36</v>
    </nc>
  </rcc>
  <rcc rId="8135" sId="3">
    <nc r="M24">
      <v>36</v>
    </nc>
  </rcc>
  <rcc rId="8136" sId="3">
    <oc r="N24" t="inlineStr">
      <is>
        <t>`</t>
      </is>
    </oc>
    <nc r="N24">
      <v>36</v>
    </nc>
  </rcc>
  <rcc rId="8137" sId="3">
    <nc r="O24">
      <v>3</v>
    </nc>
  </rcc>
  <rcc rId="8138" sId="3">
    <nc r="P24">
      <v>6</v>
    </nc>
  </rcc>
  <rcc rId="8139" sId="3">
    <nc r="S24">
      <v>2</v>
    </nc>
  </rcc>
  <rcc rId="8140" sId="3">
    <nc r="X24" t="inlineStr">
      <is>
        <t>All have valid video and audio output.
TX CC errors &amp; TC encode error on unit.112
AUD2 warnings on unit.112,115,118, , issue CSCuh61762.
MPE warnings all unit except unit.102, refer to CSCzr06824,system issue.
VID warning only on unit.112(data underflow detected)
DPRM warning only on unit.112(NACK received: BAD_CHECKSUM)
Unit 112 is suspected to have some configuration issues.</t>
      </is>
    </nc>
  </rcc>
  <rcc rId="8141" sId="4" numFmtId="19">
    <oc r="I2">
      <v>41711</v>
    </oc>
    <nc r="I2">
      <v>41715</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cc rId="8142" sId="3">
    <oc r="B5" t="inlineStr">
      <is>
        <t>6, 7, 8, 9, 10, 12, 16, 20</t>
      </is>
    </oc>
    <nc r="B5" t="inlineStr">
      <is>
        <t>6, 7, 8, 9, 10, 12, 20</t>
      </is>
    </nc>
  </rcc>
  <rcc rId="8143" sId="3" numFmtId="13">
    <oc r="B4">
      <v>0.52941176470588236</v>
    </oc>
    <nc r="B4">
      <v>0.58823529411764708</v>
    </nc>
  </rcc>
  <rcc rId="8144" sId="3" numFmtId="13">
    <oc r="B3">
      <v>0.52941176470588236</v>
    </oc>
    <nc r="B3">
      <v>0.58823529411764708</v>
    </nc>
  </rcc>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8145" sId="3">
    <oc r="D5" t="inlineStr">
      <is>
        <t>1, 19, 22, 25, 2, 5, 20, 26, 3, 6, 9, 21, 13, 28, 31, 34, 37, 29, 32, 12, 15, 30, 33, 40, 41, 42, 43, 44, 45, 46, 47, 48, 49</t>
      </is>
    </oc>
    <nc r="D5" t="inlineStr">
      <is>
        <t>1, 19, 22, 25, 2, 20, 26, 3, 6, 9, 21, 13, 28, 31, 34, 37, 29, 32, 12, 15, 30, 33, 40, 41, 42, 43, 44, 45, 46, 47, 48, 49</t>
      </is>
    </nc>
  </rcc>
  <rcc rId="8146" sId="3" numFmtId="13">
    <oc r="D4">
      <v>0.32653061224489793</v>
    </oc>
    <nc r="D4">
      <v>0.34693877551020408</v>
    </nc>
  </rcc>
  <rcc rId="8147" sId="3" numFmtId="13">
    <oc r="D3">
      <v>0.32653061224489793</v>
    </oc>
    <nc r="D3">
      <v>0.34693877551020408</v>
    </nc>
  </rcc>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8148" sId="3">
    <oc r="E5" t="inlineStr">
      <is>
        <t>1, 3, 5, 2, 4, 6, 7, 9, 11, 15, 8, 10, 12, 16, 13, 14, 19, 21, 22, 26, 23, 27, 29, 30, 32, 35, 36, 37, 38, 40, 41, 42, 45, 46, 47, 49, 50, 53</t>
      </is>
    </oc>
    <nc r="E5" t="inlineStr">
      <is>
        <t>1, 3, 5, 2, 4, 6, 7, 9, 11, 8, 10, 12, 16, 13, 14, 19, 21, 22, 26, 23, 27, 29, 30, 32, 35, 36, 37, 38, 40, 41, 42, 45, 46, 47, 49, 50, 53</t>
      </is>
    </nc>
  </rcc>
  <rfmt sheetId="4" sqref="J33" start="0" length="0">
    <dxf>
      <fill>
        <patternFill>
          <bgColor rgb="FFCCFFCC"/>
        </patternFill>
      </fill>
    </dxf>
  </rfmt>
  <rcc rId="8149" sId="3" numFmtId="13">
    <oc r="E4">
      <v>0.28301886792452829</v>
    </oc>
    <nc r="E4">
      <v>0.30188679245283018</v>
    </nc>
  </rcc>
  <rcc rId="8150" sId="3" numFmtId="13">
    <oc r="E3">
      <v>0.28301886792452829</v>
    </oc>
    <nc r="E3">
      <v>0.30188679245283018</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cc rId="8151" sId="3">
    <oc r="G5" t="inlineStr">
      <is>
        <t>5, 7, 6, 1, 2, 10, 12, 27, 28, 25, 37, 30, 19, 18, 20, 13, 22, 24, 33, 34, 35, 36</t>
      </is>
    </oc>
    <nc r="G5" t="inlineStr">
      <is>
        <t>5, 7, 6, 1, 2, 10, 12, 27, 28, 25, 37, 30, 19, 18, 20, 13, 22, 24, 33, 34, 36</t>
      </is>
    </nc>
  </rcc>
  <rcc rId="8152" sId="3" numFmtId="13">
    <oc r="G4">
      <v>0.40540540540540543</v>
    </oc>
    <nc r="G4">
      <v>0.43243243243243246</v>
    </nc>
  </rcc>
  <rcc rId="8153" sId="3" numFmtId="13">
    <oc r="G3">
      <v>0.40540540540540543</v>
    </oc>
    <nc r="G3">
      <v>0.43243243243243246</v>
    </nc>
  </rcc>
  <rcc rId="8154" sId="3">
    <oc r="H5" t="inlineStr">
      <is>
        <t>5, 7, 6, 1, 2, 10, 12, 27, 28, 25, 37, 30, 19, 18, 20, 13, 22, 24, 33, 34, 35, 36</t>
      </is>
    </oc>
    <nc r="H5" t="inlineStr">
      <is>
        <t>5, 7, 6, 1, 2, 10, 12, 27, 28, 25, 37, 30, 19, 18, 20, 13, 22, 24, 33, 34, 36</t>
      </is>
    </nc>
  </rcc>
  <rcc rId="8155" sId="3" numFmtId="13">
    <oc r="H4">
      <v>0.40540540540540543</v>
    </oc>
    <nc r="H4">
      <v>0.43243243243243246</v>
    </nc>
  </rcc>
  <rcc rId="8156" sId="3" numFmtId="13">
    <oc r="H3">
      <v>0.40540540540540543</v>
    </oc>
    <nc r="H3">
      <v>0.43243243243243246</v>
    </nc>
  </rcc>
  <rcc rId="8157" sId="3">
    <oc r="I5" t="inlineStr">
      <is>
        <t>5, 7, 6, 1, 2, 10, 12, 27, 28, 25, 37, 30, 19, 18, 20, 13, 22, 24, 33, 34, 35, 36</t>
      </is>
    </oc>
    <nc r="I5" t="inlineStr">
      <is>
        <t>5, 7, 6, 1, 2, 10, 12, 27, 28, 25, 37, 30, 19, 18, 20, 13, 22, 24, 33, 34, 36</t>
      </is>
    </nc>
  </rcc>
  <rcc rId="8158" sId="3" numFmtId="13">
    <oc r="I4">
      <v>0.40540540540540543</v>
    </oc>
    <nc r="I4">
      <v>0.43243243243243246</v>
    </nc>
  </rcc>
  <rcc rId="8159" sId="3" numFmtId="13">
    <oc r="I3">
      <v>0.40540540540540543</v>
    </oc>
    <nc r="I3">
      <v>0.43243243243243246</v>
    </nc>
  </rcc>
  <rcc rId="8160" sId="3">
    <oc r="J5" t="inlineStr">
      <is>
        <t>5, 7, 6, 1, 2, 10, 12, 27, 28, 25, 37, 30, 19, 18, 20, 13, 22, 24, 33, 34, 35, 36</t>
      </is>
    </oc>
    <nc r="J5" t="inlineStr">
      <is>
        <t>5, 7, 6, 1, 2, 10, 12, 27, 28, 25, 37, 30, 19, 18, 20, 13, 22, 24, 33, 34, 36</t>
      </is>
    </nc>
  </rcc>
  <rcc rId="8161" sId="3" numFmtId="13">
    <oc r="J4">
      <v>0.40540540540540543</v>
    </oc>
    <nc r="J4">
      <v>0.43243243243243246</v>
    </nc>
  </rcc>
  <rcc rId="8162" sId="3" numFmtId="13">
    <oc r="J3">
      <v>0.40540540540540543</v>
    </oc>
    <nc r="J3">
      <v>0.43243243243243246</v>
    </nc>
  </rcc>
  <rcc rId="8163" sId="3">
    <oc r="K5" t="inlineStr">
      <is>
        <t>5, 6, 1, 3, 2, 4, 9, 11, 27, 25, 26, 29, 17, 15, 14, 16, 21, 23, 31, 32, 35, 36</t>
      </is>
    </oc>
    <nc r="K5" t="inlineStr">
      <is>
        <t>5, 6, 1, 3, 2, 4, 9, 11, 27, 25, 26, 29, 17, 15, 14, 16, 21, 23, 31, 32, 35</t>
      </is>
    </nc>
  </rcc>
  <rcc rId="8164" sId="3" numFmtId="13">
    <oc r="K4">
      <v>0.40540540540540543</v>
    </oc>
    <nc r="K4">
      <v>0.43243243243243246</v>
    </nc>
  </rcc>
  <rcc rId="8165" sId="3" numFmtId="13">
    <oc r="K3">
      <v>0.40540540540540543</v>
    </oc>
    <nc r="K3">
      <v>0.43243243243243246</v>
    </nc>
  </rcc>
  <rcc rId="8166" sId="3">
    <oc r="L5" t="inlineStr">
      <is>
        <t>5, 6, 1, 3, 2, 4, 9, 11, 27, 25, 26, 29, 17, 15, 14, 16, 21, 23, 31, 32, 35, 36</t>
      </is>
    </oc>
    <nc r="L5" t="inlineStr">
      <is>
        <t>5, 6, 1, 3, 2, 4, 9, 11, 27, 25, 26, 29, 17, 15, 14, 16, 21, 23, 31, 32, 35</t>
      </is>
    </nc>
  </rcc>
  <rcc rId="8167" sId="3" numFmtId="13">
    <oc r="L4">
      <v>0.40540540540540543</v>
    </oc>
    <nc r="L4">
      <v>0.43243243243243246</v>
    </nc>
  </rcc>
  <rcc rId="8168" sId="3" numFmtId="13">
    <oc r="L3">
      <v>0.40540540540540543</v>
    </oc>
    <nc r="L3">
      <v>0.43243243243243246</v>
    </nc>
  </rcc>
  <rcc rId="8169" sId="3">
    <oc r="M5" t="inlineStr">
      <is>
        <t>5, 6, 1, 3, 2, 4, 9, 11, 27, 25, 26, 29, 17, 15, 14, 16, 21, 23, 31, 32, 35, 36</t>
      </is>
    </oc>
    <nc r="M5" t="inlineStr">
      <is>
        <t>5, 6, 1, 3, 2, 4, 9, 11, 27, 25, 26, 29, 17, 15, 14, 16, 21, 23, 31, 32, 35</t>
      </is>
    </nc>
  </rcc>
  <rcc rId="8170" sId="3" numFmtId="13">
    <oc r="M4">
      <v>0.40540540540540543</v>
    </oc>
    <nc r="M4">
      <v>0.43243243243243246</v>
    </nc>
  </rcc>
  <rcc rId="8171" sId="3" numFmtId="13">
    <oc r="M3">
      <v>0.40540540540540543</v>
    </oc>
    <nc r="M3">
      <v>0.43243243243243246</v>
    </nc>
  </rcc>
  <rcc rId="8172" sId="3">
    <oc r="N5" t="inlineStr">
      <is>
        <t>5, 6, 1, 3, 2, 4, 9, 11, 27, 25, 26, 29, 17, 15, 14, 16, 21, 23, 31, 32, 35, 36</t>
      </is>
    </oc>
    <nc r="N5" t="inlineStr">
      <is>
        <t>5, 6, 1, 3, 2, 4, 9, 11, 27, 25, 26, 29, 17, 15, 14, 16, 21, 23, 31, 32, 35</t>
      </is>
    </nc>
  </rcc>
  <rcc rId="8173" sId="3" numFmtId="13">
    <oc r="N4">
      <v>0.40540540540540543</v>
    </oc>
    <nc r="N4">
      <v>0.43243243243243246</v>
    </nc>
  </rcc>
  <rcc rId="8174" sId="3" numFmtId="13">
    <oc r="N3">
      <v>0.40540540540540543</v>
    </oc>
    <nc r="N3">
      <v>0.43243243243243246</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25" start="0" length="0">
    <dxf>
      <font>
        <color rgb="FF000000"/>
        <name val="Calibri"/>
        <scheme val="minor"/>
      </font>
      <border outline="0">
        <left style="thin">
          <color indexed="64"/>
        </left>
        <top style="thin">
          <color indexed="64"/>
        </top>
      </border>
    </dxf>
  </rfmt>
  <rfmt sheetId="3" sqref="B25" start="0" length="0">
    <dxf>
      <font>
        <sz val="9"/>
        <color indexed="8"/>
        <name val="Calibri"/>
        <scheme val="minor"/>
      </font>
      <fill>
        <patternFill>
          <bgColor rgb="FFCCFFCC"/>
        </patternFill>
      </fill>
    </dxf>
  </rfmt>
  <rfmt sheetId="3" sqref="C25" start="0" length="0">
    <dxf>
      <font>
        <sz val="9"/>
        <color indexed="8"/>
        <name val="Calibri"/>
        <scheme val="minor"/>
      </font>
      <fill>
        <patternFill>
          <bgColor rgb="FFCCFFCC"/>
        </patternFill>
      </fill>
    </dxf>
  </rfmt>
  <rfmt sheetId="3" sqref="D25" start="0" length="0">
    <dxf>
      <font>
        <sz val="9"/>
        <color indexed="8"/>
        <name val="Calibri"/>
        <scheme val="minor"/>
      </font>
      <fill>
        <patternFill>
          <bgColor rgb="FFCCFFCC"/>
        </patternFill>
      </fill>
    </dxf>
  </rfmt>
  <rfmt sheetId="3" sqref="E25" start="0" length="0">
    <dxf>
      <font>
        <sz val="9"/>
        <color indexed="8"/>
        <name val="Calibri"/>
        <scheme val="minor"/>
      </font>
      <fill>
        <patternFill>
          <bgColor rgb="FFCCFFCC"/>
        </patternFill>
      </fill>
    </dxf>
  </rfmt>
  <rfmt sheetId="3" s="1" sqref="F25" start="0" length="0">
    <dxf>
      <font>
        <sz val="10"/>
        <color indexed="8"/>
        <name val="Calibri"/>
        <scheme val="minor"/>
      </font>
      <fill>
        <patternFill>
          <bgColor rgb="FFCCFFCC"/>
        </patternFill>
      </fill>
      <alignment wrapText="1" readingOrder="0"/>
    </dxf>
  </rfmt>
  <rfmt sheetId="3" sqref="G25" start="0" length="0">
    <dxf>
      <fill>
        <patternFill>
          <bgColor rgb="FFCCFFCC"/>
        </patternFill>
      </fill>
    </dxf>
  </rfmt>
  <rfmt sheetId="3" sqref="H25" start="0" length="0">
    <dxf>
      <fill>
        <patternFill>
          <bgColor rgb="FFCCFFCC"/>
        </patternFill>
      </fill>
    </dxf>
  </rfmt>
  <rfmt sheetId="3" sqref="I25" start="0" length="0">
    <dxf>
      <fill>
        <patternFill>
          <bgColor rgb="FFCCFFCC"/>
        </patternFill>
      </fill>
    </dxf>
  </rfmt>
  <rfmt sheetId="3" sqref="J25" start="0" length="0">
    <dxf>
      <fill>
        <patternFill>
          <bgColor rgb="FFCCFFCC"/>
        </patternFill>
      </fill>
    </dxf>
  </rfmt>
  <rfmt sheetId="3" sqref="K25" start="0" length="0">
    <dxf>
      <fill>
        <patternFill>
          <bgColor rgb="FFCCFFCC"/>
        </patternFill>
      </fill>
    </dxf>
  </rfmt>
  <rfmt sheetId="3" sqref="L25" start="0" length="0">
    <dxf>
      <fill>
        <patternFill>
          <bgColor rgb="FFCCFFCC"/>
        </patternFill>
      </fill>
    </dxf>
  </rfmt>
  <rfmt sheetId="3" sqref="M25" start="0" length="0">
    <dxf>
      <fill>
        <patternFill>
          <bgColor rgb="FFCCFFCC"/>
        </patternFill>
      </fill>
    </dxf>
  </rfmt>
  <rfmt sheetId="3" sqref="N25" start="0" length="0">
    <dxf>
      <fill>
        <patternFill>
          <bgColor rgb="FFCCFFCC"/>
        </patternFill>
      </fill>
    </dxf>
  </rfmt>
  <rfmt sheetId="3" sqref="O25" start="0" length="0">
    <dxf>
      <font>
        <sz val="9"/>
        <color indexed="8"/>
        <name val="Calibri"/>
        <scheme val="minor"/>
      </font>
      <fill>
        <patternFill>
          <bgColor rgb="FFCCFFCC"/>
        </patternFill>
      </fill>
    </dxf>
  </rfmt>
  <rfmt sheetId="3" sqref="P25" start="0" length="0">
    <dxf>
      <font>
        <sz val="9"/>
        <color indexed="8"/>
        <name val="Calibri"/>
        <scheme val="minor"/>
      </font>
      <fill>
        <patternFill>
          <bgColor rgb="FFCCFFCC"/>
        </patternFill>
      </fill>
    </dxf>
  </rfmt>
  <rfmt sheetId="3" s="1" sqref="Q25" start="0" length="0">
    <dxf>
      <font>
        <sz val="10"/>
        <color indexed="8"/>
        <name val="Calibri"/>
        <scheme val="minor"/>
      </font>
      <fill>
        <patternFill>
          <bgColor rgb="FFCCFFCC"/>
        </patternFill>
      </fill>
      <alignment wrapText="1" readingOrder="0"/>
    </dxf>
  </rfmt>
  <rfmt sheetId="3" s="1" sqref="R25" start="0" length="0">
    <dxf>
      <font>
        <sz val="10"/>
        <color indexed="8"/>
        <name val="Calibri"/>
        <scheme val="minor"/>
      </font>
      <fill>
        <patternFill>
          <bgColor rgb="FFCCFFCC"/>
        </patternFill>
      </fill>
      <alignment wrapText="1" readingOrder="0"/>
    </dxf>
  </rfmt>
  <rfmt sheetId="3" sqref="S25" start="0" length="0">
    <dxf>
      <font>
        <sz val="9"/>
        <color indexed="8"/>
        <name val="Calibri"/>
        <scheme val="minor"/>
      </font>
      <fill>
        <patternFill>
          <bgColor rgb="FFCCFFCC"/>
        </patternFill>
      </fill>
    </dxf>
  </rfmt>
  <rcc rId="8175" sId="3" odxf="1" dxf="1">
    <nc r="T25">
      <v>2</v>
    </nc>
    <odxf>
      <font>
        <sz val="9"/>
        <color indexed="8"/>
        <name val="Calibri"/>
        <scheme val="none"/>
      </font>
      <fill>
        <patternFill>
          <bgColor theme="0"/>
        </patternFill>
      </fill>
    </odxf>
    <ndxf>
      <font>
        <sz val="9"/>
        <color indexed="8"/>
        <name val="Calibri"/>
        <scheme val="minor"/>
      </font>
      <fill>
        <patternFill>
          <bgColor rgb="FFCCFFCC"/>
        </patternFill>
      </fill>
    </ndxf>
  </rcc>
  <rcc rId="8176" sId="3" odxf="1" dxf="1">
    <nc r="U25">
      <v>5</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177" sId="3" odxf="1" dxf="1">
    <nc r="V25" t="inlineStr">
      <is>
        <t>T1.05B10 (1.05)</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178" sId="3" odxf="1" dxf="1">
    <nc r="W25"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179" sId="3" numFmtId="19">
    <nc r="A25">
      <v>41716</v>
    </nc>
  </rcc>
  <rcc rId="8180" sId="3">
    <nc r="B25">
      <v>19</v>
    </nc>
  </rcc>
  <rcc rId="8181" sId="3">
    <nc r="C25">
      <v>2</v>
    </nc>
  </rcc>
  <rcc rId="8182" sId="3">
    <nc r="D25">
      <v>12</v>
    </nc>
  </rcc>
  <rcc rId="8183" sId="3">
    <nc r="E25">
      <v>23</v>
    </nc>
  </rcc>
  <rcc rId="8184" sId="3">
    <nc r="F25">
      <v>1</v>
    </nc>
  </rcc>
  <rcc rId="8185" sId="3">
    <nc r="G25">
      <v>29</v>
    </nc>
  </rcc>
  <rcc rId="8186" sId="3">
    <nc r="H25">
      <v>29</v>
    </nc>
  </rcc>
  <rcc rId="8187" sId="3">
    <nc r="I25">
      <v>29</v>
    </nc>
  </rcc>
  <rcc rId="8188" sId="3">
    <nc r="J25">
      <v>29</v>
    </nc>
  </rcc>
  <rcc rId="8189" sId="3">
    <nc r="K25">
      <v>30</v>
    </nc>
  </rcc>
  <rcc rId="8190" sId="3">
    <nc r="L25">
      <v>30</v>
    </nc>
  </rcc>
  <rcc rId="8191" sId="3">
    <nc r="M25">
      <v>30</v>
    </nc>
  </rcc>
  <rcc rId="8192" sId="3">
    <nc r="N25">
      <v>30</v>
    </nc>
  </rcc>
  <rcc rId="8193" sId="3">
    <nc r="O25">
      <v>4</v>
    </nc>
  </rcc>
  <rcc rId="8194" sId="3">
    <nc r="P25">
      <v>5</v>
    </nc>
  </rcc>
  <rcc rId="8195" sId="3">
    <nc r="Q25">
      <v>3</v>
    </nc>
  </rcc>
  <rcc rId="8196" sId="3">
    <nc r="R25">
      <v>9</v>
    </nc>
  </rcc>
  <rcc rId="8197" sId="3">
    <nc r="S25">
      <v>1</v>
    </nc>
  </rcc>
  <rcc rId="8198" sId="3">
    <nc r="X25" t="inlineStr">
      <is>
        <t>All units have valid video and audio output.
Video is observed frozen when switching channel on downstream unit.232. 
TX CC errors on PID 2904 co-timed on all units
MPE warnings all unit except unit.114, refer to CSCzr06824,system issue.</t>
      </is>
    </nc>
  </rcc>
  <rcc rId="8199" sId="4" numFmtId="19">
    <oc r="I2">
      <v>41715</v>
    </oc>
    <nc r="I2">
      <v>41716</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8200" sId="3">
    <oc r="D5" t="inlineStr">
      <is>
        <t>1, 19, 22, 25, 2, 20, 26, 3, 6, 9, 21, 13, 28, 31, 34, 37, 29, 32, 12, 15, 30, 33, 40, 41, 42, 43, 44, 45, 46, 47, 48, 49</t>
      </is>
    </oc>
    <nc r="D5" t="inlineStr">
      <is>
        <t>1, 19, 22, 25, 2, 20, 26, 3, 6, 9, 21, 13, 28, 31, 34, 37, 29, 32, 15, 30, 33, 40, 41, 42, 43, 44, 45, 46, 47, 48, 49</t>
      </is>
    </nc>
  </rcc>
  <rcc rId="8201" sId="3" numFmtId="13">
    <oc r="D4">
      <v>0.34693877551020408</v>
    </oc>
    <nc r="D4">
      <v>0.36734693877551022</v>
    </nc>
  </rcc>
  <rcc rId="8202" sId="3" numFmtId="13">
    <oc r="D3">
      <v>0.34693877551020408</v>
    </oc>
    <nc r="D3">
      <v>0.36734693877551022</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8203" sId="3">
    <oc r="E5" t="inlineStr">
      <is>
        <t>1, 3, 5, 2, 4, 6, 7, 9, 11, 8, 10, 12, 16, 13, 14, 19, 21, 22, 26, 23, 27, 29, 30, 32, 35, 36, 37, 38, 40, 41, 42, 45, 46, 47, 49, 50, 53</t>
      </is>
    </oc>
    <nc r="E5" t="inlineStr">
      <is>
        <t>1, 3, 5, 2, 4, 6, 7, 9, 11, 8, 10, 12, 16, 13, 14, 19, 21, 22, 26, 27, 29, 30, 32, 35, 36, 37, 38, 40, 41, 42, 45, 46, 47, 49, 50, 53</t>
      </is>
    </nc>
  </rcc>
  <rfmt sheetId="4" sqref="J33" start="0" length="0">
    <dxf>
      <fill>
        <patternFill>
          <bgColor rgb="FFCCFFCC"/>
        </patternFill>
      </fill>
    </dxf>
  </rfmt>
  <rcc rId="8204" sId="3" numFmtId="13">
    <oc r="E4">
      <v>0.30188679245283018</v>
    </oc>
    <nc r="E4">
      <v>0.32075471698113206</v>
    </nc>
  </rcc>
  <rcc rId="8205" sId="3" numFmtId="13">
    <oc r="E3">
      <v>0.30188679245283018</v>
    </oc>
    <nc r="E3">
      <v>0.32075471698113206</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26" start="0" length="0">
    <dxf>
      <font>
        <color rgb="FF000000"/>
        <name val="Calibri"/>
        <scheme val="minor"/>
      </font>
      <border outline="0">
        <left style="thin">
          <color indexed="64"/>
        </left>
        <top style="thin">
          <color indexed="64"/>
        </top>
      </border>
    </dxf>
  </rfmt>
  <rfmt sheetId="3" sqref="B26" start="0" length="0">
    <dxf>
      <font>
        <sz val="9"/>
        <color indexed="8"/>
        <name val="Calibri"/>
        <scheme val="minor"/>
      </font>
      <fill>
        <patternFill>
          <bgColor rgb="FFCCFFCC"/>
        </patternFill>
      </fill>
    </dxf>
  </rfmt>
  <rfmt sheetId="3" sqref="C26" start="0" length="0">
    <dxf>
      <font>
        <sz val="9"/>
        <color indexed="8"/>
        <name val="Calibri"/>
        <scheme val="minor"/>
      </font>
      <fill>
        <patternFill>
          <bgColor rgb="FFCCFFCC"/>
        </patternFill>
      </fill>
    </dxf>
  </rfmt>
  <rfmt sheetId="3" sqref="D26" start="0" length="0">
    <dxf>
      <font>
        <sz val="9"/>
        <color indexed="8"/>
        <name val="Calibri"/>
        <scheme val="minor"/>
      </font>
      <fill>
        <patternFill>
          <bgColor rgb="FFCCFFCC"/>
        </patternFill>
      </fill>
    </dxf>
  </rfmt>
  <rfmt sheetId="3" sqref="E26" start="0" length="0">
    <dxf>
      <font>
        <sz val="9"/>
        <color indexed="8"/>
        <name val="Calibri"/>
        <scheme val="minor"/>
      </font>
      <fill>
        <patternFill>
          <bgColor rgb="FFCCFFCC"/>
        </patternFill>
      </fill>
    </dxf>
  </rfmt>
  <rfmt sheetId="3" s="1" sqref="F26" start="0" length="0">
    <dxf>
      <font>
        <sz val="10"/>
        <color indexed="8"/>
        <name val="Calibri"/>
        <scheme val="minor"/>
      </font>
      <fill>
        <patternFill>
          <bgColor rgb="FFCCFFCC"/>
        </patternFill>
      </fill>
      <alignment wrapText="1" readingOrder="0"/>
    </dxf>
  </rfmt>
  <rfmt sheetId="3" sqref="G26" start="0" length="0">
    <dxf>
      <fill>
        <patternFill>
          <bgColor rgb="FFCCFFCC"/>
        </patternFill>
      </fill>
    </dxf>
  </rfmt>
  <rfmt sheetId="3" sqref="H26" start="0" length="0">
    <dxf>
      <fill>
        <patternFill>
          <bgColor rgb="FFCCFFCC"/>
        </patternFill>
      </fill>
    </dxf>
  </rfmt>
  <rfmt sheetId="3" sqref="I26" start="0" length="0">
    <dxf>
      <fill>
        <patternFill>
          <bgColor rgb="FFCCFFCC"/>
        </patternFill>
      </fill>
    </dxf>
  </rfmt>
  <rfmt sheetId="3" sqref="J26" start="0" length="0">
    <dxf>
      <fill>
        <patternFill>
          <bgColor rgb="FFCCFFCC"/>
        </patternFill>
      </fill>
    </dxf>
  </rfmt>
  <rfmt sheetId="3" sqref="K26" start="0" length="0">
    <dxf>
      <fill>
        <patternFill>
          <bgColor rgb="FFCCFFCC"/>
        </patternFill>
      </fill>
    </dxf>
  </rfmt>
  <rfmt sheetId="3" sqref="L26" start="0" length="0">
    <dxf>
      <fill>
        <patternFill>
          <bgColor rgb="FFCCFFCC"/>
        </patternFill>
      </fill>
    </dxf>
  </rfmt>
  <rfmt sheetId="3" sqref="M26" start="0" length="0">
    <dxf>
      <fill>
        <patternFill>
          <bgColor rgb="FFCCFFCC"/>
        </patternFill>
      </fill>
    </dxf>
  </rfmt>
  <rfmt sheetId="3" sqref="N26" start="0" length="0">
    <dxf>
      <fill>
        <patternFill>
          <bgColor rgb="FFCCFFCC"/>
        </patternFill>
      </fill>
    </dxf>
  </rfmt>
  <rfmt sheetId="3" sqref="O26" start="0" length="0">
    <dxf>
      <font>
        <sz val="9"/>
        <color indexed="8"/>
        <name val="Calibri"/>
        <scheme val="minor"/>
      </font>
      <fill>
        <patternFill>
          <bgColor rgb="FFCCFFCC"/>
        </patternFill>
      </fill>
    </dxf>
  </rfmt>
  <rfmt sheetId="3" sqref="P26" start="0" length="0">
    <dxf>
      <font>
        <sz val="9"/>
        <color indexed="8"/>
        <name val="Calibri"/>
        <scheme val="minor"/>
      </font>
      <fill>
        <patternFill>
          <bgColor rgb="FFCCFFCC"/>
        </patternFill>
      </fill>
    </dxf>
  </rfmt>
  <rcc rId="8206" sId="3" odxf="1" s="1" dxf="1">
    <nc r="Q26">
      <v>3</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1" sqref="R26" start="0" length="0">
    <dxf>
      <font>
        <sz val="10"/>
        <color indexed="8"/>
        <name val="Calibri"/>
        <scheme val="minor"/>
      </font>
      <fill>
        <patternFill>
          <bgColor rgb="FFCCFFCC"/>
        </patternFill>
      </fill>
      <alignment wrapText="1" readingOrder="0"/>
    </dxf>
  </rfmt>
  <rcc rId="8207" sId="3" odxf="1" dxf="1">
    <nc r="S26">
      <v>1</v>
    </nc>
    <odxf>
      <font>
        <sz val="9"/>
        <color indexed="8"/>
        <name val="Calibri"/>
        <scheme val="none"/>
      </font>
      <fill>
        <patternFill>
          <bgColor theme="0"/>
        </patternFill>
      </fill>
    </odxf>
    <ndxf>
      <font>
        <sz val="9"/>
        <color indexed="8"/>
        <name val="Calibri"/>
        <scheme val="minor"/>
      </font>
      <fill>
        <patternFill>
          <bgColor rgb="FFCCFFCC"/>
        </patternFill>
      </fill>
    </ndxf>
  </rcc>
  <rcc rId="8208" sId="3" odxf="1" dxf="1">
    <nc r="T26">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26"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8209" sId="3" odxf="1" dxf="1">
    <nc r="V26" t="inlineStr">
      <is>
        <t>T1.05B10 (1.05)</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210" sId="3" odxf="1" dxf="1">
    <nc r="W26"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211" sId="3" numFmtId="19">
    <nc r="A26">
      <v>41717</v>
    </nc>
  </rcc>
  <rcc rId="8212" sId="3">
    <nc r="X26" t="inlineStr">
      <is>
        <t>All units have valid video and audio output.  
TX CC errors on PID 2901 on all units, uplink issue.
VBI warnings on all unit due to known uplink setup issue.  
MPE warnings on all units,refer to CSCzr06824,system issue.
FE asserts on unit.108&amp;125.</t>
      </is>
    </nc>
  </rcc>
  <rcc rId="8213" sId="3">
    <nc r="B26">
      <v>10</v>
    </nc>
  </rcc>
  <rcc rId="8214" sId="3">
    <nc r="C26">
      <v>15</v>
    </nc>
  </rcc>
  <rcc rId="8215" sId="3">
    <nc r="D26">
      <v>32</v>
    </nc>
  </rcc>
  <rcc rId="8216" sId="3">
    <nc r="E26">
      <v>32</v>
    </nc>
  </rcc>
  <rcc rId="8217" sId="3">
    <nc r="F26">
      <v>5</v>
    </nc>
  </rcc>
  <rcc rId="8218" sId="3">
    <nc r="G26">
      <v>2</v>
    </nc>
  </rcc>
  <rcc rId="8219" sId="3">
    <nc r="H26">
      <v>2</v>
    </nc>
  </rcc>
  <rcc rId="8220" sId="3">
    <nc r="I26">
      <v>2</v>
    </nc>
  </rcc>
  <rcc rId="8221" sId="3">
    <nc r="J26">
      <v>2</v>
    </nc>
  </rcc>
  <rcc rId="8222" sId="3">
    <nc r="K26">
      <v>6</v>
    </nc>
  </rcc>
  <rcc rId="8223" sId="3">
    <nc r="L26">
      <v>6</v>
    </nc>
  </rcc>
  <rcc rId="8224" sId="3">
    <nc r="M26">
      <v>6</v>
    </nc>
  </rcc>
  <rcc rId="8225" sId="3">
    <nc r="N26">
      <v>6</v>
    </nc>
  </rcc>
  <rcc rId="8226" sId="3">
    <nc r="M29" t="inlineStr">
      <is>
        <t>`</t>
      </is>
    </nc>
  </rcc>
  <rcc rId="8227" sId="3">
    <nc r="O26">
      <v>7</v>
    </nc>
  </rcc>
  <rcc rId="8228" sId="3">
    <nc r="P26">
      <v>7</v>
    </nc>
  </rcc>
  <rcc rId="8229" sId="3">
    <nc r="R26">
      <v>10</v>
    </nc>
  </rcc>
  <rcc rId="8230" sId="3">
    <nc r="U26">
      <v>6</v>
    </nc>
  </rcc>
  <rcc rId="8231" sId="4" numFmtId="19">
    <oc r="I2">
      <v>41716</v>
    </oc>
    <nc r="I2">
      <v>41717</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cc rId="8232" sId="3">
    <oc r="B5" t="inlineStr">
      <is>
        <t>6, 7, 8, 9, 10, 12, 20</t>
      </is>
    </oc>
    <nc r="B5" t="inlineStr">
      <is>
        <t>6, 7, 8, 9, 12, 20</t>
      </is>
    </nc>
  </rcc>
  <rcc rId="8233" sId="3" numFmtId="13">
    <oc r="B4">
      <v>0.58823529411764708</v>
    </oc>
    <nc r="B4">
      <v>0.6470588235294118</v>
    </nc>
  </rcc>
  <rcc rId="8234" sId="3" numFmtId="13">
    <oc r="B3">
      <v>0.58823529411764708</v>
    </oc>
    <nc r="B3">
      <v>0.6470588235294118</v>
    </nc>
  </rcc>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8235" sId="3">
    <oc r="D5" t="inlineStr">
      <is>
        <t>1, 19, 22, 25, 2, 20, 26, 3, 6, 9, 21, 13, 28, 31, 34, 37, 29, 32, 15, 30, 33, 40, 41, 42, 43, 44, 45, 46, 47, 48, 49</t>
      </is>
    </oc>
    <nc r="D5" t="inlineStr">
      <is>
        <t>1, 19, 22, 25, 2, 20, 26, 3, 6, 9, 21, 13, 28, 31, 34, 37, 29, 15, 30, 33, 40, 41, 42, 43, 44, 45, 46, 47, 48, 49</t>
      </is>
    </nc>
  </rcc>
  <rcc rId="8236" sId="3" numFmtId="13">
    <oc r="D4">
      <v>0.36734693877551022</v>
    </oc>
    <nc r="D4">
      <v>0.38775510204081631</v>
    </nc>
  </rcc>
  <rcc rId="8237" sId="3" numFmtId="13">
    <oc r="D3">
      <v>0.36734693877551022</v>
    </oc>
    <nc r="D3">
      <v>0.38775510204081631</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8238" sId="3">
    <oc r="E5" t="inlineStr">
      <is>
        <t>1, 3, 5, 2, 4, 6, 7, 9, 11, 8, 10, 12, 16, 13, 14, 19, 21, 22, 26, 27, 29, 30, 32, 35, 36, 37, 38, 40, 41, 42, 45, 46, 47, 49, 50, 53</t>
      </is>
    </oc>
    <nc r="E5" t="inlineStr">
      <is>
        <t>1, 3, 5, 2, 4, 6, 7, 9, 11, 8, 10, 12, 16, 13, 14, 19, 21, 22, 26, 27, 29, 30, 35, 36, 37, 38, 40, 41, 42, 45, 46, 47, 49, 50, 53</t>
      </is>
    </nc>
  </rcc>
  <rfmt sheetId="4" sqref="J33" start="0" length="0">
    <dxf>
      <fill>
        <patternFill>
          <bgColor rgb="FFCCFFCC"/>
        </patternFill>
      </fill>
    </dxf>
  </rfmt>
  <rcc rId="8239" sId="3" numFmtId="13">
    <oc r="E4">
      <v>0.32075471698113206</v>
    </oc>
    <nc r="E4">
      <v>0.33962264150943394</v>
    </nc>
  </rcc>
  <rcc rId="8240" sId="3" numFmtId="13">
    <oc r="E3">
      <v>0.32075471698113206</v>
    </oc>
    <nc r="E3">
      <v>0.33962264150943394</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O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cc rId="8241" sId="3">
    <oc r="G5" t="inlineStr">
      <is>
        <t>5, 7, 6, 1, 2, 10, 12, 27, 28, 25, 37, 30, 19, 18, 20, 13, 22, 24, 33, 34, 36</t>
      </is>
    </oc>
    <nc r="G5" t="inlineStr">
      <is>
        <t>5, 7, 6, 1, 10, 12, 27, 28, 25, 37, 30, 19, 18, 20, 13, 22, 24, 33, 34, 36</t>
      </is>
    </nc>
  </rcc>
  <rcc rId="8242" sId="3" numFmtId="13">
    <oc r="G4">
      <v>0.43243243243243246</v>
    </oc>
    <nc r="G4">
      <v>0.45945945945945948</v>
    </nc>
  </rcc>
  <rcc rId="8243" sId="3" numFmtId="13">
    <oc r="G3">
      <v>0.43243243243243246</v>
    </oc>
    <nc r="G3">
      <v>0.45945945945945948</v>
    </nc>
  </rcc>
  <rcc rId="8244" sId="3">
    <oc r="H5" t="inlineStr">
      <is>
        <t>5, 7, 6, 1, 2, 10, 12, 27, 28, 25, 37, 30, 19, 18, 20, 13, 22, 24, 33, 34, 36</t>
      </is>
    </oc>
    <nc r="H5" t="inlineStr">
      <is>
        <t>5, 7, 6, 1, 10, 12, 27, 28, 25, 37, 30, 19, 18, 20, 13, 22, 24, 33, 34, 36</t>
      </is>
    </nc>
  </rcc>
  <rcc rId="8245" sId="3" numFmtId="13">
    <oc r="H4">
      <v>0.43243243243243246</v>
    </oc>
    <nc r="H4">
      <v>0.45945945945945948</v>
    </nc>
  </rcc>
  <rcc rId="8246" sId="3" numFmtId="13">
    <oc r="H3">
      <v>0.43243243243243246</v>
    </oc>
    <nc r="H3">
      <v>0.45945945945945948</v>
    </nc>
  </rcc>
  <rcc rId="8247" sId="3">
    <oc r="I5" t="inlineStr">
      <is>
        <t>5, 7, 6, 1, 2, 10, 12, 27, 28, 25, 37, 30, 19, 18, 20, 13, 22, 24, 33, 34, 36</t>
      </is>
    </oc>
    <nc r="I5" t="inlineStr">
      <is>
        <t>5, 7, 6, 1, 10, 12, 27, 28, 25, 37, 30, 19, 18, 20, 13, 22, 24, 33, 34, 36</t>
      </is>
    </nc>
  </rcc>
  <rcc rId="8248" sId="3" numFmtId="13">
    <oc r="I4">
      <v>0.43243243243243246</v>
    </oc>
    <nc r="I4">
      <v>0.45945945945945948</v>
    </nc>
  </rcc>
  <rcc rId="8249" sId="3" numFmtId="13">
    <oc r="I3">
      <v>0.43243243243243246</v>
    </oc>
    <nc r="I3">
      <v>0.45945945945945948</v>
    </nc>
  </rcc>
  <rcc rId="8250" sId="3">
    <oc r="J5" t="inlineStr">
      <is>
        <t>5, 7, 6, 1, 2, 10, 12, 27, 28, 25, 37, 30, 19, 18, 20, 13, 22, 24, 33, 34, 36</t>
      </is>
    </oc>
    <nc r="J5" t="inlineStr">
      <is>
        <t>5, 7, 6, 1, 10, 12, 27, 28, 25, 37, 30, 19, 18, 20, 13, 22, 24, 33, 34, 36</t>
      </is>
    </nc>
  </rcc>
  <rcc rId="8251" sId="3" numFmtId="13">
    <oc r="J4">
      <v>0.43243243243243246</v>
    </oc>
    <nc r="J4">
      <v>0.45945945945945948</v>
    </nc>
  </rcc>
  <rcc rId="8252" sId="3" numFmtId="13">
    <oc r="J3">
      <v>0.43243243243243246</v>
    </oc>
    <nc r="J3">
      <v>0.45945945945945948</v>
    </nc>
  </rcc>
  <rcc rId="8253" sId="3">
    <oc r="K5" t="inlineStr">
      <is>
        <t>5, 6, 1, 3, 2, 4, 9, 11, 27, 25, 26, 29, 17, 15, 14, 16, 21, 23, 31, 32, 35</t>
      </is>
    </oc>
    <nc r="K5" t="inlineStr">
      <is>
        <t>5, 1, 3, 2, 4, 9, 11, 27, 25, 26, 29, 17, 15, 14, 16, 21, 23, 31, 32, 35</t>
      </is>
    </nc>
  </rcc>
  <rcc rId="8254" sId="3" numFmtId="13">
    <oc r="K4">
      <v>0.43243243243243246</v>
    </oc>
    <nc r="K4">
      <v>0.45945945945945948</v>
    </nc>
  </rcc>
  <rcc rId="8255" sId="3" numFmtId="13">
    <oc r="K3">
      <v>0.43243243243243246</v>
    </oc>
    <nc r="K3">
      <v>0.45945945945945948</v>
    </nc>
  </rcc>
  <rcc rId="8256" sId="3">
    <oc r="L5" t="inlineStr">
      <is>
        <t>5, 6, 1, 3, 2, 4, 9, 11, 27, 25, 26, 29, 17, 15, 14, 16, 21, 23, 31, 32, 35</t>
      </is>
    </oc>
    <nc r="L5" t="inlineStr">
      <is>
        <t>5, 1, 3, 2, 4, 9, 11, 27, 25, 26, 29, 17, 15, 14, 16, 21, 23, 31, 32, 35</t>
      </is>
    </nc>
  </rcc>
  <rcc rId="8257" sId="3" numFmtId="13">
    <oc r="L4">
      <v>0.43243243243243246</v>
    </oc>
    <nc r="L4">
      <v>0.45945945945945948</v>
    </nc>
  </rcc>
  <rcc rId="8258" sId="3" numFmtId="13">
    <oc r="L3">
      <v>0.43243243243243246</v>
    </oc>
    <nc r="L3">
      <v>0.45945945945945948</v>
    </nc>
  </rcc>
  <rcc rId="8259" sId="3">
    <oc r="M5" t="inlineStr">
      <is>
        <t>5, 6, 1, 3, 2, 4, 9, 11, 27, 25, 26, 29, 17, 15, 14, 16, 21, 23, 31, 32, 35</t>
      </is>
    </oc>
    <nc r="M5" t="inlineStr">
      <is>
        <t>5, 1, 3, 2, 4, 9, 11, 27, 25, 26, 29, 17, 15, 14, 16, 21, 23, 31, 32, 35</t>
      </is>
    </nc>
  </rcc>
  <rcc rId="8260" sId="3" numFmtId="13">
    <oc r="M4">
      <v>0.43243243243243246</v>
    </oc>
    <nc r="M4">
      <v>0.45945945945945948</v>
    </nc>
  </rcc>
  <rcc rId="8261" sId="3" numFmtId="13">
    <oc r="M3">
      <v>0.43243243243243246</v>
    </oc>
    <nc r="M3">
      <v>0.45945945945945948</v>
    </nc>
  </rcc>
  <rcc rId="8262" sId="3">
    <oc r="N5" t="inlineStr">
      <is>
        <t>5, 6, 1, 3, 2, 4, 9, 11, 27, 25, 26, 29, 17, 15, 14, 16, 21, 23, 31, 32, 35</t>
      </is>
    </oc>
    <nc r="N5" t="inlineStr">
      <is>
        <t>5, 1, 3, 2, 4, 9, 11, 27, 25, 26, 29, 17, 15, 14, 16, 21, 23, 31, 32, 35</t>
      </is>
    </nc>
  </rcc>
  <rcc rId="8263" sId="3" numFmtId="13">
    <oc r="N4">
      <v>0.43243243243243246</v>
    </oc>
    <nc r="N4">
      <v>0.45945945945945948</v>
    </nc>
  </rcc>
  <rcc rId="8264" sId="3" numFmtId="13">
    <oc r="N3">
      <v>0.43243243243243246</v>
    </oc>
    <nc r="N3">
      <v>0.45945945945945948</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27" start="0" length="0">
    <dxf>
      <font>
        <color rgb="FF000000"/>
        <name val="Calibri"/>
        <scheme val="minor"/>
      </font>
      <border outline="0">
        <left style="thin">
          <color indexed="64"/>
        </left>
        <top style="thin">
          <color indexed="64"/>
        </top>
      </border>
    </dxf>
  </rfmt>
  <rfmt sheetId="3" sqref="B27" start="0" length="0">
    <dxf>
      <font>
        <sz val="9"/>
        <color indexed="8"/>
        <name val="Calibri"/>
        <scheme val="minor"/>
      </font>
      <fill>
        <patternFill>
          <bgColor rgb="FFCCFFCC"/>
        </patternFill>
      </fill>
    </dxf>
  </rfmt>
  <rfmt sheetId="3" sqref="C27" start="0" length="0">
    <dxf>
      <font>
        <sz val="9"/>
        <color indexed="8"/>
        <name val="Calibri"/>
        <scheme val="minor"/>
      </font>
      <fill>
        <patternFill>
          <bgColor rgb="FFCCFFCC"/>
        </patternFill>
      </fill>
    </dxf>
  </rfmt>
  <rfmt sheetId="3" sqref="D27" start="0" length="0">
    <dxf>
      <font>
        <sz val="9"/>
        <color indexed="8"/>
        <name val="Calibri"/>
        <scheme val="minor"/>
      </font>
      <fill>
        <patternFill>
          <bgColor rgb="FFCCFFCC"/>
        </patternFill>
      </fill>
    </dxf>
  </rfmt>
  <rfmt sheetId="3" sqref="E27" start="0" length="0">
    <dxf>
      <font>
        <sz val="9"/>
        <color indexed="8"/>
        <name val="Calibri"/>
        <scheme val="minor"/>
      </font>
      <fill>
        <patternFill>
          <bgColor rgb="FFCCFFCC"/>
        </patternFill>
      </fill>
    </dxf>
  </rfmt>
  <rfmt sheetId="3" s="1" sqref="F27" start="0" length="0">
    <dxf>
      <font>
        <sz val="10"/>
        <color indexed="8"/>
        <name val="Calibri"/>
        <scheme val="minor"/>
      </font>
      <fill>
        <patternFill>
          <bgColor rgb="FFCCFFCC"/>
        </patternFill>
      </fill>
      <alignment wrapText="1" readingOrder="0"/>
    </dxf>
  </rfmt>
  <rfmt sheetId="3" sqref="G27" start="0" length="0">
    <dxf>
      <fill>
        <patternFill>
          <bgColor rgb="FFCCFFCC"/>
        </patternFill>
      </fill>
    </dxf>
  </rfmt>
  <rfmt sheetId="3" sqref="H27" start="0" length="0">
    <dxf>
      <fill>
        <patternFill>
          <bgColor rgb="FFCCFFCC"/>
        </patternFill>
      </fill>
    </dxf>
  </rfmt>
  <rfmt sheetId="3" sqref="I27" start="0" length="0">
    <dxf>
      <fill>
        <patternFill>
          <bgColor rgb="FFCCFFCC"/>
        </patternFill>
      </fill>
    </dxf>
  </rfmt>
  <rfmt sheetId="3" sqref="J27" start="0" length="0">
    <dxf>
      <fill>
        <patternFill>
          <bgColor rgb="FFCCFFCC"/>
        </patternFill>
      </fill>
    </dxf>
  </rfmt>
  <rfmt sheetId="3" sqref="K27" start="0" length="0">
    <dxf>
      <fill>
        <patternFill>
          <bgColor rgb="FFCCFFCC"/>
        </patternFill>
      </fill>
    </dxf>
  </rfmt>
  <rfmt sheetId="3" sqref="L27" start="0" length="0">
    <dxf>
      <fill>
        <patternFill>
          <bgColor rgb="FFCCFFCC"/>
        </patternFill>
      </fill>
    </dxf>
  </rfmt>
  <rfmt sheetId="3" sqref="M27" start="0" length="0">
    <dxf>
      <fill>
        <patternFill>
          <bgColor rgb="FFCCFFCC"/>
        </patternFill>
      </fill>
    </dxf>
  </rfmt>
  <rfmt sheetId="3" sqref="N27" start="0" length="0">
    <dxf>
      <fill>
        <patternFill>
          <bgColor rgb="FFCCFFCC"/>
        </patternFill>
      </fill>
    </dxf>
  </rfmt>
  <rfmt sheetId="3" sqref="O27" start="0" length="0">
    <dxf>
      <font>
        <sz val="9"/>
        <color indexed="8"/>
        <name val="Calibri"/>
        <scheme val="minor"/>
      </font>
      <fill>
        <patternFill>
          <bgColor rgb="FFCCFFCC"/>
        </patternFill>
      </fill>
    </dxf>
  </rfmt>
  <rfmt sheetId="3" sqref="P27" start="0" length="0">
    <dxf>
      <font>
        <sz val="9"/>
        <color indexed="8"/>
        <name val="Calibri"/>
        <scheme val="minor"/>
      </font>
      <fill>
        <patternFill>
          <bgColor rgb="FFCCFFCC"/>
        </patternFill>
      </fill>
    </dxf>
  </rfmt>
  <rcc rId="8265" sId="3" odxf="1" s="1" dxf="1">
    <nc r="Q27">
      <v>3</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1" sqref="R27" start="0" length="0">
    <dxf>
      <font>
        <sz val="10"/>
        <color indexed="8"/>
        <name val="Calibri"/>
        <scheme val="minor"/>
      </font>
      <fill>
        <patternFill>
          <bgColor rgb="FFCCFFCC"/>
        </patternFill>
      </fill>
      <alignment wrapText="1" readingOrder="0"/>
    </dxf>
  </rfmt>
  <rcc rId="8266" sId="3" odxf="1" dxf="1">
    <nc r="S27">
      <v>1</v>
    </nc>
    <odxf>
      <font>
        <sz val="9"/>
        <color indexed="8"/>
        <name val="Calibri"/>
        <scheme val="none"/>
      </font>
      <fill>
        <patternFill>
          <bgColor theme="0"/>
        </patternFill>
      </fill>
    </odxf>
    <ndxf>
      <font>
        <sz val="9"/>
        <color indexed="8"/>
        <name val="Calibri"/>
        <scheme val="minor"/>
      </font>
      <fill>
        <patternFill>
          <bgColor rgb="FFCCFFCC"/>
        </patternFill>
      </fill>
    </ndxf>
  </rcc>
  <rcc rId="8267" sId="3" odxf="1" dxf="1">
    <nc r="T27">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27"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fmt sheetId="3" sqref="V27" start="0" length="0">
    <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dxf>
  </rfmt>
  <rcc rId="8268" sId="3" odxf="1" dxf="1">
    <nc r="W27"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269" sId="3" numFmtId="19">
    <nc r="A27">
      <v>41718</v>
    </nc>
  </rcc>
  <rcc rId="8270" sId="3">
    <oc r="V26" t="inlineStr">
      <is>
        <t>T1.05B10 (1.05)</t>
      </is>
    </oc>
    <nc r="V26" t="inlineStr">
      <is>
        <t>T1.10B11(1.00)</t>
      </is>
    </nc>
  </rcc>
  <rcc rId="8271" sId="3">
    <oc r="V9" t="inlineStr">
      <is>
        <t>T1.05B10 (1.05)</t>
      </is>
    </oc>
    <nc r="V9" t="inlineStr">
      <is>
        <t>T1.10B11(1.00)</t>
      </is>
    </nc>
  </rcc>
  <rcc rId="8272" sId="3">
    <nc r="V31" t="inlineStr">
      <is>
        <t>`</t>
      </is>
    </nc>
  </rcc>
  <rcc rId="8273" sId="3">
    <oc r="V25" t="inlineStr">
      <is>
        <t>T1.05B10 (1.05)</t>
      </is>
    </oc>
    <nc r="V25" t="inlineStr">
      <is>
        <t>T1.10B11(1.00)</t>
      </is>
    </nc>
  </rcc>
  <rcc rId="8274" sId="3">
    <oc r="V24" t="inlineStr">
      <is>
        <t>T1.05B10 (1.05)</t>
      </is>
    </oc>
    <nc r="V24" t="inlineStr">
      <is>
        <t>T1.10B11(1.00)</t>
      </is>
    </nc>
  </rcc>
  <rcc rId="8275" sId="3">
    <oc r="V23" t="inlineStr">
      <is>
        <t>T1.05B10 (1.05)</t>
      </is>
    </oc>
    <nc r="V23" t="inlineStr">
      <is>
        <t>T1.10B11(1.00)</t>
      </is>
    </nc>
  </rcc>
  <rcc rId="8276" sId="3">
    <nc r="V27" t="inlineStr">
      <is>
        <t>T1.10B12(1.00)</t>
      </is>
    </nc>
  </rcc>
  <rcc rId="8277" sId="3">
    <nc r="X27" t="inlineStr">
      <is>
        <t>All units have valid video and audio output.  
TX CC errors on PID 4001,TX buffer overflow on PID 2904 on all units, uplink issue.
MPE warnings on all units, refer to CSCzr06824,system issue.
TXB_ECC1 warning on unit 102.
IPAL asserts on unit 107,111,112.(IPAL: Treck warning: tfSocketIncomingPacket, UDP socket ID 8 buffer full)
TXB_MGX1 asserts on unit 102,119,130:</t>
      </is>
    </nc>
  </rcc>
  <rcc rId="8278" sId="3">
    <nc r="B27">
      <v>9</v>
    </nc>
  </rcc>
  <rcc rId="8279" sId="3">
    <nc r="C27">
      <v>3</v>
    </nc>
  </rcc>
  <rcc rId="8280" sId="3">
    <nc r="D27">
      <v>28</v>
    </nc>
  </rcc>
  <rcc rId="8281" sId="3">
    <nc r="E27">
      <v>38</v>
    </nc>
  </rcc>
  <rcc rId="8282" sId="3">
    <nc r="F27">
      <v>0</v>
    </nc>
  </rcc>
  <rcc rId="8283" sId="3">
    <nc r="G27">
      <v>5</v>
    </nc>
  </rcc>
  <rcc rId="8284" sId="3">
    <nc r="H27">
      <v>5</v>
    </nc>
  </rcc>
  <rcc rId="8285" sId="3">
    <nc r="I27">
      <v>5</v>
    </nc>
  </rcc>
  <rcc rId="8286" sId="3">
    <nc r="J27">
      <v>5</v>
    </nc>
  </rcc>
  <rcc rId="8287" sId="3">
    <nc r="K27">
      <v>5</v>
    </nc>
  </rcc>
  <rcc rId="8288" sId="3">
    <nc r="L27">
      <v>5</v>
    </nc>
  </rcc>
  <rcc rId="8289" sId="3">
    <nc r="M27">
      <v>5</v>
    </nc>
  </rcc>
  <rcc rId="8290" sId="3">
    <nc r="N27">
      <v>5</v>
    </nc>
  </rcc>
  <rcc rId="8291" sId="3">
    <nc r="O27">
      <v>4</v>
    </nc>
  </rcc>
  <rcc rId="8292" sId="3">
    <nc r="P27">
      <v>5</v>
    </nc>
  </rcc>
  <rcc rId="8293" sId="3">
    <nc r="R27">
      <v>2</v>
    </nc>
  </rcc>
  <rcc rId="8294" sId="3">
    <nc r="U27">
      <v>5</v>
    </nc>
  </rcc>
  <rcc rId="8295" sId="4" numFmtId="19">
    <oc r="I2">
      <v>41717</v>
    </oc>
    <nc r="I2">
      <v>41718</v>
    </nc>
  </rcc>
  <rcc rId="8296" sId="4">
    <oc r="K2" t="inlineStr">
      <is>
        <t>T1.05B10 (1.05)</t>
      </is>
    </oc>
    <nc r="K2" t="inlineStr">
      <is>
        <t>T1.10B12(1.00)</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cc rId="8297" sId="3">
    <oc r="B5" t="inlineStr">
      <is>
        <t>6, 7, 8, 9, 12, 20</t>
      </is>
    </oc>
    <nc r="B5" t="inlineStr">
      <is>
        <t>6, 7, 8, 12, 20</t>
      </is>
    </nc>
  </rcc>
  <rcc rId="8298" sId="3" numFmtId="13">
    <oc r="B4">
      <v>0.6470588235294118</v>
    </oc>
    <nc r="B4">
      <v>0.70588235294117652</v>
    </nc>
  </rcc>
  <rcc rId="8299" sId="3" numFmtId="13">
    <oc r="B3">
      <v>0.6470588235294118</v>
    </oc>
    <nc r="B3">
      <v>0.70588235294117652</v>
    </nc>
  </rcc>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8300" sId="3">
    <oc r="D5" t="inlineStr">
      <is>
        <t>1, 19, 22, 25, 2, 20, 26, 3, 6, 9, 21, 13, 28, 31, 34, 37, 29, 15, 30, 33, 40, 41, 42, 43, 44, 45, 46, 47, 48, 49</t>
      </is>
    </oc>
    <nc r="D5" t="inlineStr">
      <is>
        <t>1, 19, 22, 25, 2, 20, 26, 3, 6, 9, 21, 13, 31, 34, 37, 29, 15, 30, 33, 40, 41, 42, 43, 44, 45, 46, 47, 48, 49</t>
      </is>
    </nc>
  </rcc>
  <rcc rId="8301" sId="3" numFmtId="13">
    <oc r="D4">
      <v>0.38775510204081631</v>
    </oc>
    <nc r="D4">
      <v>0.40816326530612246</v>
    </nc>
  </rcc>
  <rcc rId="8302" sId="3" numFmtId="13">
    <oc r="D3">
      <v>0.38775510204081631</v>
    </oc>
    <nc r="D3">
      <v>0.40816326530612246</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8303" sId="3">
    <oc r="E5" t="inlineStr">
      <is>
        <t>1, 3, 5, 2, 4, 6, 7, 9, 11, 8, 10, 12, 16, 13, 14, 19, 21, 22, 26, 27, 29, 30, 35, 36, 37, 38, 40, 41, 42, 45, 46, 47, 49, 50, 53</t>
      </is>
    </oc>
    <nc r="E5" t="inlineStr">
      <is>
        <t>1, 3, 5, 2, 4, 6, 7, 9, 11, 8, 10, 12, 16, 13, 14, 19, 21, 22, 26, 27, 29, 30, 35, 36, 37, 40, 41, 42, 45, 46, 47, 49, 50, 53</t>
      </is>
    </nc>
  </rcc>
  <rfmt sheetId="4" sqref="J33" start="0" length="0">
    <dxf>
      <fill>
        <patternFill>
          <bgColor rgb="FFCCFFCC"/>
        </patternFill>
      </fill>
    </dxf>
  </rfmt>
  <rcc rId="8304" sId="3" numFmtId="13">
    <oc r="E4">
      <v>0.33962264150943394</v>
    </oc>
    <nc r="E4">
      <v>0.35849056603773582</v>
    </nc>
  </rcc>
  <rcc rId="8305" sId="3" numFmtId="13">
    <oc r="E3">
      <v>0.33962264150943394</v>
    </oc>
    <nc r="E3">
      <v>0.35849056603773582</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cc rId="8306" sId="3">
    <oc r="G5" t="inlineStr">
      <is>
        <t>5, 7, 6, 1, 10, 12, 27, 28, 25, 37, 30, 19, 18, 20, 13, 22, 24, 33, 34, 36</t>
      </is>
    </oc>
    <nc r="G5" t="inlineStr">
      <is>
        <t>7, 6, 1, 10, 12, 27, 28, 25, 37, 30, 19, 18, 20, 13, 22, 24, 33, 34, 36</t>
      </is>
    </nc>
  </rcc>
  <rcc rId="8307" sId="3" numFmtId="13">
    <oc r="G4">
      <v>0.45945945945945948</v>
    </oc>
    <nc r="G4">
      <v>0.48648648648648651</v>
    </nc>
  </rcc>
  <rcc rId="8308" sId="3" numFmtId="13">
    <oc r="G3">
      <v>0.45945945945945948</v>
    </oc>
    <nc r="G3">
      <v>0.48648648648648651</v>
    </nc>
  </rcc>
  <rcc rId="8309" sId="3">
    <oc r="H5" t="inlineStr">
      <is>
        <t>5, 7, 6, 1, 10, 12, 27, 28, 25, 37, 30, 19, 18, 20, 13, 22, 24, 33, 34, 36</t>
      </is>
    </oc>
    <nc r="H5" t="inlineStr">
      <is>
        <t>7, 6, 1, 10, 12, 27, 28, 25, 37, 30, 19, 18, 20, 13, 22, 24, 33, 34, 36</t>
      </is>
    </nc>
  </rcc>
  <rcc rId="8310" sId="3" numFmtId="13">
    <oc r="H4">
      <v>0.45945945945945948</v>
    </oc>
    <nc r="H4">
      <v>0.48648648648648651</v>
    </nc>
  </rcc>
  <rcc rId="8311" sId="3" numFmtId="13">
    <oc r="H3">
      <v>0.45945945945945948</v>
    </oc>
    <nc r="H3">
      <v>0.48648648648648651</v>
    </nc>
  </rcc>
  <rcc rId="8312" sId="3">
    <oc r="I5" t="inlineStr">
      <is>
        <t>5, 7, 6, 1, 10, 12, 27, 28, 25, 37, 30, 19, 18, 20, 13, 22, 24, 33, 34, 36</t>
      </is>
    </oc>
    <nc r="I5" t="inlineStr">
      <is>
        <t>7, 6, 1, 10, 12, 27, 28, 25, 37, 30, 19, 18, 20, 13, 22, 24, 33, 34, 36</t>
      </is>
    </nc>
  </rcc>
  <rcc rId="8313" sId="3" numFmtId="13">
    <oc r="I4">
      <v>0.45945945945945948</v>
    </oc>
    <nc r="I4">
      <v>0.48648648648648651</v>
    </nc>
  </rcc>
  <rcc rId="8314" sId="3" numFmtId="13">
    <oc r="I3">
      <v>0.45945945945945948</v>
    </oc>
    <nc r="I3">
      <v>0.48648648648648651</v>
    </nc>
  </rcc>
  <rcc rId="8315" sId="3">
    <oc r="J5" t="inlineStr">
      <is>
        <t>5, 7, 6, 1, 10, 12, 27, 28, 25, 37, 30, 19, 18, 20, 13, 22, 24, 33, 34, 36</t>
      </is>
    </oc>
    <nc r="J5" t="inlineStr">
      <is>
        <t>7, 6, 1, 10, 12, 27, 28, 25, 37, 30, 19, 18, 20, 13, 22, 24, 33, 34, 36</t>
      </is>
    </nc>
  </rcc>
  <rcc rId="8316" sId="3" numFmtId="13">
    <oc r="J4">
      <v>0.45945945945945948</v>
    </oc>
    <nc r="J4">
      <v>0.48648648648648651</v>
    </nc>
  </rcc>
  <rcc rId="8317" sId="3" numFmtId="13">
    <oc r="J3">
      <v>0.45945945945945948</v>
    </oc>
    <nc r="J3">
      <v>0.48648648648648651</v>
    </nc>
  </rcc>
  <rcc rId="8318" sId="3">
    <oc r="K5" t="inlineStr">
      <is>
        <t>5, 1, 3, 2, 4, 9, 11, 27, 25, 26, 29, 17, 15, 14, 16, 21, 23, 31, 32, 35</t>
      </is>
    </oc>
    <nc r="K5" t="inlineStr">
      <is>
        <t>1, 3, 2, 4, 9, 11, 27, 25, 26, 29, 17, 15, 14, 16, 21, 23, 31, 32, 35</t>
      </is>
    </nc>
  </rcc>
  <rcc rId="8319" sId="3" numFmtId="13">
    <oc r="K4">
      <v>0.45945945945945948</v>
    </oc>
    <nc r="K4">
      <v>0.48648648648648651</v>
    </nc>
  </rcc>
  <rcc rId="8320" sId="3" numFmtId="13">
    <oc r="K3">
      <v>0.45945945945945948</v>
    </oc>
    <nc r="K3">
      <v>0.48648648648648651</v>
    </nc>
  </rcc>
  <rcc rId="8321" sId="3">
    <oc r="L5" t="inlineStr">
      <is>
        <t>5, 1, 3, 2, 4, 9, 11, 27, 25, 26, 29, 17, 15, 14, 16, 21, 23, 31, 32, 35</t>
      </is>
    </oc>
    <nc r="L5" t="inlineStr">
      <is>
        <t>1, 3, 2, 4, 9, 11, 27, 25, 26, 29, 17, 15, 14, 16, 21, 23, 31, 32, 35</t>
      </is>
    </nc>
  </rcc>
  <rcc rId="8322" sId="3" numFmtId="13">
    <oc r="L4">
      <v>0.45945945945945948</v>
    </oc>
    <nc r="L4">
      <v>0.48648648648648651</v>
    </nc>
  </rcc>
  <rcc rId="8323" sId="3" numFmtId="13">
    <oc r="L3">
      <v>0.45945945945945948</v>
    </oc>
    <nc r="L3">
      <v>0.48648648648648651</v>
    </nc>
  </rcc>
  <rcc rId="8324" sId="3">
    <oc r="M5" t="inlineStr">
      <is>
        <t>5, 1, 3, 2, 4, 9, 11, 27, 25, 26, 29, 17, 15, 14, 16, 21, 23, 31, 32, 35</t>
      </is>
    </oc>
    <nc r="M5" t="inlineStr">
      <is>
        <t>1, 3, 2, 4, 9, 11, 27, 25, 26, 29, 17, 15, 14, 16, 21, 23, 31, 32, 35</t>
      </is>
    </nc>
  </rcc>
  <rcc rId="8325" sId="3" numFmtId="13">
    <oc r="M4">
      <v>0.45945945945945948</v>
    </oc>
    <nc r="M4">
      <v>0.48648648648648651</v>
    </nc>
  </rcc>
  <rcc rId="8326" sId="3" numFmtId="13">
    <oc r="M3">
      <v>0.45945945945945948</v>
    </oc>
    <nc r="M3">
      <v>0.48648648648648651</v>
    </nc>
  </rcc>
  <rcc rId="8327" sId="3">
    <oc r="N5" t="inlineStr">
      <is>
        <t>5, 1, 3, 2, 4, 9, 11, 27, 25, 26, 29, 17, 15, 14, 16, 21, 23, 31, 32, 35</t>
      </is>
    </oc>
    <nc r="N5" t="inlineStr">
      <is>
        <t>1, 3, 2, 4, 9, 11, 27, 25, 26, 29, 17, 15, 14, 16, 21, 23, 31, 32, 35</t>
      </is>
    </nc>
  </rcc>
  <rcc rId="8328" sId="3" numFmtId="13">
    <oc r="N4">
      <v>0.45945945945945948</v>
    </oc>
    <nc r="N4">
      <v>0.48648648648648651</v>
    </nc>
  </rcc>
  <rcc rId="8329" sId="3" numFmtId="13">
    <oc r="N3">
      <v>0.45945945945945948</v>
    </oc>
    <nc r="N3">
      <v>0.48648648648648651</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30" sId="3" odxf="1" dxf="1">
    <nc r="B28">
      <v>11</v>
    </nc>
    <odxf>
      <font>
        <sz val="9"/>
        <color indexed="8"/>
        <name val="Calibri"/>
        <scheme val="none"/>
      </font>
      <fill>
        <patternFill>
          <bgColor theme="0"/>
        </patternFill>
      </fill>
    </odxf>
    <ndxf>
      <font>
        <sz val="9"/>
        <color indexed="8"/>
        <name val="Calibri"/>
        <scheme val="minor"/>
      </font>
      <fill>
        <patternFill>
          <bgColor rgb="FFCCFFCC"/>
        </patternFill>
      </fill>
    </ndxf>
  </rcc>
  <rcc rId="8331" sId="3" odxf="1" dxf="1">
    <nc r="C28">
      <v>17</v>
    </nc>
    <odxf>
      <font>
        <sz val="9"/>
        <color indexed="8"/>
        <name val="Calibri"/>
        <scheme val="none"/>
      </font>
      <fill>
        <patternFill>
          <bgColor theme="0"/>
        </patternFill>
      </fill>
    </odxf>
    <ndxf>
      <font>
        <sz val="9"/>
        <color indexed="8"/>
        <name val="Calibri"/>
        <scheme val="minor"/>
      </font>
      <fill>
        <patternFill>
          <bgColor rgb="FFCCFFCC"/>
        </patternFill>
      </fill>
    </ndxf>
  </rcc>
  <rcc rId="8332" sId="3" odxf="1" dxf="1">
    <nc r="D28">
      <v>11</v>
    </nc>
    <odxf>
      <font>
        <sz val="9"/>
        <color indexed="8"/>
        <name val="Calibri"/>
        <scheme val="none"/>
      </font>
      <fill>
        <patternFill>
          <bgColor theme="0"/>
        </patternFill>
      </fill>
    </odxf>
    <ndxf>
      <font>
        <sz val="9"/>
        <color indexed="8"/>
        <name val="Calibri"/>
        <scheme val="minor"/>
      </font>
      <fill>
        <patternFill>
          <bgColor rgb="FFCCFFCC"/>
        </patternFill>
      </fill>
    </ndxf>
  </rcc>
  <rcc rId="8333" sId="3" odxf="1" dxf="1">
    <nc r="E28">
      <v>17</v>
    </nc>
    <odxf>
      <font>
        <sz val="9"/>
        <color indexed="8"/>
        <name val="Calibri"/>
        <scheme val="none"/>
      </font>
      <fill>
        <patternFill>
          <bgColor theme="0"/>
        </patternFill>
      </fill>
    </odxf>
    <ndxf>
      <font>
        <sz val="9"/>
        <color indexed="8"/>
        <name val="Calibri"/>
        <scheme val="minor"/>
      </font>
      <fill>
        <patternFill>
          <bgColor rgb="FFCCFFCC"/>
        </patternFill>
      </fill>
    </ndxf>
  </rcc>
  <rcc rId="8334" sId="3" odxf="1" s="1" dxf="1">
    <nc r="F28">
      <v>5</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335" sId="3" odxf="1" dxf="1">
    <nc r="G28">
      <v>9</v>
    </nc>
    <odxf>
      <fill>
        <patternFill>
          <bgColor theme="0"/>
        </patternFill>
      </fill>
    </odxf>
    <ndxf>
      <fill>
        <patternFill>
          <bgColor rgb="FFCCFFCC"/>
        </patternFill>
      </fill>
    </ndxf>
  </rcc>
  <rcc rId="8336" sId="3" odxf="1" dxf="1">
    <nc r="H28">
      <v>9</v>
    </nc>
    <odxf>
      <fill>
        <patternFill>
          <bgColor theme="0"/>
        </patternFill>
      </fill>
    </odxf>
    <ndxf>
      <fill>
        <patternFill>
          <bgColor rgb="FFCCFFCC"/>
        </patternFill>
      </fill>
    </ndxf>
  </rcc>
  <rcc rId="8337" sId="3" odxf="1" dxf="1">
    <nc r="I28">
      <v>9</v>
    </nc>
    <odxf>
      <fill>
        <patternFill>
          <bgColor theme="0"/>
        </patternFill>
      </fill>
    </odxf>
    <ndxf>
      <fill>
        <patternFill>
          <bgColor rgb="FFCCFFCC"/>
        </patternFill>
      </fill>
    </ndxf>
  </rcc>
  <rcc rId="8338" sId="3" odxf="1" dxf="1">
    <nc r="J28">
      <v>9</v>
    </nc>
    <odxf>
      <fill>
        <patternFill>
          <bgColor theme="0"/>
        </patternFill>
      </fill>
    </odxf>
    <ndxf>
      <fill>
        <patternFill>
          <bgColor rgb="FFCCFFCC"/>
        </patternFill>
      </fill>
    </ndxf>
  </rcc>
  <rcc rId="8339" sId="3" odxf="1" dxf="1">
    <nc r="K28">
      <v>10</v>
    </nc>
    <odxf>
      <fill>
        <patternFill>
          <bgColor theme="0"/>
        </patternFill>
      </fill>
    </odxf>
    <ndxf>
      <fill>
        <patternFill>
          <bgColor rgb="FFCCFFCC"/>
        </patternFill>
      </fill>
    </ndxf>
  </rcc>
  <rcc rId="8340" sId="3" odxf="1" dxf="1">
    <nc r="L28">
      <v>10</v>
    </nc>
    <odxf>
      <fill>
        <patternFill>
          <bgColor theme="0"/>
        </patternFill>
      </fill>
    </odxf>
    <ndxf>
      <fill>
        <patternFill>
          <bgColor rgb="FFCCFFCC"/>
        </patternFill>
      </fill>
    </ndxf>
  </rcc>
  <rcc rId="8341" sId="3" odxf="1" dxf="1">
    <nc r="M28">
      <v>10</v>
    </nc>
    <odxf>
      <fill>
        <patternFill>
          <bgColor theme="0"/>
        </patternFill>
      </fill>
    </odxf>
    <ndxf>
      <fill>
        <patternFill>
          <bgColor rgb="FFCCFFCC"/>
        </patternFill>
      </fill>
    </ndxf>
  </rcc>
  <rcc rId="8342" sId="3" odxf="1" dxf="1">
    <nc r="N28">
      <v>10</v>
    </nc>
    <odxf>
      <fill>
        <patternFill>
          <bgColor theme="0"/>
        </patternFill>
      </fill>
    </odxf>
    <ndxf>
      <fill>
        <patternFill>
          <bgColor rgb="FFCCFFCC"/>
        </patternFill>
      </fill>
    </ndxf>
  </rcc>
  <rcc rId="8343" sId="3" odxf="1" dxf="1">
    <nc r="O28">
      <v>4</v>
    </nc>
    <odxf>
      <font>
        <sz val="9"/>
        <color indexed="8"/>
        <name val="Calibri"/>
        <scheme val="none"/>
      </font>
      <fill>
        <patternFill>
          <bgColor theme="0"/>
        </patternFill>
      </fill>
    </odxf>
    <ndxf>
      <font>
        <sz val="9"/>
        <color indexed="8"/>
        <name val="Calibri"/>
        <scheme val="minor"/>
      </font>
      <fill>
        <patternFill>
          <bgColor rgb="FFCCFFCC"/>
        </patternFill>
      </fill>
    </ndxf>
  </rcc>
  <rcc rId="8344" sId="3" odxf="1" dxf="1">
    <nc r="P28">
      <v>6</v>
    </nc>
    <odxf>
      <font>
        <sz val="9"/>
        <color indexed="8"/>
        <name val="Calibri"/>
        <scheme val="none"/>
      </font>
      <fill>
        <patternFill>
          <bgColor theme="0"/>
        </patternFill>
      </fill>
    </odxf>
    <ndxf>
      <font>
        <sz val="9"/>
        <color indexed="8"/>
        <name val="Calibri"/>
        <scheme val="minor"/>
      </font>
      <fill>
        <patternFill>
          <bgColor rgb="FFCCFFCC"/>
        </patternFill>
      </fill>
    </ndxf>
  </rcc>
  <rcc rId="8345" sId="3" odxf="1" s="1" dxf="1">
    <nc r="Q28">
      <v>3</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346" sId="3" odxf="1" s="1" dxf="1">
    <nc r="R28">
      <v>5</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347" sId="3" odxf="1" dxf="1">
    <nc r="S28">
      <v>2</v>
    </nc>
    <odxf>
      <font>
        <sz val="9"/>
        <color indexed="8"/>
        <name val="Calibri"/>
        <scheme val="none"/>
      </font>
      <fill>
        <patternFill>
          <bgColor theme="0"/>
        </patternFill>
      </fill>
    </odxf>
    <ndxf>
      <font>
        <sz val="9"/>
        <color indexed="8"/>
        <name val="Calibri"/>
        <scheme val="minor"/>
      </font>
      <fill>
        <patternFill>
          <bgColor rgb="FFCCFFCC"/>
        </patternFill>
      </fill>
    </ndxf>
  </rcc>
  <rcc rId="8348" sId="3" odxf="1" dxf="1">
    <nc r="T28">
      <v>2</v>
    </nc>
    <odxf>
      <font>
        <sz val="9"/>
        <color indexed="8"/>
        <name val="Calibri"/>
        <scheme val="none"/>
      </font>
      <fill>
        <patternFill>
          <bgColor theme="0"/>
        </patternFill>
      </fill>
    </odxf>
    <ndxf>
      <font>
        <sz val="9"/>
        <color indexed="8"/>
        <name val="Calibri"/>
        <scheme val="minor"/>
      </font>
      <fill>
        <patternFill>
          <bgColor rgb="FFCCFFCC"/>
        </patternFill>
      </fill>
    </ndxf>
  </rcc>
  <rcc rId="8349" sId="3" odxf="1" dxf="1">
    <nc r="U28">
      <v>5</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350" sId="3" odxf="1" dxf="1">
    <nc r="V28" t="inlineStr">
      <is>
        <t>T1.10B11(1.00)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351" sId="3" odxf="1" s="1" dxf="1">
    <nc r="W28" t="inlineStr">
      <is>
        <t>Pass</t>
      </is>
    </nc>
    <odxf>
      <font>
        <b val="0"/>
        <i val="0"/>
        <strike val="0"/>
        <condense val="0"/>
        <extend val="0"/>
        <outline val="0"/>
        <shadow val="0"/>
        <u val="none"/>
        <vertAlign val="baseline"/>
        <sz val="9"/>
        <color indexed="8"/>
        <name val="Calibri"/>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9"/>
        <color indexed="8"/>
        <name val="Calibri"/>
        <scheme val="minor"/>
      </font>
      <fill>
        <patternFill>
          <bgColor rgb="FFCCFFCC"/>
        </patternFill>
      </fill>
    </ndxf>
  </rcc>
  <rcc rId="8352" sId="3" odxf="1" s="1" dxf="1">
    <nc r="X28" t="inlineStr">
      <is>
        <t>All units have valid video and audio output.
FE asserts on unit .114 is detected.
Unit #114
2014-02-25 ;03:45:13 ;FE;WARNING;;; ;WARNING;;3224;Failed to get tuner status
VBI warnings on all due to known setup issue.
MPE warnings on all units, refer to CSCzr06824,system issue</t>
      </is>
    </nc>
    <odxf>
      <font>
        <b val="0"/>
        <i val="0"/>
        <strike val="0"/>
        <condense val="0"/>
        <extend val="0"/>
        <outline val="0"/>
        <shadow val="0"/>
        <u val="none"/>
        <vertAlign val="baseline"/>
        <sz val="9"/>
        <color auto="1"/>
        <name val="Calibri"/>
        <scheme val="minor"/>
      </font>
      <numFmt numFmtId="31" formatCode="[h]:mm:ss"/>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0"/>
    </odxf>
    <ndxf>
      <font>
        <sz val="9"/>
        <color indexed="8"/>
        <name val="Calibri"/>
        <scheme val="none"/>
      </font>
      <numFmt numFmtId="0" formatCode="General"/>
      <border outline="0">
        <right style="thin">
          <color indexed="64"/>
        </right>
      </border>
    </ndxf>
  </rcc>
  <rcc rId="8353" sId="3" numFmtId="19">
    <nc r="A28">
      <v>41694</v>
    </nc>
  </rcc>
  <rrc rId="8354" sId="3" ref="A28:XFD28" action="deleteRow">
    <rfmt sheetId="3" xfDxf="1" s="1" sqref="A28:XFD28" start="0" length="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cc rId="0" sId="3" s="1" dxf="1" numFmtId="19">
      <nc r="A28">
        <v>41694</v>
      </nc>
      <ndxf>
        <font>
          <sz val="10"/>
          <color indexed="8"/>
          <name val="Times New Roman"/>
          <scheme val="none"/>
        </font>
        <numFmt numFmtId="164" formatCode="yyyy/mm/dd;@"/>
        <fill>
          <patternFill patternType="solid">
            <bgColor theme="0"/>
          </patternFill>
        </fill>
        <alignment horizontal="center" vertical="center" wrapText="1" readingOrder="0"/>
        <border outline="0">
          <left style="medium">
            <color indexed="64"/>
          </left>
          <right style="thin">
            <color indexed="64"/>
          </right>
          <bottom style="thin">
            <color indexed="64"/>
          </bottom>
        </border>
      </ndxf>
    </rcc>
    <rcc rId="0" sId="3" s="1" dxf="1">
      <nc r="B28">
        <v>11</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C28">
        <v>17</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D28">
        <v>11</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E28">
        <v>17</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F28">
        <v>5</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G28">
        <v>9</v>
      </nc>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H28">
        <v>9</v>
      </nc>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I28">
        <v>9</v>
      </nc>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J28">
        <v>9</v>
      </nc>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K28">
        <v>10</v>
      </nc>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L28">
        <v>10</v>
      </nc>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M28">
        <v>10</v>
      </nc>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N28">
        <v>10</v>
      </nc>
      <ndxf>
        <font>
          <sz val="9"/>
          <color indexed="8"/>
          <name val="Calibri"/>
          <scheme val="none"/>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O28">
        <v>4</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P28">
        <v>6</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Q28">
        <v>3</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R28">
        <v>5</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S28">
        <v>2</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T28">
        <v>2</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U28">
        <v>5</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V28" t="inlineStr">
        <is>
          <t>T1.10B11(1.00)</t>
        </is>
      </nc>
      <ndxf>
        <font>
          <sz val="10"/>
          <color auto="1"/>
          <name val="Calibri"/>
          <scheme val="minor"/>
        </font>
        <alignment horizontal="center" vertical="center" readingOrder="0"/>
        <border outline="0">
          <left style="thin">
            <color indexed="64"/>
          </left>
          <right style="thin">
            <color indexed="64"/>
          </right>
          <top style="thin">
            <color indexed="64"/>
          </top>
          <bottom style="thin">
            <color indexed="64"/>
          </bottom>
        </border>
      </ndxf>
    </rcc>
    <rcc rId="0" sId="3" dxf="1">
      <nc r="W28" t="inlineStr">
        <is>
          <t>Pass</t>
        </is>
      </nc>
      <ndxf>
        <font>
          <sz val="9"/>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cc rId="0" sId="3" s="1" dxf="1">
      <nc r="X28" t="inlineStr">
        <is>
          <t>All units have valid video and audio output.
FE asserts on unit .114 is detected.
Unit #114
2014-02-25 ;03:45:13 ;FE;WARNING;;; ;WARNING;;3224;Failed to get tuner status
VBI warnings on all due to known setup issue.
MPE warnings on all units, refer to CSCzr06824,system issue</t>
        </is>
      </nc>
      <ndxf>
        <font>
          <sz val="9"/>
          <color indexed="8"/>
          <name val="Calibri"/>
          <scheme val="none"/>
        </font>
        <fill>
          <patternFill patternType="solid">
            <bgColor theme="0"/>
          </patternFill>
        </fill>
        <alignment horizontal="left" vertical="center" wrapText="1" readingOrder="0"/>
        <border outline="0">
          <left style="thin">
            <color indexed="64"/>
          </left>
          <right style="thin">
            <color indexed="64"/>
          </right>
          <top style="thin">
            <color indexed="64"/>
          </top>
          <bottom style="thin">
            <color indexed="64"/>
          </bottom>
        </border>
      </ndxf>
    </rcc>
  </rrc>
  <rfmt sheetId="3" sqref="A28" start="0" length="0">
    <dxf>
      <font>
        <color rgb="FF000000"/>
        <name val="Calibri"/>
        <scheme val="minor"/>
      </font>
      <border outline="0">
        <left style="thin">
          <color indexed="64"/>
        </left>
        <top style="thin">
          <color indexed="64"/>
        </top>
      </border>
    </dxf>
  </rfmt>
  <rfmt sheetId="3" sqref="B28" start="0" length="0">
    <dxf>
      <font>
        <sz val="9"/>
        <color indexed="8"/>
        <name val="Calibri"/>
        <scheme val="minor"/>
      </font>
      <fill>
        <patternFill>
          <bgColor rgb="FFCCFFCC"/>
        </patternFill>
      </fill>
    </dxf>
  </rfmt>
  <rfmt sheetId="3" sqref="C28" start="0" length="0">
    <dxf>
      <font>
        <sz val="9"/>
        <color indexed="8"/>
        <name val="Calibri"/>
        <scheme val="minor"/>
      </font>
      <fill>
        <patternFill>
          <bgColor rgb="FFCCFFCC"/>
        </patternFill>
      </fill>
    </dxf>
  </rfmt>
  <rfmt sheetId="3" sqref="D28" start="0" length="0">
    <dxf>
      <font>
        <sz val="9"/>
        <color indexed="8"/>
        <name val="Calibri"/>
        <scheme val="minor"/>
      </font>
      <fill>
        <patternFill>
          <bgColor rgb="FFCCFFCC"/>
        </patternFill>
      </fill>
    </dxf>
  </rfmt>
  <rfmt sheetId="3" sqref="E28" start="0" length="0">
    <dxf>
      <font>
        <sz val="9"/>
        <color indexed="8"/>
        <name val="Calibri"/>
        <scheme val="minor"/>
      </font>
      <fill>
        <patternFill>
          <bgColor rgb="FFCCFFCC"/>
        </patternFill>
      </fill>
    </dxf>
  </rfmt>
  <rfmt sheetId="3" s="1" sqref="F28" start="0" length="0">
    <dxf>
      <font>
        <sz val="10"/>
        <color indexed="8"/>
        <name val="Calibri"/>
        <scheme val="minor"/>
      </font>
      <fill>
        <patternFill>
          <bgColor rgb="FFCCFFCC"/>
        </patternFill>
      </fill>
      <alignment wrapText="1" readingOrder="0"/>
    </dxf>
  </rfmt>
  <rfmt sheetId="3" sqref="G28" start="0" length="0">
    <dxf>
      <fill>
        <patternFill>
          <bgColor rgb="FFCCFFCC"/>
        </patternFill>
      </fill>
    </dxf>
  </rfmt>
  <rfmt sheetId="3" sqref="H28" start="0" length="0">
    <dxf>
      <fill>
        <patternFill>
          <bgColor rgb="FFCCFFCC"/>
        </patternFill>
      </fill>
    </dxf>
  </rfmt>
  <rfmt sheetId="3" sqref="I28" start="0" length="0">
    <dxf>
      <fill>
        <patternFill>
          <bgColor rgb="FFCCFFCC"/>
        </patternFill>
      </fill>
    </dxf>
  </rfmt>
  <rfmt sheetId="3" sqref="J28" start="0" length="0">
    <dxf>
      <fill>
        <patternFill>
          <bgColor rgb="FFCCFFCC"/>
        </patternFill>
      </fill>
    </dxf>
  </rfmt>
  <rfmt sheetId="3" sqref="K28" start="0" length="0">
    <dxf>
      <fill>
        <patternFill>
          <bgColor rgb="FFCCFFCC"/>
        </patternFill>
      </fill>
    </dxf>
  </rfmt>
  <rfmt sheetId="3" sqref="L28" start="0" length="0">
    <dxf>
      <fill>
        <patternFill>
          <bgColor rgb="FFCCFFCC"/>
        </patternFill>
      </fill>
    </dxf>
  </rfmt>
  <rfmt sheetId="3" sqref="M28" start="0" length="0">
    <dxf>
      <fill>
        <patternFill>
          <bgColor rgb="FFCCFFCC"/>
        </patternFill>
      </fill>
    </dxf>
  </rfmt>
  <rfmt sheetId="3" sqref="N28" start="0" length="0">
    <dxf>
      <fill>
        <patternFill>
          <bgColor rgb="FFCCFFCC"/>
        </patternFill>
      </fill>
    </dxf>
  </rfmt>
  <rfmt sheetId="3" sqref="O28" start="0" length="0">
    <dxf>
      <font>
        <sz val="9"/>
        <color indexed="8"/>
        <name val="Calibri"/>
        <scheme val="minor"/>
      </font>
      <fill>
        <patternFill>
          <bgColor rgb="FFCCFFCC"/>
        </patternFill>
      </fill>
    </dxf>
  </rfmt>
  <rfmt sheetId="3" sqref="P28" start="0" length="0">
    <dxf>
      <font>
        <sz val="9"/>
        <color indexed="8"/>
        <name val="Calibri"/>
        <scheme val="minor"/>
      </font>
      <fill>
        <patternFill>
          <bgColor rgb="FFCCFFCC"/>
        </patternFill>
      </fill>
    </dxf>
  </rfmt>
  <rfmt sheetId="3" s="1" sqref="Q28" start="0" length="0">
    <dxf>
      <font>
        <sz val="10"/>
        <color indexed="8"/>
        <name val="Calibri"/>
        <scheme val="minor"/>
      </font>
      <fill>
        <patternFill>
          <bgColor rgb="FFCCFFCC"/>
        </patternFill>
      </fill>
      <alignment wrapText="1" readingOrder="0"/>
    </dxf>
  </rfmt>
  <rfmt sheetId="3" s="1" sqref="R28" start="0" length="0">
    <dxf>
      <font>
        <sz val="10"/>
        <color indexed="8"/>
        <name val="Calibri"/>
        <scheme val="minor"/>
      </font>
      <fill>
        <patternFill>
          <bgColor rgb="FFCCFFCC"/>
        </patternFill>
      </fill>
      <alignment wrapText="1" readingOrder="0"/>
    </dxf>
  </rfmt>
  <rcc rId="8355" sId="3" odxf="1" dxf="1">
    <nc r="S28">
      <v>1</v>
    </nc>
    <odxf>
      <font>
        <sz val="9"/>
        <color indexed="8"/>
        <name val="Calibri"/>
        <scheme val="none"/>
      </font>
      <fill>
        <patternFill>
          <bgColor theme="0"/>
        </patternFill>
      </fill>
    </odxf>
    <ndxf>
      <font>
        <sz val="9"/>
        <color indexed="8"/>
        <name val="Calibri"/>
        <scheme val="minor"/>
      </font>
      <fill>
        <patternFill>
          <bgColor rgb="FFCCFFCC"/>
        </patternFill>
      </fill>
    </ndxf>
  </rcc>
  <rcc rId="8356" sId="3" odxf="1" dxf="1">
    <nc r="T28">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28"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8357" sId="3" odxf="1" dxf="1">
    <nc r="V28"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358" sId="3" odxf="1" dxf="1">
    <nc r="W28"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359" sId="3" numFmtId="19">
    <nc r="A28">
      <v>41719</v>
    </nc>
  </rcc>
  <rcc rId="8360" sId="3">
    <nc r="B28">
      <v>12</v>
    </nc>
  </rcc>
  <rcc rId="8361" sId="3">
    <nc r="C28">
      <v>18</v>
    </nc>
  </rcc>
  <rcc rId="8362" sId="3">
    <nc r="D28">
      <v>29</v>
    </nc>
  </rcc>
  <rcc rId="8363" sId="3">
    <nc r="E28">
      <v>30</v>
    </nc>
  </rcc>
  <rcc rId="8364" sId="3">
    <nc r="F28">
      <v>6</v>
    </nc>
  </rcc>
  <rcc rId="8365" sId="3">
    <nc r="G28">
      <v>25</v>
    </nc>
  </rcc>
  <rcc rId="8366" sId="3">
    <nc r="H28">
      <v>25</v>
    </nc>
  </rcc>
  <rcc rId="8367" sId="3">
    <nc r="I28">
      <v>25</v>
    </nc>
  </rcc>
  <rcc rId="8368" sId="3">
    <nc r="J28">
      <v>25</v>
    </nc>
  </rcc>
  <rcc rId="8369" sId="3">
    <nc r="K28">
      <v>27</v>
    </nc>
  </rcc>
  <rcc rId="8370" sId="3">
    <nc r="L28">
      <v>27</v>
    </nc>
  </rcc>
  <rcc rId="8371" sId="3">
    <oc r="M28" t="inlineStr">
      <is>
        <t>`</t>
      </is>
    </oc>
    <nc r="M28">
      <v>27</v>
    </nc>
  </rcc>
  <rcc rId="8372" sId="3">
    <nc r="N28">
      <v>27</v>
    </nc>
  </rcc>
  <rcc rId="8373" sId="3">
    <nc r="O28">
      <v>6</v>
    </nc>
  </rcc>
  <rcc rId="8374" sId="3">
    <nc r="P28">
      <v>6</v>
    </nc>
  </rcc>
  <rcc rId="8375" sId="3">
    <nc r="Q28">
      <v>1</v>
    </nc>
  </rcc>
  <rcc rId="8376" sId="3">
    <nc r="R28">
      <v>1</v>
    </nc>
  </rcc>
  <rcc rId="8377" sId="3">
    <nc r="U28">
      <v>6</v>
    </nc>
  </rcc>
  <rcc rId="8378" sId="3">
    <nc r="X28" t="inlineStr">
      <is>
        <t>All units have valid video and audio output.  
The D9854 unit #215 rebooted due to wdog issue.
TX CC errors on PID 2903 on all units, uplink issue.
MPE warnings on all units, refer to CSCzr06824,system issue.
VID warning on  some units.
TXB_ECC1 warning, TXB_MGX1 warning/assert ,TXB_MG1 warning /assert  co-timed on unit 104.</t>
      </is>
    </nc>
  </rcc>
  <rcc rId="8379" sId="3">
    <oc r="F5">
      <v>6</v>
    </oc>
    <nc r="F5"/>
  </rcc>
  <rcc rId="8380" sId="4" numFmtId="19">
    <oc r="I2">
      <v>41718</v>
    </oc>
    <nc r="I2">
      <v>41719</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cc rId="8381" sId="3">
    <oc r="B5" t="inlineStr">
      <is>
        <t>6, 7, 8, 12, 20</t>
      </is>
    </oc>
    <nc r="B5" t="inlineStr">
      <is>
        <t>6, 7, 8, 20</t>
      </is>
    </nc>
  </rcc>
  <rcc rId="8382" sId="3" numFmtId="13">
    <oc r="B4">
      <v>0.70588235294117652</v>
    </oc>
    <nc r="B4">
      <v>0.76470588235294112</v>
    </nc>
  </rcc>
  <rcc rId="8383" sId="3" numFmtId="13">
    <oc r="B3">
      <v>0.70588235294117652</v>
    </oc>
    <nc r="B3">
      <v>0.76470588235294112</v>
    </nc>
  </rcc>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8384" sId="3">
    <oc r="D5" t="inlineStr">
      <is>
        <t>1, 19, 22, 25, 2, 20, 26, 3, 6, 9, 21, 13, 31, 34, 37, 29, 15, 30, 33, 40, 41, 42, 43, 44, 45, 46, 47, 48, 49</t>
      </is>
    </oc>
    <nc r="D5" t="inlineStr">
      <is>
        <t>1, 19, 22, 25, 2, 20, 26, 3, 6, 9, 21, 13, 31, 34, 37, 15, 30, 33, 40, 41, 42, 43, 44, 45, 46, 47, 48, 49</t>
      </is>
    </nc>
  </rcc>
  <rcc rId="8385" sId="3" numFmtId="13">
    <oc r="D4">
      <v>0.40816326530612246</v>
    </oc>
    <nc r="D4">
      <v>0.42857142857142855</v>
    </nc>
  </rcc>
  <rcc rId="8386" sId="3" numFmtId="13">
    <oc r="D3">
      <v>0.40816326530612246</v>
    </oc>
    <nc r="D3">
      <v>0.42857142857142855</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8387" sId="3">
    <oc r="E5" t="inlineStr">
      <is>
        <t>1, 3, 5, 2, 4, 6, 7, 9, 11, 8, 10, 12, 16, 13, 14, 19, 21, 22, 26, 27, 29, 30, 35, 36, 37, 40, 41, 42, 45, 46, 47, 49, 50, 53</t>
      </is>
    </oc>
    <nc r="E5" t="inlineStr">
      <is>
        <t>1, 3, 5, 2, 4, 6, 7, 9, 11, 8, 10, 12, 16, 13, 14, 19, 21, 22, 26, 27, 29, 35, 36, 37, 40, 41, 42, 45, 46, 47, 49, 50, 53</t>
      </is>
    </nc>
  </rcc>
  <rfmt sheetId="4" sqref="J33" start="0" length="0">
    <dxf>
      <fill>
        <patternFill>
          <bgColor rgb="FFCCFFCC"/>
        </patternFill>
      </fill>
    </dxf>
  </rfmt>
  <rcc rId="8388" sId="3" numFmtId="13">
    <oc r="E4">
      <v>0.35849056603773582</v>
    </oc>
    <nc r="E4">
      <v>0.37735849056603776</v>
    </nc>
  </rcc>
  <rcc rId="8389" sId="3" numFmtId="13">
    <oc r="E3">
      <v>0.35849056603773582</v>
    </oc>
    <nc r="E3">
      <v>0.37735849056603776</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cc rId="8390" sId="3" numFmtId="13">
    <oc r="F4">
      <v>0.9285714285714286</v>
    </oc>
    <nc r="F4">
      <v>1</v>
    </nc>
  </rcc>
  <rcc rId="8391" sId="3" numFmtId="13">
    <oc r="F3">
      <v>0.9285714285714286</v>
    </oc>
    <nc r="F3">
      <v>1</v>
    </nc>
  </rcc>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O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cc rId="8392" sId="3">
    <oc r="G5" t="inlineStr">
      <is>
        <t>7, 6, 1, 10, 12, 27, 28, 25, 37, 30, 19, 18, 20, 13, 22, 24, 33, 34, 36</t>
      </is>
    </oc>
    <nc r="G5" t="inlineStr">
      <is>
        <t>7, 6, 1, 10, 12, 27, 28, 37, 30, 19, 18, 20, 13, 22, 24, 33, 34, 36</t>
      </is>
    </nc>
  </rcc>
  <rcc rId="8393" sId="3" numFmtId="13">
    <oc r="G4">
      <v>0.48648648648648651</v>
    </oc>
    <nc r="G4">
      <v>0.51351351351351349</v>
    </nc>
  </rcc>
  <rcc rId="8394" sId="3" numFmtId="13">
    <oc r="G3">
      <v>0.48648648648648651</v>
    </oc>
    <nc r="G3">
      <v>0.51351351351351349</v>
    </nc>
  </rcc>
  <rcc rId="8395" sId="3">
    <oc r="H5" t="inlineStr">
      <is>
        <t>7, 6, 1, 10, 12, 27, 28, 25, 37, 30, 19, 18, 20, 13, 22, 24, 33, 34, 36</t>
      </is>
    </oc>
    <nc r="H5" t="inlineStr">
      <is>
        <t>7, 6, 1, 10, 12, 27, 28, 37, 30, 19, 18, 20, 13, 22, 24, 33, 34, 36</t>
      </is>
    </nc>
  </rcc>
  <rcc rId="8396" sId="3" numFmtId="13">
    <oc r="H4">
      <v>0.48648648648648651</v>
    </oc>
    <nc r="H4">
      <v>0.51351351351351349</v>
    </nc>
  </rcc>
  <rcc rId="8397" sId="3" numFmtId="13">
    <oc r="H3">
      <v>0.48648648648648651</v>
    </oc>
    <nc r="H3">
      <v>0.51351351351351349</v>
    </nc>
  </rcc>
  <rcc rId="8398" sId="3">
    <oc r="I5" t="inlineStr">
      <is>
        <t>7, 6, 1, 10, 12, 27, 28, 25, 37, 30, 19, 18, 20, 13, 22, 24, 33, 34, 36</t>
      </is>
    </oc>
    <nc r="I5" t="inlineStr">
      <is>
        <t>7, 6, 1, 10, 12, 27, 28, 37, 30, 19, 18, 20, 13, 22, 24, 33, 34, 36</t>
      </is>
    </nc>
  </rcc>
  <rcc rId="8399" sId="3" numFmtId="13">
    <oc r="I4">
      <v>0.48648648648648651</v>
    </oc>
    <nc r="I4">
      <v>0.51351351351351349</v>
    </nc>
  </rcc>
  <rcc rId="8400" sId="3" numFmtId="13">
    <oc r="I3">
      <v>0.48648648648648651</v>
    </oc>
    <nc r="I3">
      <v>0.51351351351351349</v>
    </nc>
  </rcc>
  <rcc rId="8401" sId="3">
    <oc r="J5" t="inlineStr">
      <is>
        <t>7, 6, 1, 10, 12, 27, 28, 25, 37, 30, 19, 18, 20, 13, 22, 24, 33, 34, 36</t>
      </is>
    </oc>
    <nc r="J5" t="inlineStr">
      <is>
        <t>7, 6, 1, 10, 12, 27, 28, 37, 30, 19, 18, 20, 13, 22, 24, 33, 34, 36</t>
      </is>
    </nc>
  </rcc>
  <rcc rId="8402" sId="3" numFmtId="13">
    <oc r="J4">
      <v>0.48648648648648651</v>
    </oc>
    <nc r="J4">
      <v>0.51351351351351349</v>
    </nc>
  </rcc>
  <rcc rId="8403" sId="3" numFmtId="13">
    <oc r="J3">
      <v>0.48648648648648651</v>
    </oc>
    <nc r="J3">
      <v>0.51351351351351349</v>
    </nc>
  </rcc>
  <rcc rId="8404" sId="3">
    <oc r="K5" t="inlineStr">
      <is>
        <t>1, 3, 2, 4, 9, 11, 27, 25, 26, 29, 17, 15, 14, 16, 21, 23, 31, 32, 35</t>
      </is>
    </oc>
    <nc r="K5" t="inlineStr">
      <is>
        <t>1, 3, 2, 4, 9, 11, 25, 26, 29, 17, 15, 14, 16, 21, 23, 31, 32, 35</t>
      </is>
    </nc>
  </rcc>
  <rcc rId="8405" sId="3" numFmtId="13">
    <oc r="K4">
      <v>0.48648648648648651</v>
    </oc>
    <nc r="K4">
      <v>0.51351351351351349</v>
    </nc>
  </rcc>
  <rcc rId="8406" sId="3" numFmtId="13">
    <oc r="K3">
      <v>0.48648648648648651</v>
    </oc>
    <nc r="K3">
      <v>0.51351351351351349</v>
    </nc>
  </rcc>
  <rcc rId="8407" sId="3">
    <oc r="L5" t="inlineStr">
      <is>
        <t>1, 3, 2, 4, 9, 11, 27, 25, 26, 29, 17, 15, 14, 16, 21, 23, 31, 32, 35</t>
      </is>
    </oc>
    <nc r="L5" t="inlineStr">
      <is>
        <t>1, 3, 2, 4, 9, 11, 25, 26, 29, 17, 15, 14, 16, 21, 23, 31, 32, 35</t>
      </is>
    </nc>
  </rcc>
  <rcc rId="8408" sId="3" numFmtId="13">
    <oc r="L4">
      <v>0.48648648648648651</v>
    </oc>
    <nc r="L4">
      <v>0.51351351351351349</v>
    </nc>
  </rcc>
  <rcc rId="8409" sId="3" numFmtId="13">
    <oc r="L3">
      <v>0.48648648648648651</v>
    </oc>
    <nc r="L3">
      <v>0.51351351351351349</v>
    </nc>
  </rcc>
  <rcc rId="8410" sId="3">
    <oc r="M5" t="inlineStr">
      <is>
        <t>1, 3, 2, 4, 9, 11, 27, 25, 26, 29, 17, 15, 14, 16, 21, 23, 31, 32, 35</t>
      </is>
    </oc>
    <nc r="M5" t="inlineStr">
      <is>
        <t>1, 3, 2, 4, 9, 11, 25, 26, 29, 17, 15, 14, 16, 21, 23, 31, 32, 35</t>
      </is>
    </nc>
  </rcc>
  <rcc rId="8411" sId="3" numFmtId="13">
    <oc r="M4">
      <v>0.48648648648648651</v>
    </oc>
    <nc r="M4">
      <v>0.51351351351351349</v>
    </nc>
  </rcc>
  <rcc rId="8412" sId="3" numFmtId="13">
    <oc r="M3">
      <v>0.48648648648648651</v>
    </oc>
    <nc r="M3">
      <v>0.51351351351351349</v>
    </nc>
  </rcc>
  <rcc rId="8413" sId="3">
    <oc r="N5" t="inlineStr">
      <is>
        <t>1, 3, 2, 4, 9, 11, 27, 25, 26, 29, 17, 15, 14, 16, 21, 23, 31, 32, 35</t>
      </is>
    </oc>
    <nc r="N5" t="inlineStr">
      <is>
        <t>1, 3, 2, 4, 9, 11, 25, 26, 29, 17, 15, 14, 16, 21, 23, 31, 32, 35</t>
      </is>
    </nc>
  </rcc>
  <rcc rId="8414" sId="3" numFmtId="13">
    <oc r="N4">
      <v>0.48648648648648651</v>
    </oc>
    <nc r="N4">
      <v>0.51351351351351349</v>
    </nc>
  </rcc>
  <rcc rId="8415" sId="3" numFmtId="13">
    <oc r="N3">
      <v>0.48648648648648651</v>
    </oc>
    <nc r="N3">
      <v>0.51351351351351349</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29" start="0" length="0">
    <dxf>
      <font>
        <color rgb="FF000000"/>
        <name val="Calibri"/>
        <scheme val="minor"/>
      </font>
      <border outline="0">
        <left style="thin">
          <color indexed="64"/>
        </left>
        <top style="thin">
          <color indexed="64"/>
        </top>
      </border>
    </dxf>
  </rfmt>
  <rfmt sheetId="3" sqref="B29" start="0" length="0">
    <dxf>
      <font>
        <sz val="9"/>
        <color indexed="8"/>
        <name val="Calibri"/>
        <scheme val="minor"/>
      </font>
      <fill>
        <patternFill>
          <bgColor rgb="FFCCFFCC"/>
        </patternFill>
      </fill>
    </dxf>
  </rfmt>
  <rfmt sheetId="3" sqref="C29" start="0" length="0">
    <dxf>
      <font>
        <sz val="9"/>
        <color indexed="8"/>
        <name val="Calibri"/>
        <scheme val="minor"/>
      </font>
      <fill>
        <patternFill>
          <bgColor rgb="FFCCFFCC"/>
        </patternFill>
      </fill>
    </dxf>
  </rfmt>
  <rfmt sheetId="3" sqref="D29" start="0" length="0">
    <dxf>
      <font>
        <sz val="9"/>
        <color indexed="8"/>
        <name val="Calibri"/>
        <scheme val="minor"/>
      </font>
      <fill>
        <patternFill>
          <bgColor rgb="FFCCFFCC"/>
        </patternFill>
      </fill>
    </dxf>
  </rfmt>
  <rfmt sheetId="3" sqref="E29" start="0" length="0">
    <dxf>
      <font>
        <sz val="9"/>
        <color indexed="8"/>
        <name val="Calibri"/>
        <scheme val="minor"/>
      </font>
      <fill>
        <patternFill>
          <bgColor rgb="FFCCFFCC"/>
        </patternFill>
      </fill>
    </dxf>
  </rfmt>
  <rfmt sheetId="3" s="1" sqref="F29" start="0" length="0">
    <dxf>
      <font>
        <sz val="10"/>
        <color indexed="8"/>
        <name val="Calibri"/>
        <scheme val="minor"/>
      </font>
      <fill>
        <patternFill>
          <bgColor rgb="FFCCFFCC"/>
        </patternFill>
      </fill>
      <alignment wrapText="1" readingOrder="0"/>
    </dxf>
  </rfmt>
  <rfmt sheetId="3" sqref="G29" start="0" length="0">
    <dxf>
      <fill>
        <patternFill>
          <bgColor rgb="FFCCFFCC"/>
        </patternFill>
      </fill>
    </dxf>
  </rfmt>
  <rfmt sheetId="3" sqref="H29" start="0" length="0">
    <dxf>
      <fill>
        <patternFill>
          <bgColor rgb="FFCCFFCC"/>
        </patternFill>
      </fill>
    </dxf>
  </rfmt>
  <rfmt sheetId="3" sqref="I29" start="0" length="0">
    <dxf>
      <fill>
        <patternFill>
          <bgColor rgb="FFCCFFCC"/>
        </patternFill>
      </fill>
    </dxf>
  </rfmt>
  <rfmt sheetId="3" sqref="J29" start="0" length="0">
    <dxf>
      <fill>
        <patternFill>
          <bgColor rgb="FFCCFFCC"/>
        </patternFill>
      </fill>
    </dxf>
  </rfmt>
  <rfmt sheetId="3" sqref="K29" start="0" length="0">
    <dxf>
      <fill>
        <patternFill>
          <bgColor rgb="FFCCFFCC"/>
        </patternFill>
      </fill>
    </dxf>
  </rfmt>
  <rfmt sheetId="3" sqref="L29" start="0" length="0">
    <dxf>
      <fill>
        <patternFill>
          <bgColor rgb="FFCCFFCC"/>
        </patternFill>
      </fill>
    </dxf>
  </rfmt>
  <rfmt sheetId="3" sqref="M29" start="0" length="0">
    <dxf>
      <fill>
        <patternFill>
          <bgColor rgb="FFCCFFCC"/>
        </patternFill>
      </fill>
    </dxf>
  </rfmt>
  <rfmt sheetId="3" sqref="N29" start="0" length="0">
    <dxf>
      <fill>
        <patternFill>
          <bgColor rgb="FFCCFFCC"/>
        </patternFill>
      </fill>
    </dxf>
  </rfmt>
  <rfmt sheetId="3" sqref="O29" start="0" length="0">
    <dxf>
      <font>
        <sz val="9"/>
        <color indexed="8"/>
        <name val="Calibri"/>
        <scheme val="minor"/>
      </font>
      <fill>
        <patternFill>
          <bgColor rgb="FFCCFFCC"/>
        </patternFill>
      </fill>
    </dxf>
  </rfmt>
  <rfmt sheetId="3" sqref="P29" start="0" length="0">
    <dxf>
      <font>
        <sz val="9"/>
        <color indexed="8"/>
        <name val="Calibri"/>
        <scheme val="minor"/>
      </font>
      <fill>
        <patternFill>
          <bgColor rgb="FFCCFFCC"/>
        </patternFill>
      </fill>
    </dxf>
  </rfmt>
  <rfmt sheetId="3" s="1" sqref="Q29" start="0" length="0">
    <dxf>
      <font>
        <sz val="10"/>
        <color indexed="8"/>
        <name val="Calibri"/>
        <scheme val="minor"/>
      </font>
      <fill>
        <patternFill>
          <bgColor rgb="FFCCFFCC"/>
        </patternFill>
      </fill>
      <alignment wrapText="1" readingOrder="0"/>
    </dxf>
  </rfmt>
  <rfmt sheetId="3" s="1" sqref="R29" start="0" length="0">
    <dxf>
      <font>
        <sz val="10"/>
        <color indexed="8"/>
        <name val="Calibri"/>
        <scheme val="minor"/>
      </font>
      <fill>
        <patternFill>
          <bgColor rgb="FFCCFFCC"/>
        </patternFill>
      </fill>
      <alignment wrapText="1" readingOrder="0"/>
    </dxf>
  </rfmt>
  <rcc rId="8416" sId="3" odxf="1" dxf="1">
    <nc r="S29">
      <v>1</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T29" start="0" length="0">
    <dxf>
      <font>
        <sz val="9"/>
        <color indexed="8"/>
        <name val="Calibri"/>
        <scheme val="minor"/>
      </font>
      <fill>
        <patternFill>
          <bgColor rgb="FFCCFFCC"/>
        </patternFill>
      </fill>
    </dxf>
  </rfmt>
  <rfmt sheetId="3" sqref="U29"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8417" sId="3" odxf="1" dxf="1">
    <nc r="V29"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418" sId="3" odxf="1" dxf="1">
    <nc r="W29"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419" sId="3" numFmtId="19">
    <nc r="A29">
      <v>41720</v>
    </nc>
  </rcc>
  <rcc rId="8420" sId="3">
    <nc r="B29">
      <v>6</v>
    </nc>
  </rcc>
  <rcc rId="8421" sId="3">
    <nc r="C29">
      <v>17</v>
    </nc>
  </rcc>
  <rcc rId="8422" sId="3">
    <nc r="D29">
      <v>16</v>
    </nc>
  </rcc>
  <rcc rId="8423" sId="3">
    <nc r="E29">
      <v>27</v>
    </nc>
  </rcc>
  <rcc rId="8424" sId="3">
    <nc r="F29">
      <v>3</v>
    </nc>
  </rcc>
  <rcc rId="8425" sId="3">
    <nc r="G29">
      <v>13</v>
    </nc>
  </rcc>
  <rcc rId="8426" sId="3">
    <nc r="H29">
      <v>13</v>
    </nc>
  </rcc>
  <rcc rId="8427" sId="3">
    <nc r="I29">
      <v>13</v>
    </nc>
  </rcc>
  <rcc rId="8428" sId="3">
    <nc r="J29">
      <v>13</v>
    </nc>
  </rcc>
  <rcc rId="8429" sId="3">
    <nc r="K29">
      <v>7</v>
    </nc>
  </rcc>
  <rcc rId="8430" sId="3">
    <nc r="L29">
      <v>7</v>
    </nc>
  </rcc>
  <rcc rId="8431" sId="3">
    <nc r="M29">
      <v>7</v>
    </nc>
  </rcc>
  <rcc rId="8432" sId="3">
    <nc r="N29">
      <v>7</v>
    </nc>
  </rcc>
  <rcc rId="8433" sId="3">
    <nc r="O29">
      <v>8</v>
    </nc>
  </rcc>
  <rcc rId="8434" sId="3">
    <nc r="P29">
      <v>0</v>
    </nc>
  </rcc>
  <rcc rId="8435" sId="3">
    <nc r="Q29">
      <v>4</v>
    </nc>
  </rcc>
  <rcc rId="8436" sId="3">
    <nc r="R29">
      <v>5</v>
    </nc>
  </rcc>
  <rcc rId="8437" sId="3">
    <nc r="T29">
      <v>1</v>
    </nc>
  </rcc>
  <rcc rId="8438" sId="3">
    <nc r="U29">
      <v>7</v>
    </nc>
  </rcc>
  <rcc rId="8439" sId="3">
    <nc r="X29" t="inlineStr">
      <is>
        <t>All units have valid video and audio output.  
MPE warnings on unit.101&amp;102, refer to CSCzr06824,system issue.
VID warnings co-timed on all units.</t>
      </is>
    </nc>
  </rcc>
  <rcc rId="8440" sId="4" numFmtId="19">
    <oc r="I2">
      <v>41719</v>
    </oc>
    <nc r="I2">
      <v>41720</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cc rId="8441" sId="3">
    <oc r="B5" t="inlineStr">
      <is>
        <t>6, 7, 8, 20</t>
      </is>
    </oc>
    <nc r="B5" t="inlineStr">
      <is>
        <t>7, 8, 20</t>
      </is>
    </nc>
  </rcc>
  <rcc rId="8442" sId="3" numFmtId="13">
    <oc r="B4">
      <v>0.76470588235294112</v>
    </oc>
    <nc r="B4">
      <v>0.82352941176470584</v>
    </nc>
  </rcc>
  <rcc rId="8443" sId="3" numFmtId="13">
    <oc r="B3">
      <v>0.76470588235294112</v>
    </oc>
    <nc r="B3">
      <v>0.82352941176470584</v>
    </nc>
  </rcc>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8444" sId="3">
    <oc r="E5" t="inlineStr">
      <is>
        <t>1, 3, 5, 2, 4, 6, 7, 9, 11, 8, 10, 12, 16, 13, 14, 19, 21, 22, 26, 27, 29, 35, 36, 37, 40, 41, 42, 45, 46, 47, 49, 50, 53</t>
      </is>
    </oc>
    <nc r="E5" t="inlineStr">
      <is>
        <t>1, 3, 5, 2, 4, 6, 7, 9, 11, 8, 10, 12, 16, 13, 14, 19, 21, 22, 26, 29, 35, 36, 37, 40, 41, 42, 45, 46, 47, 49, 50, 53</t>
      </is>
    </nc>
  </rcc>
  <rfmt sheetId="4" sqref="J33" start="0" length="0">
    <dxf>
      <fill>
        <patternFill>
          <bgColor rgb="FFCCFFCC"/>
        </patternFill>
      </fill>
    </dxf>
  </rfmt>
  <rcc rId="8445" sId="3" numFmtId="13">
    <oc r="E4">
      <v>0.37735849056603776</v>
    </oc>
    <nc r="E4">
      <v>0.39622641509433965</v>
    </nc>
  </rcc>
  <rcc rId="8446" sId="3" numFmtId="13">
    <oc r="E3">
      <v>0.37735849056603776</v>
    </oc>
    <nc r="E3">
      <v>0.39622641509433965</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cc rId="8447" sId="3">
    <oc r="G5" t="inlineStr">
      <is>
        <t>7, 6, 1, 10, 12, 27, 28, 37, 30, 19, 18, 20, 13, 22, 24, 33, 34, 36</t>
      </is>
    </oc>
    <nc r="G5" t="inlineStr">
      <is>
        <t>7, 6, 1, 10, 12, 27, 28, 37, 30, 19, 18, 20, 22, 24, 33, 34, 36</t>
      </is>
    </nc>
  </rcc>
  <rcc rId="8448" sId="3" numFmtId="13">
    <oc r="G4">
      <v>0.51351351351351349</v>
    </oc>
    <nc r="G4">
      <v>0.54054054054054057</v>
    </nc>
  </rcc>
  <rcc rId="8449" sId="3" numFmtId="13">
    <oc r="G3">
      <v>0.51351351351351349</v>
    </oc>
    <nc r="G3">
      <v>0.54054054054054057</v>
    </nc>
  </rcc>
  <rcc rId="8450" sId="3">
    <oc r="H5" t="inlineStr">
      <is>
        <t>7, 6, 1, 10, 12, 27, 28, 37, 30, 19, 18, 20, 13, 22, 24, 33, 34, 36</t>
      </is>
    </oc>
    <nc r="H5" t="inlineStr">
      <is>
        <t>7, 6, 1, 10, 12, 27, 28, 37, 30, 19, 18, 20, 22, 24, 33, 34, 36</t>
      </is>
    </nc>
  </rcc>
  <rcc rId="8451" sId="3" numFmtId="13">
    <oc r="H4">
      <v>0.51351351351351349</v>
    </oc>
    <nc r="H4">
      <v>0.54054054054054057</v>
    </nc>
  </rcc>
  <rcc rId="8452" sId="3" numFmtId="13">
    <oc r="H3">
      <v>0.51351351351351349</v>
    </oc>
    <nc r="H3">
      <v>0.54054054054054057</v>
    </nc>
  </rcc>
  <rcc rId="8453" sId="3">
    <oc r="I5" t="inlineStr">
      <is>
        <t>7, 6, 1, 10, 12, 27, 28, 37, 30, 19, 18, 20, 13, 22, 24, 33, 34, 36</t>
      </is>
    </oc>
    <nc r="I5" t="inlineStr">
      <is>
        <t>7, 6, 1, 10, 12, 27, 28, 37, 30, 19, 18, 20, 22, 24, 33, 34, 36</t>
      </is>
    </nc>
  </rcc>
  <rcc rId="8454" sId="3" numFmtId="13">
    <oc r="I4">
      <v>0.51351351351351349</v>
    </oc>
    <nc r="I4">
      <v>0.54054054054054057</v>
    </nc>
  </rcc>
  <rcc rId="8455" sId="3" numFmtId="13">
    <oc r="I3">
      <v>0.51351351351351349</v>
    </oc>
    <nc r="I3">
      <v>0.54054054054054057</v>
    </nc>
  </rcc>
  <rcc rId="8456" sId="3">
    <oc r="J5" t="inlineStr">
      <is>
        <t>7, 6, 1, 10, 12, 27, 28, 37, 30, 19, 18, 20, 13, 22, 24, 33, 34, 36</t>
      </is>
    </oc>
    <nc r="J5" t="inlineStr">
      <is>
        <t>7, 6, 1, 10, 12, 27, 28, 37, 30, 19, 18, 20, 22, 24, 33, 34, 36</t>
      </is>
    </nc>
  </rcc>
  <rcc rId="8457" sId="3" numFmtId="13">
    <oc r="J4">
      <v>0.51351351351351349</v>
    </oc>
    <nc r="J4">
      <v>0.54054054054054057</v>
    </nc>
  </rcc>
  <rcc rId="8458" sId="3" numFmtId="13">
    <oc r="J3">
      <v>0.51351351351351349</v>
    </oc>
    <nc r="J3">
      <v>0.54054054054054057</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9" sId="3" numFmtId="19">
    <oc r="A29">
      <v>41720</v>
    </oc>
    <nc r="A29">
      <v>41722</v>
    </nc>
  </rcc>
  <rfmt sheetId="3" sqref="A30" start="0" length="0">
    <dxf>
      <font>
        <color rgb="FF000000"/>
        <name val="Calibri"/>
        <scheme val="minor"/>
      </font>
      <border outline="0">
        <left style="thin">
          <color indexed="64"/>
        </left>
        <top style="thin">
          <color indexed="64"/>
        </top>
      </border>
    </dxf>
  </rfmt>
  <rfmt sheetId="3" sqref="B30" start="0" length="0">
    <dxf>
      <font>
        <sz val="9"/>
        <color indexed="8"/>
        <name val="Calibri"/>
        <scheme val="minor"/>
      </font>
      <fill>
        <patternFill>
          <bgColor rgb="FFCCFFCC"/>
        </patternFill>
      </fill>
    </dxf>
  </rfmt>
  <rfmt sheetId="3" sqref="C30" start="0" length="0">
    <dxf>
      <font>
        <sz val="9"/>
        <color indexed="8"/>
        <name val="Calibri"/>
        <scheme val="minor"/>
      </font>
      <fill>
        <patternFill>
          <bgColor rgb="FFCCFFCC"/>
        </patternFill>
      </fill>
    </dxf>
  </rfmt>
  <rfmt sheetId="3" sqref="D30" start="0" length="0">
    <dxf>
      <font>
        <sz val="9"/>
        <color indexed="8"/>
        <name val="Calibri"/>
        <scheme val="minor"/>
      </font>
      <fill>
        <patternFill>
          <bgColor rgb="FFCCFFCC"/>
        </patternFill>
      </fill>
    </dxf>
  </rfmt>
  <rfmt sheetId="3" sqref="E30" start="0" length="0">
    <dxf>
      <font>
        <sz val="9"/>
        <color indexed="8"/>
        <name val="Calibri"/>
        <scheme val="minor"/>
      </font>
      <fill>
        <patternFill>
          <bgColor rgb="FFCCFFCC"/>
        </patternFill>
      </fill>
    </dxf>
  </rfmt>
  <rfmt sheetId="3" s="1" sqref="F30" start="0" length="0">
    <dxf>
      <font>
        <sz val="10"/>
        <color indexed="8"/>
        <name val="Calibri"/>
        <scheme val="minor"/>
      </font>
      <fill>
        <patternFill>
          <bgColor rgb="FFCCFFCC"/>
        </patternFill>
      </fill>
      <alignment wrapText="1" readingOrder="0"/>
    </dxf>
  </rfmt>
  <rfmt sheetId="3" sqref="G30" start="0" length="0">
    <dxf>
      <fill>
        <patternFill>
          <bgColor rgb="FFCCFFCC"/>
        </patternFill>
      </fill>
    </dxf>
  </rfmt>
  <rfmt sheetId="3" sqref="H30" start="0" length="0">
    <dxf>
      <fill>
        <patternFill>
          <bgColor rgb="FFCCFFCC"/>
        </patternFill>
      </fill>
    </dxf>
  </rfmt>
  <rfmt sheetId="3" sqref="I30" start="0" length="0">
    <dxf>
      <fill>
        <patternFill>
          <bgColor rgb="FFCCFFCC"/>
        </patternFill>
      </fill>
    </dxf>
  </rfmt>
  <rfmt sheetId="3" sqref="J30" start="0" length="0">
    <dxf>
      <fill>
        <patternFill>
          <bgColor rgb="FFCCFFCC"/>
        </patternFill>
      </fill>
    </dxf>
  </rfmt>
  <rfmt sheetId="3" sqref="K30" start="0" length="0">
    <dxf>
      <fill>
        <patternFill>
          <bgColor rgb="FFCCFFCC"/>
        </patternFill>
      </fill>
    </dxf>
  </rfmt>
  <rfmt sheetId="3" sqref="L30" start="0" length="0">
    <dxf>
      <fill>
        <patternFill>
          <bgColor rgb="FFCCFFCC"/>
        </patternFill>
      </fill>
    </dxf>
  </rfmt>
  <rfmt sheetId="3" sqref="M30" start="0" length="0">
    <dxf>
      <fill>
        <patternFill>
          <bgColor rgb="FFCCFFCC"/>
        </patternFill>
      </fill>
    </dxf>
  </rfmt>
  <rfmt sheetId="3" sqref="N30" start="0" length="0">
    <dxf>
      <fill>
        <patternFill>
          <bgColor rgb="FFCCFFCC"/>
        </patternFill>
      </fill>
    </dxf>
  </rfmt>
  <rfmt sheetId="3" sqref="O30" start="0" length="0">
    <dxf>
      <font>
        <sz val="9"/>
        <color indexed="8"/>
        <name val="Calibri"/>
        <scheme val="minor"/>
      </font>
      <fill>
        <patternFill>
          <bgColor rgb="FFCCFFCC"/>
        </patternFill>
      </fill>
    </dxf>
  </rfmt>
  <rfmt sheetId="3" sqref="P30" start="0" length="0">
    <dxf>
      <font>
        <sz val="9"/>
        <color indexed="8"/>
        <name val="Calibri"/>
        <scheme val="minor"/>
      </font>
      <fill>
        <patternFill>
          <bgColor rgb="FFCCFFCC"/>
        </patternFill>
      </fill>
    </dxf>
  </rfmt>
  <rfmt sheetId="3" s="1" sqref="Q30" start="0" length="0">
    <dxf>
      <font>
        <sz val="10"/>
        <color indexed="8"/>
        <name val="Calibri"/>
        <scheme val="minor"/>
      </font>
      <fill>
        <patternFill>
          <bgColor rgb="FFCCFFCC"/>
        </patternFill>
      </fill>
      <alignment wrapText="1" readingOrder="0"/>
    </dxf>
  </rfmt>
  <rfmt sheetId="3" s="1" sqref="R30" start="0" length="0">
    <dxf>
      <font>
        <sz val="10"/>
        <color indexed="8"/>
        <name val="Calibri"/>
        <scheme val="minor"/>
      </font>
      <fill>
        <patternFill>
          <bgColor rgb="FFCCFFCC"/>
        </patternFill>
      </fill>
      <alignment wrapText="1" readingOrder="0"/>
    </dxf>
  </rfmt>
  <rfmt sheetId="3" sqref="S30" start="0" length="0">
    <dxf>
      <font>
        <sz val="9"/>
        <color indexed="8"/>
        <name val="Calibri"/>
        <scheme val="minor"/>
      </font>
      <fill>
        <patternFill>
          <bgColor rgb="FFCCFFCC"/>
        </patternFill>
      </fill>
    </dxf>
  </rfmt>
  <rfmt sheetId="3" sqref="T30" start="0" length="0">
    <dxf>
      <font>
        <sz val="9"/>
        <color indexed="8"/>
        <name val="Calibri"/>
        <scheme val="minor"/>
      </font>
      <fill>
        <patternFill>
          <bgColor rgb="FFCCFFCC"/>
        </patternFill>
      </fill>
    </dxf>
  </rfmt>
  <rcc rId="8460" sId="3" odxf="1" dxf="1">
    <nc r="U30">
      <v>7</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461" sId="3" odxf="1" dxf="1">
    <oc r="V30" t="inlineStr">
      <is>
        <t>`</t>
      </is>
    </oc>
    <nc r="V30"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462" sId="3" odxf="1" dxf="1">
    <nc r="W30"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463" sId="3" numFmtId="19">
    <nc r="A30">
      <v>41723</v>
    </nc>
  </rcc>
  <rcc rId="8464" sId="3">
    <nc r="B30">
      <v>5</v>
    </nc>
  </rcc>
  <rcc rId="8465" sId="3">
    <nc r="C30">
      <v>18</v>
    </nc>
  </rcc>
  <rcc rId="8466" sId="3">
    <nc r="D30">
      <v>33</v>
    </nc>
  </rcc>
  <rcc rId="8467" sId="3">
    <nc r="E30">
      <v>29</v>
    </nc>
  </rcc>
  <rcc rId="8468" sId="3">
    <nc r="F30">
      <v>8</v>
    </nc>
  </rcc>
  <rcc rId="8469" sId="3">
    <nc r="G30">
      <v>6</v>
    </nc>
  </rcc>
  <rcc rId="8470" sId="3">
    <nc r="H30">
      <v>6</v>
    </nc>
  </rcc>
  <rcc rId="8471" sId="3">
    <nc r="I30">
      <v>6</v>
    </nc>
  </rcc>
  <rcc rId="8472" sId="3">
    <nc r="J30">
      <v>6</v>
    </nc>
  </rcc>
  <rcc rId="8473" sId="3">
    <nc r="K30">
      <v>2</v>
    </nc>
  </rcc>
  <rcc rId="8474" sId="3">
    <nc r="L30">
      <v>2</v>
    </nc>
  </rcc>
  <rcc rId="8475" sId="3">
    <nc r="M30">
      <v>2</v>
    </nc>
  </rcc>
  <rcc rId="8476" sId="3">
    <nc r="N30">
      <v>2</v>
    </nc>
  </rcc>
  <rcc rId="8477" sId="3">
    <nc r="O30">
      <v>5</v>
    </nc>
  </rcc>
  <rcc rId="8478" sId="3">
    <nc r="P30">
      <v>7</v>
    </nc>
  </rcc>
  <rcc rId="8479" sId="3">
    <nc r="Q30">
      <v>2</v>
    </nc>
  </rcc>
  <rcc rId="8480" sId="3">
    <nc r="R30">
      <v>9</v>
    </nc>
  </rcc>
  <rcc rId="8481" sId="3">
    <nc r="S30">
      <v>2</v>
    </nc>
  </rcc>
  <rcc rId="8482" sId="3">
    <nc r="T30">
      <v>2</v>
    </nc>
  </rcc>
  <rcc rId="8483" sId="3">
    <nc r="X30" t="inlineStr">
      <is>
        <t>All units have valid video and audio output.
TX CC errors on PID 2901,4001 co-time on all units, uplink issue.
AUD2 warnings on all units, issue CSCuh61762.
MPE warnings control unit and unit.101,102 refer to CSCzr06824,system issue.
VBI warnings on all unit due to known uplink setup issue
VID warning only on unit.120  (Decoder reports H264_DECODER_ERROR_RECOVERED)</t>
      </is>
    </nc>
  </rcc>
  <rcc rId="8484" sId="4" numFmtId="19">
    <oc r="I2">
      <v>41720</v>
    </oc>
    <nc r="I2">
      <v>41723</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cc rId="8485" sId="3">
    <oc r="D5" t="inlineStr">
      <is>
        <t>1, 19, 22, 25, 2, 20, 26, 3, 6, 9, 21, 13, 31, 34, 37, 15, 30, 33, 40, 41, 42, 43, 44, 45, 46, 47, 48, 49</t>
      </is>
    </oc>
    <nc r="D5" t="inlineStr">
      <is>
        <t>1, 19, 22, 25, 2, 20, 26, 3, 6, 9, 21, 13, 31, 34, 37, 15, 30, 40, 41, 42, 43, 44, 45, 46, 47, 48, 49</t>
      </is>
    </nc>
  </rcc>
  <rcc rId="8486" sId="3" numFmtId="13">
    <oc r="D4">
      <v>0.42857142857142855</v>
    </oc>
    <nc r="D4">
      <v>0.44897959183673469</v>
    </nc>
  </rcc>
  <rcc rId="8487" sId="3" numFmtId="13">
    <oc r="D3">
      <v>0.42857142857142855</v>
    </oc>
    <nc r="D3">
      <v>0.44897959183673469</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cc rId="8488" sId="3">
    <oc r="E5" t="inlineStr">
      <is>
        <t>1, 3, 5, 2, 4, 6, 7, 9, 11, 8, 10, 12, 16, 13, 14, 19, 21, 22, 26, 29, 35, 36, 37, 40, 41, 42, 45, 46, 47, 49, 50, 53</t>
      </is>
    </oc>
    <nc r="E5" t="inlineStr">
      <is>
        <t>1, 3, 5, 2, 4, 6, 7, 9, 11, 8, 10, 12, 16, 13, 14, 19, 21, 22, 26, 35, 36, 37, 40, 41, 42, 45, 46, 47, 49, 50, 53</t>
      </is>
    </nc>
  </rcc>
  <rfmt sheetId="4" sqref="J33" start="0" length="0">
    <dxf>
      <fill>
        <patternFill>
          <bgColor rgb="FFCCFFCC"/>
        </patternFill>
      </fill>
    </dxf>
  </rfmt>
  <rcc rId="8489" sId="3" numFmtId="13">
    <oc r="E4">
      <v>0.39622641509433965</v>
    </oc>
    <nc r="E4">
      <v>0.41509433962264153</v>
    </nc>
  </rcc>
  <rcc rId="8490" sId="3" numFmtId="13">
    <oc r="E3">
      <v>0.39622641509433965</v>
    </oc>
    <nc r="E3">
      <v>0.41509433962264153</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cc rId="8491" sId="3">
    <oc r="G5" t="inlineStr">
      <is>
        <t>7, 6, 1, 10, 12, 27, 28, 37, 30, 19, 18, 20, 22, 24, 33, 34, 36</t>
      </is>
    </oc>
    <nc r="G5" t="inlineStr">
      <is>
        <t>7, 1, 10, 12, 27, 28, 37, 30, 19, 18, 20, 22, 24, 33, 34, 36</t>
      </is>
    </nc>
  </rcc>
  <rcc rId="8492" sId="3" numFmtId="13">
    <oc r="G4">
      <v>0.54054054054054057</v>
    </oc>
    <nc r="G4">
      <v>0.56756756756756754</v>
    </nc>
  </rcc>
  <rcc rId="8493" sId="3" numFmtId="13">
    <oc r="G3">
      <v>0.54054054054054057</v>
    </oc>
    <nc r="G3">
      <v>0.56756756756756754</v>
    </nc>
  </rcc>
  <rcc rId="8494" sId="3">
    <oc r="H5" t="inlineStr">
      <is>
        <t>7, 6, 1, 10, 12, 27, 28, 37, 30, 19, 18, 20, 22, 24, 33, 34, 36</t>
      </is>
    </oc>
    <nc r="H5" t="inlineStr">
      <is>
        <t>7, 1, 10, 12, 27, 28, 37, 30, 19, 18, 20, 22, 24, 33, 34, 36</t>
      </is>
    </nc>
  </rcc>
  <rcc rId="8495" sId="3" numFmtId="13">
    <oc r="H4">
      <v>0.54054054054054057</v>
    </oc>
    <nc r="H4">
      <v>0.56756756756756754</v>
    </nc>
  </rcc>
  <rcc rId="8496" sId="3" numFmtId="13">
    <oc r="H3">
      <v>0.54054054054054057</v>
    </oc>
    <nc r="H3">
      <v>0.56756756756756754</v>
    </nc>
  </rcc>
  <rcc rId="8497" sId="3">
    <oc r="I5" t="inlineStr">
      <is>
        <t>7, 6, 1, 10, 12, 27, 28, 37, 30, 19, 18, 20, 22, 24, 33, 34, 36</t>
      </is>
    </oc>
    <nc r="I5" t="inlineStr">
      <is>
        <t>7, 1, 10, 12, 27, 28, 37, 30, 19, 18, 20, 22, 24, 33, 34, 36</t>
      </is>
    </nc>
  </rcc>
  <rcc rId="8498" sId="3" numFmtId="13">
    <oc r="I4">
      <v>0.54054054054054057</v>
    </oc>
    <nc r="I4">
      <v>0.56756756756756754</v>
    </nc>
  </rcc>
  <rcc rId="8499" sId="3" numFmtId="13">
    <oc r="I3">
      <v>0.54054054054054057</v>
    </oc>
    <nc r="I3">
      <v>0.56756756756756754</v>
    </nc>
  </rcc>
  <rcc rId="8500" sId="3">
    <oc r="J5" t="inlineStr">
      <is>
        <t>7, 6, 1, 10, 12, 27, 28, 37, 30, 19, 18, 20, 22, 24, 33, 34, 36</t>
      </is>
    </oc>
    <nc r="J5" t="inlineStr">
      <is>
        <t>7, 1, 10, 12, 27, 28, 37, 30, 19, 18, 20, 22, 24, 33, 34, 36</t>
      </is>
    </nc>
  </rcc>
  <rcc rId="8501" sId="3" numFmtId="13">
    <oc r="J4">
      <v>0.54054054054054057</v>
    </oc>
    <nc r="J4">
      <v>0.56756756756756754</v>
    </nc>
  </rcc>
  <rcc rId="8502" sId="3" numFmtId="13">
    <oc r="J3">
      <v>0.54054054054054057</v>
    </oc>
    <nc r="J3">
      <v>0.56756756756756754</v>
    </nc>
  </rcc>
  <rcc rId="8503" sId="3">
    <oc r="K5" t="inlineStr">
      <is>
        <t>1, 3, 2, 4, 9, 11, 25, 26, 29, 17, 15, 14, 16, 21, 23, 31, 32, 35</t>
      </is>
    </oc>
    <nc r="K5" t="inlineStr">
      <is>
        <t>1, 3, 4, 9, 11, 25, 26, 29, 17, 15, 14, 16, 21, 23, 31, 32, 35</t>
      </is>
    </nc>
  </rcc>
  <rcc rId="8504" sId="3" numFmtId="13">
    <oc r="K4">
      <v>0.51351351351351349</v>
    </oc>
    <nc r="K4">
      <v>0.54054054054054057</v>
    </nc>
  </rcc>
  <rcc rId="8505" sId="3" numFmtId="13">
    <oc r="K3">
      <v>0.51351351351351349</v>
    </oc>
    <nc r="K3">
      <v>0.54054054054054057</v>
    </nc>
  </rcc>
  <rcc rId="8506" sId="3">
    <oc r="L5" t="inlineStr">
      <is>
        <t>1, 3, 2, 4, 9, 11, 25, 26, 29, 17, 15, 14, 16, 21, 23, 31, 32, 35</t>
      </is>
    </oc>
    <nc r="L5" t="inlineStr">
      <is>
        <t>1, 3, 4, 9, 11, 25, 26, 29, 17, 15, 14, 16, 21, 23, 31, 32, 35</t>
      </is>
    </nc>
  </rcc>
  <rcc rId="8507" sId="3" numFmtId="13">
    <oc r="L4">
      <v>0.51351351351351349</v>
    </oc>
    <nc r="L4">
      <v>0.54054054054054057</v>
    </nc>
  </rcc>
  <rcc rId="8508" sId="3" numFmtId="13">
    <oc r="L3">
      <v>0.51351351351351349</v>
    </oc>
    <nc r="L3">
      <v>0.54054054054054057</v>
    </nc>
  </rcc>
  <rcc rId="8509" sId="3">
    <oc r="M5" t="inlineStr">
      <is>
        <t>1, 3, 2, 4, 9, 11, 25, 26, 29, 17, 15, 14, 16, 21, 23, 31, 32, 35</t>
      </is>
    </oc>
    <nc r="M5" t="inlineStr">
      <is>
        <t>1, 3, 4, 9, 11, 25, 26, 29, 17, 15, 14, 16, 21, 23, 31, 32, 35</t>
      </is>
    </nc>
  </rcc>
  <rcc rId="8510" sId="3" numFmtId="13">
    <oc r="M4">
      <v>0.51351351351351349</v>
    </oc>
    <nc r="M4">
      <v>0.54054054054054057</v>
    </nc>
  </rcc>
  <rcc rId="8511" sId="3" numFmtId="13">
    <oc r="M3">
      <v>0.51351351351351349</v>
    </oc>
    <nc r="M3">
      <v>0.54054054054054057</v>
    </nc>
  </rcc>
  <rcc rId="8512" sId="3">
    <oc r="N5" t="inlineStr">
      <is>
        <t>1, 3, 2, 4, 9, 11, 25, 26, 29, 17, 15, 14, 16, 21, 23, 31, 32, 35</t>
      </is>
    </oc>
    <nc r="N5" t="inlineStr">
      <is>
        <t>1, 3, 4, 9, 11, 25, 26, 29, 17, 15, 14, 16, 21, 23, 31, 32, 35</t>
      </is>
    </nc>
  </rcc>
  <rcc rId="8513" sId="3" numFmtId="13">
    <oc r="N4">
      <v>0.51351351351351349</v>
    </oc>
    <nc r="N4">
      <v>0.54054054054054057</v>
    </nc>
  </rcc>
  <rcc rId="8514" sId="3" numFmtId="13">
    <oc r="N3">
      <v>0.51351351351351349</v>
    </oc>
    <nc r="N3">
      <v>0.54054054054054057</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31" start="0" length="0">
    <dxf>
      <font>
        <color rgb="FF000000"/>
        <name val="Calibri"/>
        <scheme val="minor"/>
      </font>
      <border outline="0">
        <left style="thin">
          <color indexed="64"/>
        </left>
        <top style="thin">
          <color indexed="64"/>
        </top>
      </border>
    </dxf>
  </rfmt>
  <rfmt sheetId="3" sqref="B31" start="0" length="0">
    <dxf>
      <font>
        <sz val="9"/>
        <color indexed="8"/>
        <name val="Calibri"/>
        <scheme val="minor"/>
      </font>
      <fill>
        <patternFill>
          <bgColor rgb="FFCCFFCC"/>
        </patternFill>
      </fill>
    </dxf>
  </rfmt>
  <rfmt sheetId="3" sqref="C31" start="0" length="0">
    <dxf>
      <font>
        <sz val="9"/>
        <color indexed="8"/>
        <name val="Calibri"/>
        <scheme val="minor"/>
      </font>
      <fill>
        <patternFill>
          <bgColor rgb="FFCCFFCC"/>
        </patternFill>
      </fill>
    </dxf>
  </rfmt>
  <rfmt sheetId="3" sqref="D31" start="0" length="0">
    <dxf>
      <font>
        <sz val="9"/>
        <color indexed="8"/>
        <name val="Calibri"/>
        <scheme val="minor"/>
      </font>
      <fill>
        <patternFill>
          <bgColor rgb="FFCCFFCC"/>
        </patternFill>
      </fill>
    </dxf>
  </rfmt>
  <rfmt sheetId="3" sqref="E31" start="0" length="0">
    <dxf>
      <font>
        <sz val="9"/>
        <color indexed="8"/>
        <name val="Calibri"/>
        <scheme val="minor"/>
      </font>
      <fill>
        <patternFill>
          <bgColor rgb="FFCCFFCC"/>
        </patternFill>
      </fill>
    </dxf>
  </rfmt>
  <rfmt sheetId="3" s="1" sqref="F31" start="0" length="0">
    <dxf>
      <font>
        <sz val="10"/>
        <color indexed="8"/>
        <name val="Calibri"/>
        <scheme val="minor"/>
      </font>
      <fill>
        <patternFill>
          <bgColor rgb="FFCCFFCC"/>
        </patternFill>
      </fill>
      <alignment wrapText="1" readingOrder="0"/>
    </dxf>
  </rfmt>
  <rfmt sheetId="3" sqref="G31" start="0" length="0">
    <dxf>
      <fill>
        <patternFill>
          <bgColor rgb="FFCCFFCC"/>
        </patternFill>
      </fill>
    </dxf>
  </rfmt>
  <rfmt sheetId="3" sqref="H31" start="0" length="0">
    <dxf>
      <fill>
        <patternFill>
          <bgColor rgb="FFCCFFCC"/>
        </patternFill>
      </fill>
    </dxf>
  </rfmt>
  <rfmt sheetId="3" sqref="I31" start="0" length="0">
    <dxf>
      <fill>
        <patternFill>
          <bgColor rgb="FFCCFFCC"/>
        </patternFill>
      </fill>
    </dxf>
  </rfmt>
  <rfmt sheetId="3" sqref="J31" start="0" length="0">
    <dxf>
      <fill>
        <patternFill>
          <bgColor rgb="FFCCFFCC"/>
        </patternFill>
      </fill>
    </dxf>
  </rfmt>
  <rfmt sheetId="3" sqref="K31" start="0" length="0">
    <dxf>
      <fill>
        <patternFill>
          <bgColor rgb="FFCCFFCC"/>
        </patternFill>
      </fill>
    </dxf>
  </rfmt>
  <rfmt sheetId="3" sqref="L31" start="0" length="0">
    <dxf>
      <fill>
        <patternFill>
          <bgColor rgb="FFCCFFCC"/>
        </patternFill>
      </fill>
    </dxf>
  </rfmt>
  <rfmt sheetId="3" sqref="M31" start="0" length="0">
    <dxf>
      <fill>
        <patternFill>
          <bgColor rgb="FFCCFFCC"/>
        </patternFill>
      </fill>
    </dxf>
  </rfmt>
  <rfmt sheetId="3" sqref="N31" start="0" length="0">
    <dxf>
      <fill>
        <patternFill>
          <bgColor rgb="FFCCFFCC"/>
        </patternFill>
      </fill>
    </dxf>
  </rfmt>
  <rfmt sheetId="3" sqref="O31" start="0" length="0">
    <dxf>
      <font>
        <sz val="9"/>
        <color indexed="8"/>
        <name val="Calibri"/>
        <scheme val="minor"/>
      </font>
      <fill>
        <patternFill>
          <bgColor rgb="FFCCFFCC"/>
        </patternFill>
      </fill>
    </dxf>
  </rfmt>
  <rfmt sheetId="3" sqref="P31" start="0" length="0">
    <dxf>
      <font>
        <sz val="9"/>
        <color indexed="8"/>
        <name val="Calibri"/>
        <scheme val="minor"/>
      </font>
      <fill>
        <patternFill>
          <bgColor rgb="FFCCFFCC"/>
        </patternFill>
      </fill>
    </dxf>
  </rfmt>
  <rfmt sheetId="3" s="1" sqref="Q31" start="0" length="0">
    <dxf>
      <font>
        <sz val="10"/>
        <color indexed="8"/>
        <name val="Calibri"/>
        <scheme val="minor"/>
      </font>
      <fill>
        <patternFill>
          <bgColor rgb="FFCCFFCC"/>
        </patternFill>
      </fill>
      <alignment wrapText="1" readingOrder="0"/>
    </dxf>
  </rfmt>
  <rfmt sheetId="3" s="1" sqref="R31" start="0" length="0">
    <dxf>
      <font>
        <sz val="10"/>
        <color indexed="8"/>
        <name val="Calibri"/>
        <scheme val="minor"/>
      </font>
      <fill>
        <patternFill>
          <bgColor rgb="FFCCFFCC"/>
        </patternFill>
      </fill>
      <alignment wrapText="1" readingOrder="0"/>
    </dxf>
  </rfmt>
  <rcc rId="8515" sId="3" odxf="1" dxf="1">
    <nc r="S31">
      <v>2</v>
    </nc>
    <odxf>
      <font>
        <sz val="9"/>
        <color indexed="8"/>
        <name val="Calibri"/>
        <scheme val="none"/>
      </font>
      <fill>
        <patternFill>
          <bgColor theme="0"/>
        </patternFill>
      </fill>
    </odxf>
    <ndxf>
      <font>
        <sz val="9"/>
        <color indexed="8"/>
        <name val="Calibri"/>
        <scheme val="minor"/>
      </font>
      <fill>
        <patternFill>
          <bgColor rgb="FFCCFFCC"/>
        </patternFill>
      </fill>
    </ndxf>
  </rcc>
  <rcc rId="8516" sId="3" odxf="1" dxf="1">
    <nc r="T31">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31"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8517" sId="3" odxf="1" dxf="1">
    <nc r="V31"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518" sId="3" odxf="1" s="1" dxf="1">
    <nc r="W31" t="inlineStr">
      <is>
        <t>Pass</t>
      </is>
    </nc>
    <odxf>
      <font>
        <b val="0"/>
        <i val="0"/>
        <strike val="0"/>
        <condense val="0"/>
        <extend val="0"/>
        <outline val="0"/>
        <shadow val="0"/>
        <u val="none"/>
        <vertAlign val="baseline"/>
        <sz val="9"/>
        <color indexed="8"/>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ndxf>
  </rcc>
  <rcc rId="8519" sId="3" numFmtId="19">
    <nc r="A31">
      <v>41724</v>
    </nc>
  </rcc>
  <rcc rId="8520" sId="3">
    <nc r="B31">
      <v>14</v>
    </nc>
  </rcc>
  <rcc rId="8521" sId="3">
    <nc r="C31">
      <v>16</v>
    </nc>
  </rcc>
  <rfmt sheetId="3" sqref="G31" start="0" length="0">
    <dxf>
      <font>
        <sz val="9"/>
        <color indexed="8"/>
        <name val="Calibri"/>
        <scheme val="minor"/>
      </font>
    </dxf>
  </rfmt>
  <rfmt sheetId="3" sqref="H31" start="0" length="0">
    <dxf>
      <font>
        <sz val="9"/>
        <color indexed="8"/>
        <name val="Calibri"/>
        <scheme val="minor"/>
      </font>
    </dxf>
  </rfmt>
  <rcc rId="8522" sId="3">
    <nc r="G31">
      <v>1</v>
    </nc>
  </rcc>
  <rcc rId="8523" sId="3">
    <nc r="H31">
      <v>1</v>
    </nc>
  </rcc>
  <rcc rId="8524" sId="3" odxf="1" dxf="1">
    <nc r="I31">
      <v>1</v>
    </nc>
    <ndxf>
      <font>
        <sz val="9"/>
        <color indexed="8"/>
        <name val="Calibri"/>
        <scheme val="minor"/>
      </font>
    </ndxf>
  </rcc>
  <rcc rId="8525" sId="3">
    <nc r="E31">
      <v>33</v>
    </nc>
  </rcc>
  <rcc rId="8526" sId="3">
    <nc r="F31">
      <v>7</v>
    </nc>
  </rcc>
  <rcc rId="8527" sId="3">
    <nc r="D31">
      <v>46</v>
    </nc>
  </rcc>
  <rcc rId="8528" sId="3" odxf="1" dxf="1">
    <nc r="J31">
      <v>1</v>
    </nc>
    <ndxf>
      <font>
        <sz val="9"/>
        <color indexed="8"/>
        <name val="Calibri"/>
        <scheme val="minor"/>
      </font>
    </ndxf>
  </rcc>
  <rcc rId="8529" sId="3">
    <nc r="K31">
      <v>25</v>
    </nc>
  </rcc>
  <rcc rId="8530" sId="3">
    <nc r="L31">
      <v>25</v>
    </nc>
  </rcc>
  <rcc rId="8531" sId="3">
    <nc r="M31">
      <v>25</v>
    </nc>
  </rcc>
  <rcc rId="8532" sId="3">
    <nc r="N31">
      <v>25</v>
    </nc>
  </rcc>
  <rcc rId="8533" sId="3">
    <nc r="O31">
      <v>6</v>
    </nc>
  </rcc>
  <rcc rId="8534" sId="3">
    <nc r="P31">
      <v>0</v>
    </nc>
  </rcc>
  <rcc rId="8535" sId="3">
    <nc r="Q31">
      <v>0</v>
    </nc>
  </rcc>
  <rcc rId="8536" sId="3">
    <nc r="R31">
      <v>0</v>
    </nc>
  </rcc>
  <rcc rId="8537" sId="3">
    <nc r="U31">
      <v>6</v>
    </nc>
  </rcc>
  <rcc rId="8538" sId="3">
    <nc r="X31" t="inlineStr">
      <is>
        <t>All units have valid video and audio output.
AUD2 warnings on unit101,122, issue CSCuh61762.
VBI warnings only on unit.101(vbi_SendVANCMsg: Failed to claim queue buffer) 
VID warning only on unit.120  (Decoder reports H264_DECODER_ERROR_RECOVERED)
TXB_MGX1, TXB_TMG1 asserts on unit.104</t>
      </is>
    </nc>
  </rcc>
  <rcc rId="8539" sId="4" numFmtId="19">
    <oc r="I2">
      <v>41723</v>
    </oc>
    <nc r="I2">
      <v>41724</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cc rId="8540" sId="3">
    <oc r="D5" t="inlineStr">
      <is>
        <t>1, 19, 22, 25, 2, 20, 26, 3, 6, 9, 21, 13, 31, 34, 37, 15, 30, 40, 41, 42, 43, 44, 45, 46, 47, 48, 49</t>
      </is>
    </oc>
    <nc r="D5" t="inlineStr">
      <is>
        <t>1, 19, 22, 25, 2, 20, 26, 3, 6, 9, 21, 13, 31, 34, 37, 15, 30, 40, 41, 42, 43, 44, 45, 47, 48, 49</t>
      </is>
    </nc>
  </rcc>
  <rcc rId="8541" sId="3" numFmtId="13">
    <oc r="D4">
      <v>0.44897959183673469</v>
    </oc>
    <nc r="D4">
      <v>0.46938775510204084</v>
    </nc>
  </rcc>
  <rcc rId="8542" sId="3" numFmtId="13">
    <oc r="D3">
      <v>0.44897959183673469</v>
    </oc>
    <nc r="D3">
      <v>0.46938775510204084</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8543" sId="3">
    <oc r="G5" t="inlineStr">
      <is>
        <t>7, 1, 10, 12, 27, 28, 37, 30, 19, 18, 20, 22, 24, 33, 34, 36</t>
      </is>
    </oc>
    <nc r="G5" t="inlineStr">
      <is>
        <t>7, 10, 12, 27, 28, 37, 30, 19, 18, 20, 22, 24, 33, 34, 36</t>
      </is>
    </nc>
  </rcc>
  <rcc rId="8544" sId="3" numFmtId="13">
    <oc r="G4">
      <v>0.56756756756756754</v>
    </oc>
    <nc r="G4">
      <v>0.59459459459459463</v>
    </nc>
  </rcc>
  <rcc rId="8545" sId="3" numFmtId="13">
    <oc r="G3">
      <v>0.56756756756756754</v>
    </oc>
    <nc r="G3">
      <v>0.59459459459459463</v>
    </nc>
  </rcc>
  <rcc rId="8546" sId="3">
    <oc r="H5" t="inlineStr">
      <is>
        <t>7, 1, 10, 12, 27, 28, 37, 30, 19, 18, 20, 22, 24, 33, 34, 36</t>
      </is>
    </oc>
    <nc r="H5" t="inlineStr">
      <is>
        <t>7, 10, 12, 27, 28, 37, 30, 19, 18, 20, 22, 24, 33, 34, 36</t>
      </is>
    </nc>
  </rcc>
  <rcc rId="8547" sId="3" numFmtId="13">
    <oc r="H4">
      <v>0.56756756756756754</v>
    </oc>
    <nc r="H4">
      <v>0.59459459459459463</v>
    </nc>
  </rcc>
  <rcc rId="8548" sId="3" numFmtId="13">
    <oc r="H3">
      <v>0.56756756756756754</v>
    </oc>
    <nc r="H3">
      <v>0.59459459459459463</v>
    </nc>
  </rcc>
  <rcc rId="8549" sId="3">
    <oc r="I5" t="inlineStr">
      <is>
        <t>7, 1, 10, 12, 27, 28, 37, 30, 19, 18, 20, 22, 24, 33, 34, 36</t>
      </is>
    </oc>
    <nc r="I5" t="inlineStr">
      <is>
        <t>7, 10, 12, 27, 28, 37, 30, 19, 18, 20, 22, 24, 33, 34, 36</t>
      </is>
    </nc>
  </rcc>
  <rcc rId="8550" sId="3" numFmtId="13">
    <oc r="I4">
      <v>0.56756756756756754</v>
    </oc>
    <nc r="I4">
      <v>0.59459459459459463</v>
    </nc>
  </rcc>
  <rcc rId="8551" sId="3" numFmtId="13">
    <oc r="I3">
      <v>0.56756756756756754</v>
    </oc>
    <nc r="I3">
      <v>0.59459459459459463</v>
    </nc>
  </rcc>
  <rcc rId="8552" sId="3">
    <oc r="J5" t="inlineStr">
      <is>
        <t>7, 1, 10, 12, 27, 28, 37, 30, 19, 18, 20, 22, 24, 33, 34, 36</t>
      </is>
    </oc>
    <nc r="J5" t="inlineStr">
      <is>
        <t>7, 10, 12, 27, 28, 37, 30, 19, 18, 20, 22, 24, 33, 34, 36</t>
      </is>
    </nc>
  </rcc>
  <rcc rId="8553" sId="3" numFmtId="13">
    <oc r="J4">
      <v>0.56756756756756754</v>
    </oc>
    <nc r="J4">
      <v>0.59459459459459463</v>
    </nc>
  </rcc>
  <rcc rId="8554" sId="3" numFmtId="13">
    <oc r="J3">
      <v>0.56756756756756754</v>
    </oc>
    <nc r="J3">
      <v>0.59459459459459463</v>
    </nc>
  </rcc>
  <rcc rId="8555" sId="3">
    <oc r="K5" t="inlineStr">
      <is>
        <t>1, 3, 4, 9, 11, 25, 26, 29, 17, 15, 14, 16, 21, 23, 31, 32, 35</t>
      </is>
    </oc>
    <nc r="K5" t="inlineStr">
      <is>
        <t>1, 3, 4, 9, 11, 26, 29, 17, 15, 14, 16, 21, 23, 31, 32, 35</t>
      </is>
    </nc>
  </rcc>
  <rcc rId="8556" sId="3" numFmtId="13">
    <oc r="K4">
      <v>0.54054054054054057</v>
    </oc>
    <nc r="K4">
      <v>0.56756756756756754</v>
    </nc>
  </rcc>
  <rcc rId="8557" sId="3" numFmtId="13">
    <oc r="K3">
      <v>0.54054054054054057</v>
    </oc>
    <nc r="K3">
      <v>0.56756756756756754</v>
    </nc>
  </rcc>
  <rcc rId="8558" sId="3">
    <oc r="L5" t="inlineStr">
      <is>
        <t>1, 3, 4, 9, 11, 25, 26, 29, 17, 15, 14, 16, 21, 23, 31, 32, 35</t>
      </is>
    </oc>
    <nc r="L5" t="inlineStr">
      <is>
        <t>1, 3, 4, 9, 11, 26, 29, 17, 15, 14, 16, 21, 23, 31, 32, 35</t>
      </is>
    </nc>
  </rcc>
  <rcc rId="8559" sId="3" numFmtId="13">
    <oc r="L4">
      <v>0.54054054054054057</v>
    </oc>
    <nc r="L4">
      <v>0.56756756756756754</v>
    </nc>
  </rcc>
  <rcc rId="8560" sId="3" numFmtId="13">
    <oc r="L3">
      <v>0.54054054054054057</v>
    </oc>
    <nc r="L3">
      <v>0.56756756756756754</v>
    </nc>
  </rcc>
  <rcc rId="8561" sId="3">
    <oc r="M5" t="inlineStr">
      <is>
        <t>1, 3, 4, 9, 11, 25, 26, 29, 17, 15, 14, 16, 21, 23, 31, 32, 35</t>
      </is>
    </oc>
    <nc r="M5" t="inlineStr">
      <is>
        <t>1, 3, 4, 9, 11, 26, 29, 17, 15, 14, 16, 21, 23, 31, 32, 35</t>
      </is>
    </nc>
  </rcc>
  <rcc rId="8562" sId="3" numFmtId="13">
    <oc r="M4">
      <v>0.54054054054054057</v>
    </oc>
    <nc r="M4">
      <v>0.56756756756756754</v>
    </nc>
  </rcc>
  <rcc rId="8563" sId="3" numFmtId="13">
    <oc r="M3">
      <v>0.54054054054054057</v>
    </oc>
    <nc r="M3">
      <v>0.56756756756756754</v>
    </nc>
  </rcc>
  <rcc rId="8564" sId="3">
    <oc r="N5" t="inlineStr">
      <is>
        <t>1, 3, 4, 9, 11, 25, 26, 29, 17, 15, 14, 16, 21, 23, 31, 32, 35</t>
      </is>
    </oc>
    <nc r="N5" t="inlineStr">
      <is>
        <t>1, 3, 4, 9, 11, 26, 29, 17, 15, 14, 16, 21, 23, 31, 32, 35</t>
      </is>
    </nc>
  </rcc>
  <rcc rId="8565" sId="3" numFmtId="13">
    <oc r="N4">
      <v>0.54054054054054057</v>
    </oc>
    <nc r="N4">
      <v>0.56756756756756754</v>
    </nc>
  </rcc>
  <rcc rId="8566" sId="3" numFmtId="13">
    <oc r="N3">
      <v>0.54054054054054057</v>
    </oc>
    <nc r="N3">
      <v>0.56756756756756754</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32" start="0" length="0">
    <dxf>
      <font>
        <color rgb="FF000000"/>
        <name val="Calibri"/>
        <scheme val="minor"/>
      </font>
      <border outline="0">
        <left style="thin">
          <color indexed="64"/>
        </left>
        <top style="thin">
          <color indexed="64"/>
        </top>
      </border>
    </dxf>
  </rfmt>
  <rfmt sheetId="3" sqref="B32" start="0" length="0">
    <dxf>
      <font>
        <sz val="9"/>
        <color indexed="8"/>
        <name val="Calibri"/>
        <scheme val="minor"/>
      </font>
      <fill>
        <patternFill>
          <bgColor rgb="FFCCFFCC"/>
        </patternFill>
      </fill>
    </dxf>
  </rfmt>
  <rfmt sheetId="3" sqref="C32" start="0" length="0">
    <dxf>
      <font>
        <sz val="9"/>
        <color indexed="8"/>
        <name val="Calibri"/>
        <scheme val="minor"/>
      </font>
      <fill>
        <patternFill>
          <bgColor rgb="FFCCFFCC"/>
        </patternFill>
      </fill>
    </dxf>
  </rfmt>
  <rfmt sheetId="3" sqref="D32" start="0" length="0">
    <dxf>
      <font>
        <sz val="9"/>
        <color indexed="8"/>
        <name val="Calibri"/>
        <scheme val="minor"/>
      </font>
      <fill>
        <patternFill>
          <bgColor rgb="FFCCFFCC"/>
        </patternFill>
      </fill>
    </dxf>
  </rfmt>
  <rfmt sheetId="3" sqref="E32" start="0" length="0">
    <dxf>
      <font>
        <sz val="9"/>
        <color indexed="8"/>
        <name val="Calibri"/>
        <scheme val="minor"/>
      </font>
      <fill>
        <patternFill>
          <bgColor rgb="FFCCFFCC"/>
        </patternFill>
      </fill>
    </dxf>
  </rfmt>
  <rfmt sheetId="3" s="1" sqref="F32" start="0" length="0">
    <dxf>
      <font>
        <sz val="10"/>
        <color indexed="8"/>
        <name val="Calibri"/>
        <scheme val="minor"/>
      </font>
      <fill>
        <patternFill>
          <bgColor rgb="FFCCFFCC"/>
        </patternFill>
      </fill>
      <alignment wrapText="1" readingOrder="0"/>
    </dxf>
  </rfmt>
  <rfmt sheetId="3" sqref="G32" start="0" length="0">
    <dxf>
      <font>
        <sz val="9"/>
        <color indexed="8"/>
        <name val="Calibri"/>
        <scheme val="minor"/>
      </font>
      <fill>
        <patternFill>
          <bgColor rgb="FFCCFFCC"/>
        </patternFill>
      </fill>
    </dxf>
  </rfmt>
  <rfmt sheetId="3" sqref="H32" start="0" length="0">
    <dxf>
      <font>
        <sz val="9"/>
        <color indexed="8"/>
        <name val="Calibri"/>
        <scheme val="minor"/>
      </font>
      <fill>
        <patternFill>
          <bgColor rgb="FFCCFFCC"/>
        </patternFill>
      </fill>
    </dxf>
  </rfmt>
  <rfmt sheetId="3" sqref="I32" start="0" length="0">
    <dxf>
      <font>
        <sz val="9"/>
        <color indexed="8"/>
        <name val="Calibri"/>
        <scheme val="minor"/>
      </font>
      <fill>
        <patternFill>
          <bgColor rgb="FFCCFFCC"/>
        </patternFill>
      </fill>
    </dxf>
  </rfmt>
  <rfmt sheetId="3" sqref="J32" start="0" length="0">
    <dxf>
      <font>
        <sz val="9"/>
        <color indexed="8"/>
        <name val="Calibri"/>
        <scheme val="minor"/>
      </font>
      <fill>
        <patternFill>
          <bgColor rgb="FFCCFFCC"/>
        </patternFill>
      </fill>
    </dxf>
  </rfmt>
  <rfmt sheetId="3" sqref="K32" start="0" length="0">
    <dxf>
      <fill>
        <patternFill>
          <bgColor rgb="FFCCFFCC"/>
        </patternFill>
      </fill>
    </dxf>
  </rfmt>
  <rfmt sheetId="3" sqref="L32" start="0" length="0">
    <dxf>
      <fill>
        <patternFill>
          <bgColor rgb="FFCCFFCC"/>
        </patternFill>
      </fill>
    </dxf>
  </rfmt>
  <rfmt sheetId="3" sqref="M32" start="0" length="0">
    <dxf>
      <fill>
        <patternFill>
          <bgColor rgb="FFCCFFCC"/>
        </patternFill>
      </fill>
    </dxf>
  </rfmt>
  <rfmt sheetId="3" sqref="N32" start="0" length="0">
    <dxf>
      <fill>
        <patternFill>
          <bgColor rgb="FFCCFFCC"/>
        </patternFill>
      </fill>
    </dxf>
  </rfmt>
  <rfmt sheetId="3" sqref="O32" start="0" length="0">
    <dxf>
      <font>
        <sz val="9"/>
        <color indexed="8"/>
        <name val="Calibri"/>
        <scheme val="minor"/>
      </font>
      <fill>
        <patternFill>
          <bgColor rgb="FFCCFFCC"/>
        </patternFill>
      </fill>
    </dxf>
  </rfmt>
  <rfmt sheetId="3" sqref="P32" start="0" length="0">
    <dxf>
      <font>
        <sz val="9"/>
        <color indexed="8"/>
        <name val="Calibri"/>
        <scheme val="minor"/>
      </font>
      <fill>
        <patternFill>
          <bgColor rgb="FFCCFFCC"/>
        </patternFill>
      </fill>
    </dxf>
  </rfmt>
  <rfmt sheetId="3" s="1" sqref="Q32" start="0" length="0">
    <dxf>
      <font>
        <sz val="10"/>
        <color indexed="8"/>
        <name val="Calibri"/>
        <scheme val="minor"/>
      </font>
      <fill>
        <patternFill>
          <bgColor rgb="FFCCFFCC"/>
        </patternFill>
      </fill>
      <alignment wrapText="1" readingOrder="0"/>
    </dxf>
  </rfmt>
  <rfmt sheetId="3" s="1" sqref="R32" start="0" length="0">
    <dxf>
      <font>
        <sz val="10"/>
        <color indexed="8"/>
        <name val="Calibri"/>
        <scheme val="minor"/>
      </font>
      <fill>
        <patternFill>
          <bgColor rgb="FFCCFFCC"/>
        </patternFill>
      </fill>
      <alignment wrapText="1" readingOrder="0"/>
    </dxf>
  </rfmt>
  <rfmt sheetId="3" sqref="S32" start="0" length="0">
    <dxf>
      <font>
        <sz val="9"/>
        <color indexed="8"/>
        <name val="Calibri"/>
        <scheme val="minor"/>
      </font>
      <fill>
        <patternFill>
          <bgColor rgb="FFCCFFCC"/>
        </patternFill>
      </fill>
    </dxf>
  </rfmt>
  <rcc rId="8567" sId="3" odxf="1" dxf="1">
    <nc r="T32">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32"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8568" sId="3" odxf="1" dxf="1">
    <nc r="V32"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569" sId="3" odxf="1" dxf="1">
    <nc r="W32"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570" sId="3" numFmtId="19">
    <nc r="A32">
      <v>41725</v>
    </nc>
  </rcc>
  <rcc rId="8571" sId="3">
    <nc r="B32">
      <v>13</v>
    </nc>
  </rcc>
  <rcc rId="8572" sId="3">
    <nc r="C32">
      <v>17</v>
    </nc>
  </rcc>
  <rcc rId="8573" sId="3">
    <nc r="D32">
      <v>47</v>
    </nc>
  </rcc>
  <rcc rId="8574" sId="3">
    <nc r="E32">
      <v>34</v>
    </nc>
  </rcc>
  <rcc rId="8575" sId="3">
    <nc r="F32">
      <v>11</v>
    </nc>
  </rcc>
  <rcc rId="8576" sId="3">
    <nc r="G32">
      <v>2</v>
    </nc>
  </rcc>
  <rcc rId="8577" sId="3">
    <nc r="H32">
      <v>2</v>
    </nc>
  </rcc>
  <rcc rId="8578" sId="3">
    <nc r="I32">
      <v>2</v>
    </nc>
  </rcc>
  <rcc rId="8579" sId="3">
    <nc r="J32">
      <v>2</v>
    </nc>
  </rcc>
  <rcc rId="8580" sId="3">
    <nc r="K32">
      <v>6</v>
    </nc>
  </rcc>
  <rcc rId="8581" sId="3">
    <nc r="L32">
      <v>6</v>
    </nc>
  </rcc>
  <rcc rId="8582" sId="3">
    <nc r="M32">
      <v>6</v>
    </nc>
  </rcc>
  <rcc rId="8583" sId="3">
    <nc r="N32">
      <v>6</v>
    </nc>
  </rcc>
  <rcc rId="8584" sId="3">
    <nc r="O32">
      <v>7</v>
    </nc>
  </rcc>
  <rcc rId="8585" sId="3">
    <nc r="P32">
      <v>7</v>
    </nc>
  </rcc>
  <rcc rId="8586" sId="3">
    <nc r="Q32">
      <v>1</v>
    </nc>
  </rcc>
  <rcc rId="8587" sId="3">
    <nc r="R32">
      <v>6</v>
    </nc>
  </rcc>
  <rcc rId="8588" sId="3">
    <nc r="S32">
      <v>1</v>
    </nc>
  </rcc>
  <rcc rId="8589" sId="3">
    <nc r="U32">
      <v>6</v>
    </nc>
  </rcc>
  <rcc rId="8590" sId="3">
    <nc r="X32" t="inlineStr">
      <is>
        <t>All units have valid video and audio output.
AUD2 warnings on all units,issue CSCuh61762.
MPE warnings on all units, refer to CSCzr06824,system issue.
VBI warnings on all unit due to known uplink setup issue
TX buffer overflow on PID 301 co-timed with video hits on unit .133 due to high video bit rate @ 25Mbps.</t>
      </is>
    </nc>
  </rcc>
  <rcc rId="8591" sId="3">
    <oc r="R5">
      <v>6</v>
    </oc>
    <nc r="R5"/>
  </rcc>
  <rcc rId="8592" sId="4" numFmtId="19">
    <oc r="I2">
      <v>41724</v>
    </oc>
    <nc r="I2">
      <v>41725</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cc rId="8593" sId="3">
    <oc r="D5" t="inlineStr">
      <is>
        <t>1, 19, 22, 25, 2, 20, 26, 3, 6, 9, 21, 13, 31, 34, 37, 15, 30, 40, 41, 42, 43, 44, 45, 47, 48, 49</t>
      </is>
    </oc>
    <nc r="D5" t="inlineStr">
      <is>
        <t>1, 19, 22, 25, 2, 20, 26, 3, 6, 9, 21, 13, 31, 34, 37, 15, 30, 40, 41, 42, 43, 44, 45, 48, 49</t>
      </is>
    </nc>
  </rcc>
  <rcc rId="8594" sId="3" numFmtId="13">
    <oc r="D4">
      <v>0.46938775510204084</v>
    </oc>
    <nc r="D4">
      <v>0.48979591836734693</v>
    </nc>
  </rcc>
  <rcc rId="8595" sId="3" numFmtId="13">
    <oc r="D3">
      <v>0.46938775510204084</v>
    </oc>
    <nc r="D3">
      <v>0.48979591836734693</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cc rId="8596" sId="3" numFmtId="13">
    <oc r="R4">
      <v>0.875</v>
    </oc>
    <nc r="R4">
      <v>1</v>
    </nc>
  </rcc>
  <rcc rId="8597" sId="3" numFmtId="13">
    <oc r="R3">
      <v>0.875</v>
    </oc>
    <nc r="R3">
      <v>1</v>
    </nc>
  </rcc>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33" start="0" length="0">
    <dxf>
      <font>
        <color rgb="FF000000"/>
        <name val="Calibri"/>
        <scheme val="minor"/>
      </font>
      <border outline="0">
        <left style="thin">
          <color indexed="64"/>
        </left>
        <top style="thin">
          <color indexed="64"/>
        </top>
      </border>
    </dxf>
  </rfmt>
  <rcc rId="8598" sId="3" odxf="1" dxf="1">
    <nc r="B33">
      <v>13</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C33" start="0" length="0">
    <dxf>
      <font>
        <sz val="9"/>
        <color indexed="8"/>
        <name val="Calibri"/>
        <scheme val="minor"/>
      </font>
      <fill>
        <patternFill>
          <bgColor rgb="FFCCFFCC"/>
        </patternFill>
      </fill>
    </dxf>
  </rfmt>
  <rfmt sheetId="3" sqref="D33" start="0" length="0">
    <dxf>
      <font>
        <sz val="9"/>
        <color indexed="8"/>
        <name val="Calibri"/>
        <scheme val="minor"/>
      </font>
      <fill>
        <patternFill>
          <bgColor rgb="FFCCFFCC"/>
        </patternFill>
      </fill>
    </dxf>
  </rfmt>
  <rfmt sheetId="3" sqref="E33" start="0" length="0">
    <dxf>
      <font>
        <sz val="9"/>
        <color indexed="8"/>
        <name val="Calibri"/>
        <scheme val="minor"/>
      </font>
      <fill>
        <patternFill>
          <bgColor rgb="FFCCFFCC"/>
        </patternFill>
      </fill>
    </dxf>
  </rfmt>
  <rfmt sheetId="3" s="1" sqref="F33" start="0" length="0">
    <dxf>
      <font>
        <sz val="10"/>
        <color indexed="8"/>
        <name val="Calibri"/>
        <scheme val="minor"/>
      </font>
      <fill>
        <patternFill>
          <bgColor rgb="FFCCFFCC"/>
        </patternFill>
      </fill>
      <alignment wrapText="1" readingOrder="0"/>
    </dxf>
  </rfmt>
  <rfmt sheetId="3" sqref="G33" start="0" length="0">
    <dxf>
      <font>
        <sz val="9"/>
        <color indexed="8"/>
        <name val="Calibri"/>
        <scheme val="minor"/>
      </font>
      <fill>
        <patternFill>
          <bgColor rgb="FFCCFFCC"/>
        </patternFill>
      </fill>
    </dxf>
  </rfmt>
  <rfmt sheetId="3" sqref="H33" start="0" length="0">
    <dxf>
      <font>
        <sz val="9"/>
        <color indexed="8"/>
        <name val="Calibri"/>
        <scheme val="minor"/>
      </font>
      <fill>
        <patternFill>
          <bgColor rgb="FFCCFFCC"/>
        </patternFill>
      </fill>
    </dxf>
  </rfmt>
  <rfmt sheetId="3" sqref="I33" start="0" length="0">
    <dxf>
      <font>
        <sz val="9"/>
        <color indexed="8"/>
        <name val="Calibri"/>
        <scheme val="minor"/>
      </font>
      <fill>
        <patternFill>
          <bgColor rgb="FFCCFFCC"/>
        </patternFill>
      </fill>
    </dxf>
  </rfmt>
  <rfmt sheetId="3" sqref="J33" start="0" length="0">
    <dxf>
      <font>
        <sz val="9"/>
        <color indexed="8"/>
        <name val="Calibri"/>
        <scheme val="minor"/>
      </font>
      <fill>
        <patternFill>
          <bgColor rgb="FFCCFFCC"/>
        </patternFill>
      </fill>
    </dxf>
  </rfmt>
  <rfmt sheetId="3" sqref="K33" start="0" length="0">
    <dxf>
      <fill>
        <patternFill>
          <bgColor rgb="FFCCFFCC"/>
        </patternFill>
      </fill>
    </dxf>
  </rfmt>
  <rfmt sheetId="3" sqref="L33" start="0" length="0">
    <dxf>
      <fill>
        <patternFill>
          <bgColor rgb="FFCCFFCC"/>
        </patternFill>
      </fill>
    </dxf>
  </rfmt>
  <rfmt sheetId="3" sqref="M33" start="0" length="0">
    <dxf>
      <fill>
        <patternFill>
          <bgColor rgb="FFCCFFCC"/>
        </patternFill>
      </fill>
    </dxf>
  </rfmt>
  <rfmt sheetId="3" sqref="N33" start="0" length="0">
    <dxf>
      <fill>
        <patternFill>
          <bgColor rgb="FFCCFFCC"/>
        </patternFill>
      </fill>
    </dxf>
  </rfmt>
  <rfmt sheetId="3" sqref="O33" start="0" length="0">
    <dxf>
      <font>
        <sz val="9"/>
        <color indexed="8"/>
        <name val="Calibri"/>
        <scheme val="minor"/>
      </font>
      <fill>
        <patternFill>
          <bgColor rgb="FFCCFFCC"/>
        </patternFill>
      </fill>
    </dxf>
  </rfmt>
  <rfmt sheetId="3" sqref="P33" start="0" length="0">
    <dxf>
      <font>
        <sz val="9"/>
        <color indexed="8"/>
        <name val="Calibri"/>
        <scheme val="minor"/>
      </font>
      <fill>
        <patternFill>
          <bgColor rgb="FFCCFFCC"/>
        </patternFill>
      </fill>
    </dxf>
  </rfmt>
  <rfmt sheetId="3" s="1" sqref="Q33" start="0" length="0">
    <dxf>
      <font>
        <sz val="10"/>
        <color indexed="8"/>
        <name val="Calibri"/>
        <scheme val="minor"/>
      </font>
      <fill>
        <patternFill>
          <bgColor rgb="FFCCFFCC"/>
        </patternFill>
      </fill>
      <alignment wrapText="1" readingOrder="0"/>
    </dxf>
  </rfmt>
  <rfmt sheetId="3" s="1" sqref="R33" start="0" length="0">
    <dxf>
      <font>
        <sz val="10"/>
        <color indexed="8"/>
        <name val="Calibri"/>
        <scheme val="minor"/>
      </font>
      <fill>
        <patternFill>
          <bgColor rgb="FFCCFFCC"/>
        </patternFill>
      </fill>
      <alignment wrapText="1" readingOrder="0"/>
    </dxf>
  </rfmt>
  <rfmt sheetId="3" sqref="S33" start="0" length="0">
    <dxf>
      <font>
        <sz val="9"/>
        <color indexed="8"/>
        <name val="Calibri"/>
        <scheme val="minor"/>
      </font>
      <fill>
        <patternFill>
          <bgColor rgb="FFCCFFCC"/>
        </patternFill>
      </fill>
    </dxf>
  </rfmt>
  <rfmt sheetId="3" sqref="T33" start="0" length="0">
    <dxf>
      <font>
        <sz val="9"/>
        <color indexed="8"/>
        <name val="Calibri"/>
        <scheme val="minor"/>
      </font>
      <fill>
        <patternFill>
          <bgColor rgb="FFCCFFCC"/>
        </patternFill>
      </fill>
    </dxf>
  </rfmt>
  <rfmt sheetId="3" sqref="U33"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8599" sId="3" odxf="1" dxf="1">
    <nc r="V33"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600" sId="3" odxf="1" dxf="1">
    <nc r="W33"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601" sId="3" numFmtId="19">
    <nc r="A33">
      <v>41726</v>
    </nc>
  </rcc>
  <rcc rId="8602" sId="3">
    <nc r="C33">
      <v>18</v>
    </nc>
  </rcc>
  <rcc rId="8603" sId="3">
    <nc r="D33">
      <v>34</v>
    </nc>
  </rcc>
  <rcc rId="8604" sId="3">
    <nc r="E33">
      <v>50</v>
    </nc>
  </rcc>
  <rcc rId="8605" sId="3">
    <nc r="F33">
      <v>10</v>
    </nc>
  </rcc>
  <rcc rId="8606" sId="3">
    <nc r="G33">
      <v>3</v>
    </nc>
  </rcc>
  <rcc rId="8607" sId="3">
    <nc r="H33">
      <v>3</v>
    </nc>
  </rcc>
  <rcc rId="8608" sId="3">
    <nc r="I33">
      <v>3</v>
    </nc>
  </rcc>
  <rcc rId="8609" sId="3">
    <nc r="J33">
      <v>3</v>
    </nc>
  </rcc>
  <rcc rId="8610" sId="3">
    <nc r="K33">
      <v>26</v>
    </nc>
  </rcc>
  <rcc rId="8611" sId="3">
    <nc r="L33">
      <v>26</v>
    </nc>
  </rcc>
  <rcc rId="8612" sId="3">
    <nc r="M33">
      <v>26</v>
    </nc>
  </rcc>
  <rcc rId="8613" sId="3">
    <nc r="N33">
      <v>26</v>
    </nc>
  </rcc>
  <rcc rId="8614" sId="3">
    <nc r="O33">
      <v>8</v>
    </nc>
  </rcc>
  <rcc rId="8615" sId="3">
    <nc r="P33">
      <v>0</v>
    </nc>
  </rcc>
  <rcc rId="8616" sId="3">
    <nc r="Q33">
      <v>4</v>
    </nc>
  </rcc>
  <rcc rId="8617" sId="3">
    <nc r="R33">
      <v>11</v>
    </nc>
  </rcc>
  <rcc rId="8618" sId="3">
    <nc r="S33">
      <v>2</v>
    </nc>
  </rcc>
  <rcc rId="8619" sId="3">
    <nc r="T33">
      <v>1</v>
    </nc>
  </rcc>
  <rcc rId="8620" sId="3">
    <nc r="U33">
      <v>5</v>
    </nc>
  </rcc>
  <rcc rId="8621" sId="3">
    <nc r="X33" t="inlineStr">
      <is>
        <t>All units have valid video and audio output.
TAP TXB_MGX1 TXB_TMG1 asserts on unit.104
TXB_ECC1 TXB_TMG1 warnings on unit.124
AUD2 warnings on several units, known issue CSCuh25081.
MPE warnings on all units, refer to CSCzr06824,system issue
VID warnings and DPRM asserts on control unit</t>
      </is>
    </nc>
  </rcc>
  <rcc rId="8622" sId="4" numFmtId="19">
    <oc r="I2">
      <v>41725</v>
    </oc>
    <nc r="I2">
      <v>41726</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cc rId="8623" sId="3">
    <oc r="D5" t="inlineStr">
      <is>
        <t>1, 19, 22, 25, 2, 20, 26, 3, 6, 9, 21, 13, 31, 34, 37, 15, 30, 40, 41, 42, 43, 44, 45, 48, 49</t>
      </is>
    </oc>
    <nc r="D5" t="inlineStr">
      <is>
        <t>1, 19, 22, 25, 2, 20, 26, 3, 6, 9, 21, 13, 31, 37, 15, 30, 40, 41, 42, 43, 44, 45, 48, 49</t>
      </is>
    </nc>
  </rcc>
  <rcc rId="8624" sId="3" numFmtId="13">
    <oc r="D4">
      <v>0.48979591836734693</v>
    </oc>
    <nc r="D4">
      <v>0.51020408163265307</v>
    </nc>
  </rcc>
  <rcc rId="8625" sId="3" numFmtId="13">
    <oc r="D3">
      <v>0.48979591836734693</v>
    </oc>
    <nc r="D3">
      <v>0.51020408163265307</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cc rId="8626" sId="3">
    <oc r="E5" t="inlineStr">
      <is>
        <t>1, 3, 5, 2, 4, 6, 7, 9, 11, 8, 10, 12, 16, 13, 14, 19, 21, 22, 26, 35, 36, 37, 40, 41, 42, 45, 46, 47, 49, 50, 53</t>
      </is>
    </oc>
    <nc r="E5" t="inlineStr">
      <is>
        <t>1, 3, 5, 2, 4, 6, 7, 9, 11, 8, 10, 12, 16, 13, 14, 19, 21, 22, 26, 35, 36, 37, 40, 41, 42, 45, 46, 47, 49, 53</t>
      </is>
    </nc>
  </rcc>
  <rfmt sheetId="4" sqref="J33" start="0" length="0">
    <dxf>
      <fill>
        <patternFill>
          <bgColor rgb="FFCCFFCC"/>
        </patternFill>
      </fill>
    </dxf>
  </rfmt>
  <rcc rId="8627" sId="3" numFmtId="13">
    <oc r="E4">
      <v>0.41509433962264153</v>
    </oc>
    <nc r="E4">
      <v>0.43396226415094341</v>
    </nc>
  </rcc>
  <rcc rId="8628" sId="3" numFmtId="13">
    <oc r="E3">
      <v>0.41509433962264153</v>
    </oc>
    <nc r="E3">
      <v>0.43396226415094341</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8629" sId="3">
    <oc r="K5" t="inlineStr">
      <is>
        <t>1, 3, 4, 9, 11, 26, 29, 17, 15, 14, 16, 21, 23, 31, 32, 35</t>
      </is>
    </oc>
    <nc r="K5" t="inlineStr">
      <is>
        <t>1, 3, 4, 9, 11, 29, 17, 15, 14, 16, 21, 23, 31, 32, 35</t>
      </is>
    </nc>
  </rcc>
  <rcc rId="8630" sId="3" numFmtId="13">
    <oc r="K4">
      <v>0.56756756756756754</v>
    </oc>
    <nc r="K4">
      <v>0.59459459459459463</v>
    </nc>
  </rcc>
  <rcc rId="8631" sId="3" numFmtId="13">
    <oc r="K3">
      <v>0.56756756756756754</v>
    </oc>
    <nc r="K3">
      <v>0.59459459459459463</v>
    </nc>
  </rcc>
  <rcc rId="8632" sId="3">
    <oc r="L5" t="inlineStr">
      <is>
        <t>1, 3, 4, 9, 11, 26, 29, 17, 15, 14, 16, 21, 23, 31, 32, 35</t>
      </is>
    </oc>
    <nc r="L5" t="inlineStr">
      <is>
        <t>1, 3, 4, 9, 11, 29, 17, 15, 14, 16, 21, 23, 31, 32, 35</t>
      </is>
    </nc>
  </rcc>
  <rcc rId="8633" sId="3" numFmtId="13">
    <oc r="L4">
      <v>0.56756756756756754</v>
    </oc>
    <nc r="L4">
      <v>0.59459459459459463</v>
    </nc>
  </rcc>
  <rcc rId="8634" sId="3" numFmtId="13">
    <oc r="L3">
      <v>0.56756756756756754</v>
    </oc>
    <nc r="L3">
      <v>0.59459459459459463</v>
    </nc>
  </rcc>
  <rcc rId="8635" sId="3">
    <oc r="M5" t="inlineStr">
      <is>
        <t>1, 3, 4, 9, 11, 26, 29, 17, 15, 14, 16, 21, 23, 31, 32, 35</t>
      </is>
    </oc>
    <nc r="M5" t="inlineStr">
      <is>
        <t>1, 3, 4, 9, 11, 29, 17, 15, 14, 16, 21, 23, 31, 32, 35</t>
      </is>
    </nc>
  </rcc>
  <rcc rId="8636" sId="3" numFmtId="13">
    <oc r="M4">
      <v>0.56756756756756754</v>
    </oc>
    <nc r="M4">
      <v>0.59459459459459463</v>
    </nc>
  </rcc>
  <rcc rId="8637" sId="3" numFmtId="13">
    <oc r="M3">
      <v>0.56756756756756754</v>
    </oc>
    <nc r="M3">
      <v>0.59459459459459463</v>
    </nc>
  </rcc>
  <rcc rId="8638" sId="3">
    <oc r="N5" t="inlineStr">
      <is>
        <t>1, 3, 4, 9, 11, 26, 29, 17, 15, 14, 16, 21, 23, 31, 32, 35</t>
      </is>
    </oc>
    <nc r="N5" t="inlineStr">
      <is>
        <t>1, 3, 4, 9, 11, 29, 17, 15, 14, 16, 21, 23, 31, 32, 35</t>
      </is>
    </nc>
  </rcc>
  <rcc rId="8639" sId="3" numFmtId="13">
    <oc r="N4">
      <v>0.56756756756756754</v>
    </oc>
    <nc r="N4">
      <v>0.59459459459459463</v>
    </nc>
  </rcc>
  <rcc rId="8640" sId="3" numFmtId="13">
    <oc r="N3">
      <v>0.56756756756756754</v>
    </oc>
    <nc r="N3">
      <v>0.59459459459459463</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34" start="0" length="0">
    <dxf>
      <font>
        <color rgb="FF000000"/>
        <name val="Calibri"/>
        <scheme val="minor"/>
      </font>
      <border outline="0">
        <left style="thin">
          <color indexed="64"/>
        </left>
        <top style="thin">
          <color indexed="64"/>
        </top>
      </border>
    </dxf>
  </rfmt>
  <rfmt sheetId="3" sqref="B34" start="0" length="0">
    <dxf>
      <font>
        <sz val="9"/>
        <color indexed="8"/>
        <name val="Calibri"/>
        <scheme val="minor"/>
      </font>
      <fill>
        <patternFill>
          <bgColor rgb="FFCCFFCC"/>
        </patternFill>
      </fill>
    </dxf>
  </rfmt>
  <rfmt sheetId="3" sqref="C34" start="0" length="0">
    <dxf>
      <font>
        <sz val="9"/>
        <color indexed="8"/>
        <name val="Calibri"/>
        <scheme val="minor"/>
      </font>
      <fill>
        <patternFill>
          <bgColor rgb="FFCCFFCC"/>
        </patternFill>
      </fill>
    </dxf>
  </rfmt>
  <rfmt sheetId="3" sqref="D34" start="0" length="0">
    <dxf>
      <font>
        <sz val="9"/>
        <color indexed="8"/>
        <name val="Calibri"/>
        <scheme val="minor"/>
      </font>
      <fill>
        <patternFill>
          <bgColor rgb="FFCCFFCC"/>
        </patternFill>
      </fill>
    </dxf>
  </rfmt>
  <rfmt sheetId="3" sqref="E34" start="0" length="0">
    <dxf>
      <font>
        <sz val="9"/>
        <color indexed="8"/>
        <name val="Calibri"/>
        <scheme val="minor"/>
      </font>
      <fill>
        <patternFill>
          <bgColor rgb="FFCCFFCC"/>
        </patternFill>
      </fill>
    </dxf>
  </rfmt>
  <rfmt sheetId="3" s="1" sqref="F34" start="0" length="0">
    <dxf>
      <font>
        <sz val="10"/>
        <color indexed="8"/>
        <name val="Calibri"/>
        <scheme val="minor"/>
      </font>
      <fill>
        <patternFill>
          <bgColor rgb="FFCCFFCC"/>
        </patternFill>
      </fill>
      <alignment wrapText="1" readingOrder="0"/>
    </dxf>
  </rfmt>
  <rfmt sheetId="3" sqref="G34" start="0" length="0">
    <dxf>
      <font>
        <sz val="9"/>
        <color indexed="8"/>
        <name val="Calibri"/>
        <scheme val="minor"/>
      </font>
      <fill>
        <patternFill>
          <bgColor rgb="FFCCFFCC"/>
        </patternFill>
      </fill>
    </dxf>
  </rfmt>
  <rfmt sheetId="3" sqref="H34" start="0" length="0">
    <dxf>
      <font>
        <sz val="9"/>
        <color indexed="8"/>
        <name val="Calibri"/>
        <scheme val="minor"/>
      </font>
      <fill>
        <patternFill>
          <bgColor rgb="FFCCFFCC"/>
        </patternFill>
      </fill>
    </dxf>
  </rfmt>
  <rfmt sheetId="3" sqref="I34" start="0" length="0">
    <dxf>
      <font>
        <sz val="9"/>
        <color indexed="8"/>
        <name val="Calibri"/>
        <scheme val="minor"/>
      </font>
      <fill>
        <patternFill>
          <bgColor rgb="FFCCFFCC"/>
        </patternFill>
      </fill>
    </dxf>
  </rfmt>
  <rfmt sheetId="3" sqref="J34" start="0" length="0">
    <dxf>
      <font>
        <sz val="9"/>
        <color indexed="8"/>
        <name val="Calibri"/>
        <scheme val="minor"/>
      </font>
      <fill>
        <patternFill>
          <bgColor rgb="FFCCFFCC"/>
        </patternFill>
      </fill>
    </dxf>
  </rfmt>
  <rfmt sheetId="3" sqref="K34" start="0" length="0">
    <dxf>
      <fill>
        <patternFill>
          <bgColor rgb="FFCCFFCC"/>
        </patternFill>
      </fill>
    </dxf>
  </rfmt>
  <rfmt sheetId="3" sqref="L34" start="0" length="0">
    <dxf>
      <fill>
        <patternFill>
          <bgColor rgb="FFCCFFCC"/>
        </patternFill>
      </fill>
    </dxf>
  </rfmt>
  <rfmt sheetId="3" sqref="M34" start="0" length="0">
    <dxf>
      <fill>
        <patternFill>
          <bgColor rgb="FFCCFFCC"/>
        </patternFill>
      </fill>
    </dxf>
  </rfmt>
  <rfmt sheetId="3" sqref="N34" start="0" length="0">
    <dxf>
      <fill>
        <patternFill>
          <bgColor rgb="FFCCFFCC"/>
        </patternFill>
      </fill>
    </dxf>
  </rfmt>
  <rfmt sheetId="3" sqref="O34" start="0" length="0">
    <dxf>
      <font>
        <sz val="9"/>
        <color indexed="8"/>
        <name val="Calibri"/>
        <scheme val="minor"/>
      </font>
      <fill>
        <patternFill>
          <bgColor rgb="FFCCFFCC"/>
        </patternFill>
      </fill>
    </dxf>
  </rfmt>
  <rfmt sheetId="3" sqref="P34" start="0" length="0">
    <dxf>
      <font>
        <sz val="9"/>
        <color indexed="8"/>
        <name val="Calibri"/>
        <scheme val="minor"/>
      </font>
      <fill>
        <patternFill>
          <bgColor rgb="FFCCFFCC"/>
        </patternFill>
      </fill>
    </dxf>
  </rfmt>
  <rfmt sheetId="3" sqref="Q34" start="0" length="0">
    <dxf>
      <font>
        <sz val="9"/>
        <color indexed="8"/>
        <name val="Calibri"/>
        <scheme val="minor"/>
      </font>
      <fill>
        <patternFill>
          <bgColor rgb="FFCCFFCC"/>
        </patternFill>
      </fill>
    </dxf>
  </rfmt>
  <rfmt sheetId="3" sqref="R34" start="0" length="0">
    <dxf>
      <font>
        <sz val="9"/>
        <color indexed="8"/>
        <name val="Calibri"/>
        <scheme val="minor"/>
      </font>
      <fill>
        <patternFill>
          <bgColor rgb="FFCCFFCC"/>
        </patternFill>
      </fill>
    </dxf>
  </rfmt>
  <rfmt sheetId="3" sqref="S34" start="0" length="0">
    <dxf>
      <font>
        <sz val="9"/>
        <color indexed="8"/>
        <name val="Calibri"/>
        <scheme val="minor"/>
      </font>
      <fill>
        <patternFill>
          <bgColor rgb="FFCCFFCC"/>
        </patternFill>
      </fill>
    </dxf>
  </rfmt>
  <rfmt sheetId="3" sqref="T34" start="0" length="0">
    <dxf>
      <font>
        <sz val="9"/>
        <color indexed="8"/>
        <name val="Calibri"/>
        <scheme val="minor"/>
      </font>
      <fill>
        <patternFill>
          <bgColor rgb="FFCCFFCC"/>
        </patternFill>
      </fill>
    </dxf>
  </rfmt>
  <rfmt sheetId="3" sqref="U34"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8641" sId="3" odxf="1" dxf="1">
    <nc r="V34"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642" sId="3" odxf="1" dxf="1">
    <nc r="W34"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643" sId="3" numFmtId="19">
    <nc r="A34">
      <v>41729</v>
    </nc>
  </rcc>
  <rcc rId="8644" sId="3">
    <nc r="B34">
      <v>13</v>
    </nc>
  </rcc>
  <rcc rId="8645" sId="3">
    <nc r="C34">
      <v>3</v>
    </nc>
  </rcc>
  <rcc rId="8646" sId="3">
    <nc r="D34">
      <v>29</v>
    </nc>
  </rcc>
  <rcc rId="8647" sId="3">
    <nc r="E34">
      <v>30</v>
    </nc>
  </rcc>
  <rcc rId="8648" sId="3">
    <nc r="F34">
      <v>6</v>
    </nc>
  </rcc>
  <rcc rId="8649" sId="3">
    <nc r="G34">
      <v>25</v>
    </nc>
  </rcc>
  <rcc rId="8650" sId="3">
    <nc r="H34">
      <v>25</v>
    </nc>
  </rcc>
  <rcc rId="8651" sId="3">
    <nc r="I34">
      <v>25</v>
    </nc>
  </rcc>
  <rcc rId="8652" sId="3">
    <nc r="J34">
      <v>25</v>
    </nc>
  </rcc>
  <rcc rId="8653" sId="3">
    <nc r="K34">
      <v>27</v>
    </nc>
  </rcc>
  <rcc rId="8654" sId="3">
    <nc r="L34">
      <v>27</v>
    </nc>
  </rcc>
  <rcc rId="8655" sId="3">
    <nc r="M34">
      <v>27</v>
    </nc>
  </rcc>
  <rcc rId="8656" sId="3">
    <nc r="N34">
      <v>27</v>
    </nc>
  </rcc>
  <rcc rId="8657" sId="3">
    <nc r="O34">
      <v>6</v>
    </nc>
  </rcc>
  <rcc rId="8658" sId="3">
    <nc r="P34">
      <v>6</v>
    </nc>
  </rcc>
  <rcc rId="8659" sId="3">
    <nc r="Q34">
      <v>1</v>
    </nc>
  </rcc>
  <rcc rId="8660" sId="3">
    <nc r="R34">
      <v>1</v>
    </nc>
  </rcc>
  <rcc rId="8661" sId="3">
    <nc r="S34">
      <v>1</v>
    </nc>
  </rcc>
  <rcc rId="8662" sId="3">
    <nc r="T34">
      <v>2</v>
    </nc>
  </rcc>
  <rcc rId="8663" sId="3">
    <nc r="U34">
      <v>6</v>
    </nc>
  </rcc>
  <rcc rId="8664" sId="3">
    <nc r="X34" t="inlineStr">
      <is>
        <t>All units have valid video and audio output.
TX CC error on PID 2903 co-timed on all units.
TXB_TMG1 warning on unit.104(appeared every night on this unit recently)
TXB_ECC1 TXB_TMG1 warnings on unit.124(appeared every night on this unit recently)
MPE,DPRM warnings and PPC asserts on control unit</t>
      </is>
    </nc>
  </rcc>
  <rcc rId="8665" sId="4" numFmtId="19">
    <oc r="I2">
      <v>41726</v>
    </oc>
    <nc r="I2">
      <v>41729</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35" start="0" length="0">
    <dxf>
      <font>
        <color rgb="FF000000"/>
        <name val="Calibri"/>
        <scheme val="minor"/>
      </font>
      <border outline="0">
        <left style="thin">
          <color indexed="64"/>
        </left>
        <top style="thin">
          <color indexed="64"/>
        </top>
      </border>
    </dxf>
  </rfmt>
  <rfmt sheetId="3" sqref="B35" start="0" length="0">
    <dxf>
      <font>
        <sz val="9"/>
        <color indexed="8"/>
        <name val="Calibri"/>
        <scheme val="minor"/>
      </font>
      <fill>
        <patternFill>
          <bgColor rgb="FFCCFFCC"/>
        </patternFill>
      </fill>
    </dxf>
  </rfmt>
  <rfmt sheetId="3" sqref="C35" start="0" length="0">
    <dxf>
      <font>
        <sz val="9"/>
        <color indexed="8"/>
        <name val="Calibri"/>
        <scheme val="minor"/>
      </font>
      <fill>
        <patternFill>
          <bgColor rgb="FFCCFFCC"/>
        </patternFill>
      </fill>
    </dxf>
  </rfmt>
  <rfmt sheetId="3" sqref="D35" start="0" length="0">
    <dxf>
      <font>
        <sz val="9"/>
        <color indexed="8"/>
        <name val="Calibri"/>
        <scheme val="minor"/>
      </font>
      <fill>
        <patternFill>
          <bgColor rgb="FFCCFFCC"/>
        </patternFill>
      </fill>
    </dxf>
  </rfmt>
  <rfmt sheetId="3" sqref="E35" start="0" length="0">
    <dxf>
      <font>
        <sz val="9"/>
        <color indexed="8"/>
        <name val="Calibri"/>
        <scheme val="minor"/>
      </font>
      <fill>
        <patternFill>
          <bgColor rgb="FFCCFFCC"/>
        </patternFill>
      </fill>
    </dxf>
  </rfmt>
  <rfmt sheetId="3" s="1" sqref="F35" start="0" length="0">
    <dxf>
      <font>
        <sz val="10"/>
        <color indexed="8"/>
        <name val="Calibri"/>
        <scheme val="minor"/>
      </font>
      <fill>
        <patternFill>
          <bgColor rgb="FFCCFFCC"/>
        </patternFill>
      </fill>
      <alignment wrapText="1" readingOrder="0"/>
    </dxf>
  </rfmt>
  <rfmt sheetId="3" sqref="G35" start="0" length="0">
    <dxf>
      <font>
        <sz val="9"/>
        <color indexed="8"/>
        <name val="Calibri"/>
        <scheme val="minor"/>
      </font>
      <fill>
        <patternFill>
          <bgColor rgb="FFCCFFCC"/>
        </patternFill>
      </fill>
    </dxf>
  </rfmt>
  <rfmt sheetId="3" sqref="H35" start="0" length="0">
    <dxf>
      <font>
        <sz val="9"/>
        <color indexed="8"/>
        <name val="Calibri"/>
        <scheme val="minor"/>
      </font>
      <fill>
        <patternFill>
          <bgColor rgb="FFCCFFCC"/>
        </patternFill>
      </fill>
    </dxf>
  </rfmt>
  <rfmt sheetId="3" sqref="I35" start="0" length="0">
    <dxf>
      <font>
        <sz val="9"/>
        <color indexed="8"/>
        <name val="Calibri"/>
        <scheme val="minor"/>
      </font>
      <fill>
        <patternFill>
          <bgColor rgb="FFCCFFCC"/>
        </patternFill>
      </fill>
    </dxf>
  </rfmt>
  <rfmt sheetId="3" sqref="J35" start="0" length="0">
    <dxf>
      <font>
        <sz val="9"/>
        <color indexed="8"/>
        <name val="Calibri"/>
        <scheme val="minor"/>
      </font>
      <fill>
        <patternFill>
          <bgColor rgb="FFCCFFCC"/>
        </patternFill>
      </fill>
    </dxf>
  </rfmt>
  <rfmt sheetId="3" sqref="K35" start="0" length="0">
    <dxf>
      <fill>
        <patternFill>
          <bgColor rgb="FFCCFFCC"/>
        </patternFill>
      </fill>
    </dxf>
  </rfmt>
  <rfmt sheetId="3" sqref="L35" start="0" length="0">
    <dxf>
      <fill>
        <patternFill>
          <bgColor rgb="FFCCFFCC"/>
        </patternFill>
      </fill>
    </dxf>
  </rfmt>
  <rfmt sheetId="3" sqref="M35" start="0" length="0">
    <dxf>
      <fill>
        <patternFill>
          <bgColor rgb="FFCCFFCC"/>
        </patternFill>
      </fill>
    </dxf>
  </rfmt>
  <rfmt sheetId="3" sqref="N35" start="0" length="0">
    <dxf>
      <fill>
        <patternFill>
          <bgColor rgb="FFCCFFCC"/>
        </patternFill>
      </fill>
    </dxf>
  </rfmt>
  <rcc rId="8666" sId="3" odxf="1" dxf="1">
    <nc r="O35">
      <v>6</v>
    </nc>
    <odxf>
      <font>
        <sz val="9"/>
        <color indexed="8"/>
        <name val="Calibri"/>
        <scheme val="none"/>
      </font>
      <fill>
        <patternFill>
          <bgColor theme="0"/>
        </patternFill>
      </fill>
    </odxf>
    <ndxf>
      <font>
        <sz val="9"/>
        <color indexed="8"/>
        <name val="Calibri"/>
        <scheme val="minor"/>
      </font>
      <fill>
        <patternFill>
          <bgColor rgb="FFCCFFCC"/>
        </patternFill>
      </fill>
    </ndxf>
  </rcc>
  <rcc rId="8667" sId="3" odxf="1" dxf="1">
    <nc r="P35">
      <v>6</v>
    </nc>
    <odxf>
      <font>
        <sz val="9"/>
        <color indexed="8"/>
        <name val="Calibri"/>
        <scheme val="none"/>
      </font>
      <fill>
        <patternFill>
          <bgColor theme="0"/>
        </patternFill>
      </fill>
    </odxf>
    <ndxf>
      <font>
        <sz val="9"/>
        <color indexed="8"/>
        <name val="Calibri"/>
        <scheme val="minor"/>
      </font>
      <fill>
        <patternFill>
          <bgColor rgb="FFCCFFCC"/>
        </patternFill>
      </fill>
    </ndxf>
  </rcc>
  <rcc rId="8668" sId="3" odxf="1" dxf="1">
    <nc r="Q35">
      <v>1</v>
    </nc>
    <odxf>
      <font>
        <sz val="9"/>
        <color indexed="8"/>
        <name val="Calibri"/>
        <scheme val="none"/>
      </font>
      <fill>
        <patternFill>
          <bgColor theme="0"/>
        </patternFill>
      </fill>
    </odxf>
    <ndxf>
      <font>
        <sz val="9"/>
        <color indexed="8"/>
        <name val="Calibri"/>
        <scheme val="minor"/>
      </font>
      <fill>
        <patternFill>
          <bgColor rgb="FFCCFFCC"/>
        </patternFill>
      </fill>
    </ndxf>
  </rcc>
  <rcc rId="8669" sId="3" odxf="1" dxf="1">
    <nc r="R35">
      <v>1</v>
    </nc>
    <odxf>
      <font>
        <sz val="9"/>
        <color indexed="8"/>
        <name val="Calibri"/>
        <scheme val="none"/>
      </font>
      <fill>
        <patternFill>
          <bgColor theme="0"/>
        </patternFill>
      </fill>
    </odxf>
    <ndxf>
      <font>
        <sz val="9"/>
        <color indexed="8"/>
        <name val="Calibri"/>
        <scheme val="minor"/>
      </font>
      <fill>
        <patternFill>
          <bgColor rgb="FFCCFFCC"/>
        </patternFill>
      </fill>
    </ndxf>
  </rcc>
  <rcc rId="8670" sId="3" odxf="1" dxf="1">
    <nc r="S35">
      <v>1</v>
    </nc>
    <odxf>
      <font>
        <sz val="9"/>
        <color indexed="8"/>
        <name val="Calibri"/>
        <scheme val="none"/>
      </font>
      <fill>
        <patternFill>
          <bgColor theme="0"/>
        </patternFill>
      </fill>
    </odxf>
    <ndxf>
      <font>
        <sz val="9"/>
        <color indexed="8"/>
        <name val="Calibri"/>
        <scheme val="minor"/>
      </font>
      <fill>
        <patternFill>
          <bgColor rgb="FFCCFFCC"/>
        </patternFill>
      </fill>
    </ndxf>
  </rcc>
  <rcc rId="8671" sId="3" odxf="1" dxf="1">
    <nc r="T35">
      <v>2</v>
    </nc>
    <odxf>
      <font>
        <sz val="9"/>
        <color indexed="8"/>
        <name val="Calibri"/>
        <scheme val="none"/>
      </font>
      <fill>
        <patternFill>
          <bgColor theme="0"/>
        </patternFill>
      </fill>
    </odxf>
    <ndxf>
      <font>
        <sz val="9"/>
        <color indexed="8"/>
        <name val="Calibri"/>
        <scheme val="minor"/>
      </font>
      <fill>
        <patternFill>
          <bgColor rgb="FFCCFFCC"/>
        </patternFill>
      </fill>
    </ndxf>
  </rcc>
  <rcc rId="8672" sId="3" odxf="1" dxf="1">
    <nc r="U35">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673" sId="3" odxf="1" dxf="1">
    <nc r="V35"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674" sId="3" odxf="1" dxf="1">
    <nc r="W35"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8675" sId="3">
    <nc r="X35" t="inlineStr">
      <is>
        <t>All units have valid video and audio output.
TX CC error on PID 2903 co-timed on all units.
TXB_TMG1 warning on unit.104(appeared every night on this unit recently)
TXB_ECC1 TXB_TMG1 warnings on unit.124(appeared every night on this unit recently)
MPE,DPRM warnings and PPC asserts on control unit</t>
      </is>
    </nc>
  </rcc>
  <rcc rId="8676" sId="3" numFmtId="19">
    <nc r="A35">
      <v>41730</v>
    </nc>
  </rcc>
  <rcc rId="8677" sId="3">
    <nc r="B35">
      <v>14</v>
    </nc>
  </rcc>
  <rcc rId="8678" sId="3">
    <nc r="C35">
      <v>16</v>
    </nc>
  </rcc>
  <rcc rId="8679" sId="3">
    <nc r="D35">
      <v>46</v>
    </nc>
  </rcc>
  <rcc rId="8680" sId="3">
    <nc r="E35">
      <v>33</v>
    </nc>
  </rcc>
  <rcc rId="8681" sId="3">
    <nc r="F35">
      <v>7</v>
    </nc>
  </rcc>
  <rcc rId="8682" sId="3" odxf="1" dxf="1">
    <nc r="K35">
      <v>25</v>
    </nc>
    <ndxf>
      <font>
        <sz val="9"/>
        <color indexed="8"/>
        <name val="Calibri"/>
        <scheme val="minor"/>
      </font>
    </ndxf>
  </rcc>
  <rcc rId="8683" sId="3" odxf="1" dxf="1">
    <nc r="L35">
      <v>25</v>
    </nc>
    <ndxf>
      <font>
        <sz val="9"/>
        <color indexed="8"/>
        <name val="Calibri"/>
        <scheme val="minor"/>
      </font>
    </ndxf>
  </rcc>
  <rcc rId="8684" sId="3" odxf="1" dxf="1">
    <nc r="M35">
      <v>25</v>
    </nc>
    <ndxf>
      <font>
        <sz val="9"/>
        <color indexed="8"/>
        <name val="Calibri"/>
        <scheme val="minor"/>
      </font>
    </ndxf>
  </rcc>
  <rcc rId="8685" sId="3" odxf="1" dxf="1">
    <nc r="N35">
      <v>25</v>
    </nc>
    <ndxf>
      <font>
        <sz val="9"/>
        <color indexed="8"/>
        <name val="Calibri"/>
        <scheme val="minor"/>
      </font>
    </ndxf>
  </rcc>
  <rcc rId="8686" sId="3">
    <nc r="G35">
      <v>1</v>
    </nc>
  </rcc>
  <rfmt sheetId="3" xfDxf="1" sqref="H35" start="0" length="0">
    <dxf>
      <font>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cc rId="8687" sId="3">
    <nc r="H35">
      <v>1</v>
    </nc>
  </rcc>
  <rcc rId="8688" sId="3">
    <nc r="I35">
      <v>1</v>
    </nc>
  </rcc>
  <rcc rId="8689" sId="3">
    <nc r="J35">
      <v>1</v>
    </nc>
  </rcc>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90" sId="3">
    <oc r="I35">
      <v>1</v>
    </oc>
    <nc r="I35">
      <v>25</v>
    </nc>
  </rcc>
  <rcc rId="8691" sId="3">
    <oc r="J35">
      <v>1</v>
    </oc>
    <nc r="J35">
      <v>0</v>
    </nc>
  </rcc>
  <rcc rId="8692" sId="3">
    <oc r="K35">
      <v>25</v>
    </oc>
    <nc r="K35">
      <v>0</v>
    </nc>
  </rcc>
  <rcc rId="8693" sId="3">
    <oc r="L35">
      <v>25</v>
    </oc>
    <nc r="L35">
      <v>0</v>
    </nc>
  </rcc>
  <rcc rId="8694" sId="3">
    <oc r="M35">
      <v>25</v>
    </oc>
    <nc r="M35">
      <v>0</v>
    </nc>
  </rcc>
  <rcc rId="8695" sId="3">
    <oc r="N35">
      <v>25</v>
    </oc>
    <nc r="N35">
      <v>0</v>
    </nc>
  </rcc>
  <rcc rId="8696" sId="3">
    <oc r="P35">
      <v>6</v>
    </oc>
    <nc r="P35">
      <v>0</v>
    </nc>
  </rcc>
  <rcc rId="8697" sId="3">
    <oc r="Q35">
      <v>1</v>
    </oc>
    <nc r="Q35">
      <v>3</v>
    </nc>
  </rcc>
  <rcc rId="8698" sId="3">
    <oc r="R35">
      <v>1</v>
    </oc>
    <nc r="R35">
      <v>10</v>
    </nc>
  </rcc>
  <rcc rId="8699" sId="3">
    <oc r="S35">
      <v>1</v>
    </oc>
    <nc r="S35">
      <v>2</v>
    </nc>
  </rcc>
  <rcc rId="8700" sId="3">
    <oc r="X35" t="inlineStr">
      <is>
        <t>All units have valid video and audio output.
TX CC error on PID 2903 co-timed on all units.
TXB_TMG1 warning on unit.104(appeared every night on this unit recently)
TXB_ECC1 TXB_TMG1 warnings on unit.124(appeared every night on this unit recently)
MPE,DPRM warnings and PPC asserts on control unit</t>
      </is>
    </oc>
    <nc r="X35" t="inlineStr">
      <is>
        <t>All units have valid video and audio output.
AUD2 warnings on some units
AW TAP and TXB_TMG1 warnings co-timed on unit.105 and 110
TXB_ECC1 TXB_TMG1 warnings on unit.124(appeared every night on this unit recently)</t>
      </is>
    </nc>
  </rcc>
  <rcc rId="8701" sId="4" numFmtId="19">
    <oc r="I2">
      <v>41729</v>
    </oc>
    <nc r="I2">
      <v>41730</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cc rId="8702" sId="3">
    <oc r="I34">
      <v>25</v>
    </oc>
    <nc r="I34">
      <v>27</v>
    </nc>
  </rcc>
  <rcc rId="8703" sId="3">
    <oc r="J34">
      <v>25</v>
    </oc>
    <nc r="J34">
      <v>0</v>
    </nc>
  </rcc>
  <rcc rId="8704" sId="3" odxf="1" dxf="1">
    <oc r="K34">
      <v>27</v>
    </oc>
    <nc r="K34">
      <v>0</v>
    </nc>
    <odxf>
      <font>
        <sz val="9"/>
        <color indexed="8"/>
        <name val="Calibri"/>
        <scheme val="none"/>
      </font>
    </odxf>
    <ndxf>
      <font>
        <sz val="9"/>
        <color indexed="8"/>
        <name val="Calibri"/>
        <scheme val="minor"/>
      </font>
    </ndxf>
  </rcc>
  <rcc rId="8705" sId="3" odxf="1" dxf="1">
    <oc r="L34">
      <v>27</v>
    </oc>
    <nc r="L34">
      <v>0</v>
    </nc>
    <odxf>
      <font>
        <sz val="9"/>
        <color indexed="8"/>
        <name val="Calibri"/>
        <scheme val="none"/>
      </font>
    </odxf>
    <ndxf>
      <font>
        <sz val="9"/>
        <color indexed="8"/>
        <name val="Calibri"/>
        <scheme val="minor"/>
      </font>
    </ndxf>
  </rcc>
  <rcc rId="8706" sId="3" odxf="1" dxf="1">
    <oc r="M34">
      <v>27</v>
    </oc>
    <nc r="M34">
      <v>0</v>
    </nc>
    <odxf>
      <font>
        <sz val="9"/>
        <color indexed="8"/>
        <name val="Calibri"/>
        <scheme val="none"/>
      </font>
    </odxf>
    <ndxf>
      <font>
        <sz val="9"/>
        <color indexed="8"/>
        <name val="Calibri"/>
        <scheme val="minor"/>
      </font>
    </ndxf>
  </rcc>
  <rcc rId="8707" sId="3" odxf="1" dxf="1">
    <oc r="N34">
      <v>27</v>
    </oc>
    <nc r="N34">
      <v>0</v>
    </nc>
    <odxf>
      <font>
        <sz val="9"/>
        <color indexed="8"/>
        <name val="Calibri"/>
        <scheme val="none"/>
      </font>
    </odxf>
    <ndxf>
      <font>
        <sz val="9"/>
        <color indexed="8"/>
        <name val="Calibri"/>
        <scheme val="minor"/>
      </font>
    </ndxf>
  </rcc>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08" sId="3">
    <oc r="H35">
      <v>1</v>
    </oc>
    <nc r="H35">
      <v>25</v>
    </nc>
  </rcc>
  <rcc rId="8709" sId="3">
    <oc r="I35">
      <v>25</v>
    </oc>
    <nc r="I35">
      <v>0</v>
    </nc>
  </rcc>
  <rcc rId="8710" sId="3" odxf="1" dxf="1">
    <oc r="J33">
      <v>3</v>
    </oc>
    <nc r="J33">
      <v>26</v>
    </nc>
    <odxf>
      <font>
        <color indexed="8"/>
        <name val="Calibri"/>
        <scheme val="minor"/>
      </font>
    </odxf>
    <ndxf>
      <font>
        <sz val="9"/>
        <color indexed="8"/>
        <name val="Calibri"/>
        <scheme val="none"/>
      </font>
    </ndxf>
  </rcc>
  <rcc rId="8711" sId="3">
    <oc r="M33">
      <v>26</v>
    </oc>
    <nc r="M33">
      <v>0</v>
    </nc>
  </rcc>
  <rcc rId="8712" sId="3">
    <oc r="N33">
      <v>26</v>
    </oc>
    <nc r="N33">
      <v>0</v>
    </nc>
  </rcc>
  <rcc rId="8713" sId="3">
    <oc r="H32">
      <v>2</v>
    </oc>
    <nc r="H32">
      <v>6</v>
    </nc>
  </rcc>
  <rcc rId="8714" sId="3">
    <oc r="I32">
      <v>2</v>
    </oc>
    <nc r="I32">
      <v>0</v>
    </nc>
  </rcc>
  <rcc rId="8715" sId="3">
    <oc r="J32">
      <v>2</v>
    </oc>
    <nc r="J32">
      <v>0</v>
    </nc>
  </rcc>
  <rcc rId="8716" sId="3" odxf="1" dxf="1">
    <oc r="K32">
      <v>6</v>
    </oc>
    <nc r="K32">
      <v>0</v>
    </nc>
    <odxf>
      <font>
        <sz val="9"/>
        <color indexed="8"/>
        <name val="Calibri"/>
        <scheme val="none"/>
      </font>
    </odxf>
    <ndxf>
      <font>
        <sz val="9"/>
        <color indexed="8"/>
        <name val="Calibri"/>
        <scheme val="minor"/>
      </font>
    </ndxf>
  </rcc>
  <rcc rId="8717" sId="3" odxf="1" dxf="1">
    <oc r="L32">
      <v>6</v>
    </oc>
    <nc r="L32">
      <v>0</v>
    </nc>
    <odxf>
      <font>
        <sz val="9"/>
        <color indexed="8"/>
        <name val="Calibri"/>
        <scheme val="none"/>
      </font>
    </odxf>
    <ndxf>
      <font>
        <sz val="9"/>
        <color indexed="8"/>
        <name val="Calibri"/>
        <scheme val="minor"/>
      </font>
    </ndxf>
  </rcc>
  <rcc rId="8718" sId="3" odxf="1" dxf="1">
    <oc r="M32">
      <v>6</v>
    </oc>
    <nc r="M32">
      <v>0</v>
    </nc>
    <odxf>
      <font>
        <sz val="9"/>
        <color indexed="8"/>
        <name val="Calibri"/>
        <scheme val="none"/>
      </font>
    </odxf>
    <ndxf>
      <font>
        <sz val="9"/>
        <color indexed="8"/>
        <name val="Calibri"/>
        <scheme val="minor"/>
      </font>
    </ndxf>
  </rcc>
  <rcc rId="8719" sId="3" odxf="1" dxf="1">
    <oc r="N32">
      <v>6</v>
    </oc>
    <nc r="N32">
      <v>0</v>
    </nc>
    <odxf>
      <font>
        <sz val="9"/>
        <color indexed="8"/>
        <name val="Calibri"/>
        <scheme val="none"/>
      </font>
    </odxf>
    <ndxf>
      <font>
        <sz val="9"/>
        <color indexed="8"/>
        <name val="Calibri"/>
        <scheme val="minor"/>
      </font>
    </ndxf>
  </rcc>
  <rcc rId="8720" sId="3">
    <oc r="H31">
      <v>1</v>
    </oc>
    <nc r="H31">
      <v>25</v>
    </nc>
  </rcc>
  <rcc rId="8721" sId="3">
    <oc r="I31">
      <v>1</v>
    </oc>
    <nc r="I31">
      <v>0</v>
    </nc>
  </rcc>
  <rcc rId="8722" sId="3">
    <oc r="J31">
      <v>1</v>
    </oc>
    <nc r="J31">
      <v>0</v>
    </nc>
  </rcc>
  <rcc rId="8723" sId="3" odxf="1" dxf="1">
    <oc r="K31">
      <v>25</v>
    </oc>
    <nc r="K31">
      <v>0</v>
    </nc>
    <odxf>
      <font>
        <sz val="9"/>
        <color indexed="8"/>
        <name val="Calibri"/>
        <scheme val="none"/>
      </font>
    </odxf>
    <ndxf>
      <font>
        <sz val="9"/>
        <color indexed="8"/>
        <name val="Calibri"/>
        <scheme val="minor"/>
      </font>
    </ndxf>
  </rcc>
  <rcc rId="8724" sId="3" odxf="1" dxf="1">
    <oc r="L31">
      <v>25</v>
    </oc>
    <nc r="L31">
      <v>0</v>
    </nc>
    <odxf>
      <font>
        <sz val="9"/>
        <color indexed="8"/>
        <name val="Calibri"/>
        <scheme val="none"/>
      </font>
    </odxf>
    <ndxf>
      <font>
        <sz val="9"/>
        <color indexed="8"/>
        <name val="Calibri"/>
        <scheme val="minor"/>
      </font>
    </ndxf>
  </rcc>
  <rcc rId="8725" sId="3" odxf="1" dxf="1">
    <oc r="M31">
      <v>25</v>
    </oc>
    <nc r="M31">
      <v>0</v>
    </nc>
    <odxf>
      <font>
        <sz val="9"/>
        <color indexed="8"/>
        <name val="Calibri"/>
        <scheme val="none"/>
      </font>
    </odxf>
    <ndxf>
      <font>
        <sz val="9"/>
        <color indexed="8"/>
        <name val="Calibri"/>
        <scheme val="minor"/>
      </font>
    </ndxf>
  </rcc>
  <rcc rId="8726" sId="3" odxf="1" dxf="1">
    <oc r="N31">
      <v>25</v>
    </oc>
    <nc r="N31">
      <v>0</v>
    </nc>
    <odxf>
      <font>
        <sz val="9"/>
        <color indexed="8"/>
        <name val="Calibri"/>
        <scheme val="none"/>
      </font>
    </odxf>
    <ndxf>
      <font>
        <sz val="9"/>
        <color indexed="8"/>
        <name val="Calibri"/>
        <scheme val="minor"/>
      </font>
    </ndxf>
  </rcc>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27" sId="3">
    <oc r="H30">
      <v>6</v>
    </oc>
    <nc r="H30">
      <v>2</v>
    </nc>
  </rcc>
  <rcc rId="8728" sId="3" odxf="1" dxf="1">
    <oc r="I30">
      <v>6</v>
    </oc>
    <nc r="I30">
      <v>0</v>
    </nc>
    <odxf>
      <font>
        <sz val="9"/>
        <color indexed="8"/>
        <name val="Calibri"/>
        <scheme val="none"/>
      </font>
    </odxf>
    <ndxf>
      <font>
        <sz val="9"/>
        <color indexed="8"/>
        <name val="Calibri"/>
        <scheme val="minor"/>
      </font>
    </ndxf>
  </rcc>
  <rcc rId="8729" sId="3" odxf="1" dxf="1">
    <oc r="J30">
      <v>6</v>
    </oc>
    <nc r="J30">
      <v>0</v>
    </nc>
    <odxf>
      <font>
        <sz val="9"/>
        <color indexed="8"/>
        <name val="Calibri"/>
        <scheme val="none"/>
      </font>
    </odxf>
    <ndxf>
      <font>
        <sz val="9"/>
        <color indexed="8"/>
        <name val="Calibri"/>
        <scheme val="minor"/>
      </font>
    </ndxf>
  </rcc>
  <rcc rId="8730" sId="3" odxf="1" dxf="1">
    <oc r="K30">
      <v>2</v>
    </oc>
    <nc r="K30">
      <v>0</v>
    </nc>
    <odxf>
      <font>
        <sz val="9"/>
        <color indexed="8"/>
        <name val="Calibri"/>
        <scheme val="none"/>
      </font>
    </odxf>
    <ndxf>
      <font>
        <sz val="9"/>
        <color indexed="8"/>
        <name val="Calibri"/>
        <scheme val="minor"/>
      </font>
    </ndxf>
  </rcc>
  <rcc rId="8731" sId="3" odxf="1" dxf="1">
    <oc r="L30">
      <v>2</v>
    </oc>
    <nc r="L30">
      <v>0</v>
    </nc>
    <odxf>
      <font>
        <sz val="9"/>
        <color indexed="8"/>
        <name val="Calibri"/>
        <scheme val="none"/>
      </font>
    </odxf>
    <ndxf>
      <font>
        <sz val="9"/>
        <color indexed="8"/>
        <name val="Calibri"/>
        <scheme val="minor"/>
      </font>
    </ndxf>
  </rcc>
  <rcc rId="8732" sId="3" odxf="1" dxf="1">
    <oc r="M30">
      <v>2</v>
    </oc>
    <nc r="M30">
      <v>0</v>
    </nc>
    <odxf>
      <font>
        <sz val="9"/>
        <color indexed="8"/>
        <name val="Calibri"/>
        <scheme val="none"/>
      </font>
    </odxf>
    <ndxf>
      <font>
        <sz val="9"/>
        <color indexed="8"/>
        <name val="Calibri"/>
        <scheme val="minor"/>
      </font>
    </ndxf>
  </rcc>
  <rcc rId="8733" sId="3" odxf="1" dxf="1">
    <oc r="N30">
      <v>2</v>
    </oc>
    <nc r="N30">
      <v>0</v>
    </nc>
    <odxf>
      <font>
        <sz val="9"/>
        <color indexed="8"/>
        <name val="Calibri"/>
        <scheme val="none"/>
      </font>
    </odxf>
    <ndxf>
      <font>
        <sz val="9"/>
        <color indexed="8"/>
        <name val="Calibri"/>
        <scheme val="minor"/>
      </font>
    </ndxf>
  </rcc>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34" sId="3">
    <oc r="I29">
      <v>13</v>
    </oc>
    <nc r="I29">
      <v>7</v>
    </nc>
  </rcc>
  <rcc rId="8735" sId="3" odxf="1" dxf="1">
    <oc r="J29">
      <v>13</v>
    </oc>
    <nc r="J29">
      <v>0</v>
    </nc>
    <odxf>
      <font>
        <sz val="9"/>
        <color indexed="8"/>
        <name val="Calibri"/>
        <scheme val="none"/>
      </font>
    </odxf>
    <ndxf>
      <font>
        <sz val="9"/>
        <color indexed="8"/>
        <name val="Calibri"/>
        <scheme val="minor"/>
      </font>
    </ndxf>
  </rcc>
  <rcc rId="8736" sId="3" odxf="1" dxf="1">
    <oc r="K29">
      <v>7</v>
    </oc>
    <nc r="K29">
      <v>0</v>
    </nc>
    <odxf>
      <font>
        <sz val="9"/>
        <color indexed="8"/>
        <name val="Calibri"/>
        <scheme val="none"/>
      </font>
    </odxf>
    <ndxf>
      <font>
        <sz val="9"/>
        <color indexed="8"/>
        <name val="Calibri"/>
        <scheme val="minor"/>
      </font>
    </ndxf>
  </rcc>
  <rcc rId="8737" sId="3" odxf="1" dxf="1">
    <oc r="L29">
      <v>7</v>
    </oc>
    <nc r="L29">
      <v>0</v>
    </nc>
    <odxf>
      <font>
        <sz val="9"/>
        <color indexed="8"/>
        <name val="Calibri"/>
        <scheme val="none"/>
      </font>
    </odxf>
    <ndxf>
      <font>
        <sz val="9"/>
        <color indexed="8"/>
        <name val="Calibri"/>
        <scheme val="minor"/>
      </font>
    </ndxf>
  </rcc>
  <rcc rId="8738" sId="3" odxf="1" dxf="1">
    <oc r="M29">
      <v>7</v>
    </oc>
    <nc r="M29">
      <v>0</v>
    </nc>
    <odxf>
      <font>
        <sz val="9"/>
        <color indexed="8"/>
        <name val="Calibri"/>
        <scheme val="none"/>
      </font>
    </odxf>
    <ndxf>
      <font>
        <sz val="9"/>
        <color indexed="8"/>
        <name val="Calibri"/>
        <scheme val="minor"/>
      </font>
    </ndxf>
  </rcc>
  <rcc rId="8739" sId="3" odxf="1" dxf="1">
    <oc r="N29">
      <v>7</v>
    </oc>
    <nc r="N29">
      <v>0</v>
    </nc>
    <odxf>
      <font>
        <sz val="9"/>
        <color indexed="8"/>
        <name val="Calibri"/>
        <scheme val="none"/>
      </font>
    </odxf>
    <ndxf>
      <font>
        <sz val="9"/>
        <color indexed="8"/>
        <name val="Calibri"/>
        <scheme val="minor"/>
      </font>
    </ndxf>
  </rcc>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40" sId="3">
    <oc r="I28">
      <v>25</v>
    </oc>
    <nc r="I28">
      <v>27</v>
    </nc>
  </rcc>
  <rcc rId="8741" sId="3" odxf="1" dxf="1">
    <oc r="J28">
      <v>25</v>
    </oc>
    <nc r="J28">
      <v>0</v>
    </nc>
    <odxf>
      <font>
        <sz val="9"/>
        <color indexed="8"/>
        <name val="Calibri"/>
        <scheme val="none"/>
      </font>
    </odxf>
    <ndxf>
      <font>
        <sz val="9"/>
        <color indexed="8"/>
        <name val="Calibri"/>
        <scheme val="minor"/>
      </font>
    </ndxf>
  </rcc>
  <rcc rId="8742" sId="3" odxf="1" dxf="1">
    <oc r="K28">
      <v>27</v>
    </oc>
    <nc r="K28">
      <v>0</v>
    </nc>
    <odxf>
      <font>
        <sz val="9"/>
        <color indexed="8"/>
        <name val="Calibri"/>
        <scheme val="none"/>
      </font>
    </odxf>
    <ndxf>
      <font>
        <sz val="9"/>
        <color indexed="8"/>
        <name val="Calibri"/>
        <scheme val="minor"/>
      </font>
    </ndxf>
  </rcc>
  <rcc rId="8743" sId="3" odxf="1" dxf="1">
    <oc r="L28">
      <v>27</v>
    </oc>
    <nc r="L28">
      <v>0</v>
    </nc>
    <odxf>
      <font>
        <sz val="9"/>
        <color indexed="8"/>
        <name val="Calibri"/>
        <scheme val="none"/>
      </font>
    </odxf>
    <ndxf>
      <font>
        <sz val="9"/>
        <color indexed="8"/>
        <name val="Calibri"/>
        <scheme val="minor"/>
      </font>
    </ndxf>
  </rcc>
  <rcc rId="8744" sId="3" odxf="1" dxf="1">
    <oc r="M28">
      <v>27</v>
    </oc>
    <nc r="M28">
      <v>0</v>
    </nc>
    <odxf>
      <font>
        <sz val="9"/>
        <color indexed="8"/>
        <name val="Calibri"/>
        <scheme val="none"/>
      </font>
    </odxf>
    <ndxf>
      <font>
        <sz val="9"/>
        <color indexed="8"/>
        <name val="Calibri"/>
        <scheme val="minor"/>
      </font>
    </ndxf>
  </rcc>
  <rcc rId="8745" sId="3" odxf="1" dxf="1">
    <oc r="N28">
      <v>27</v>
    </oc>
    <nc r="N28">
      <v>0</v>
    </nc>
    <odxf>
      <font>
        <sz val="9"/>
        <color indexed="8"/>
        <name val="Calibri"/>
        <scheme val="none"/>
      </font>
    </odxf>
    <ndxf>
      <font>
        <sz val="9"/>
        <color indexed="8"/>
        <name val="Calibri"/>
        <scheme val="minor"/>
      </font>
    </ndxf>
  </rcc>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46" sId="3">
    <oc r="M27">
      <v>5</v>
    </oc>
    <nc r="M27">
      <v>0</v>
    </nc>
  </rcc>
  <rcc rId="8747" sId="3">
    <oc r="N27">
      <v>5</v>
    </oc>
    <nc r="N27">
      <v>0</v>
    </nc>
  </rcc>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48" sId="3">
    <oc r="I26">
      <v>2</v>
    </oc>
    <nc r="I26">
      <v>6</v>
    </nc>
  </rcc>
  <rcc rId="8749" sId="3" odxf="1" dxf="1">
    <oc r="J26">
      <v>2</v>
    </oc>
    <nc r="J26">
      <v>0</v>
    </nc>
    <odxf>
      <font>
        <sz val="9"/>
        <color indexed="8"/>
        <name val="Calibri"/>
        <scheme val="none"/>
      </font>
    </odxf>
    <ndxf>
      <font>
        <sz val="9"/>
        <color indexed="8"/>
        <name val="Calibri"/>
        <scheme val="minor"/>
      </font>
    </ndxf>
  </rcc>
  <rcc rId="8750" sId="3" odxf="1" dxf="1">
    <oc r="K26">
      <v>6</v>
    </oc>
    <nc r="K26">
      <v>0</v>
    </nc>
    <odxf>
      <font>
        <sz val="9"/>
        <color indexed="8"/>
        <name val="Calibri"/>
        <scheme val="none"/>
      </font>
    </odxf>
    <ndxf>
      <font>
        <sz val="9"/>
        <color indexed="8"/>
        <name val="Calibri"/>
        <scheme val="minor"/>
      </font>
    </ndxf>
  </rcc>
  <rcc rId="8751" sId="3" odxf="1" dxf="1">
    <oc r="L26">
      <v>6</v>
    </oc>
    <nc r="L26">
      <v>0</v>
    </nc>
    <odxf>
      <font>
        <sz val="9"/>
        <color indexed="8"/>
        <name val="Calibri"/>
        <scheme val="none"/>
      </font>
    </odxf>
    <ndxf>
      <font>
        <sz val="9"/>
        <color indexed="8"/>
        <name val="Calibri"/>
        <scheme val="minor"/>
      </font>
    </ndxf>
  </rcc>
  <rcc rId="8752" sId="3" odxf="1" dxf="1">
    <oc r="M26">
      <v>6</v>
    </oc>
    <nc r="M26">
      <v>0</v>
    </nc>
    <odxf>
      <font>
        <sz val="9"/>
        <color indexed="8"/>
        <name val="Calibri"/>
        <scheme val="none"/>
      </font>
    </odxf>
    <ndxf>
      <font>
        <sz val="9"/>
        <color indexed="8"/>
        <name val="Calibri"/>
        <scheme val="minor"/>
      </font>
    </ndxf>
  </rcc>
  <rcc rId="8753" sId="3" odxf="1" dxf="1">
    <oc r="N26">
      <v>6</v>
    </oc>
    <nc r="N26">
      <v>0</v>
    </nc>
    <odxf>
      <font>
        <sz val="9"/>
        <color indexed="8"/>
        <name val="Calibri"/>
        <scheme val="none"/>
      </font>
    </odxf>
    <ndxf>
      <font>
        <sz val="9"/>
        <color indexed="8"/>
        <name val="Calibri"/>
        <scheme val="minor"/>
      </font>
    </ndxf>
  </rcc>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54" sId="3">
    <oc r="I24">
      <v>35</v>
    </oc>
    <nc r="I24">
      <v>36</v>
    </nc>
  </rcc>
  <rcc rId="8755" sId="3">
    <oc r="J24">
      <v>35</v>
    </oc>
    <nc r="J24">
      <v>36</v>
    </nc>
  </rcc>
  <rcc rId="8756" sId="3" odxf="1" dxf="1">
    <oc r="K24">
      <v>36</v>
    </oc>
    <nc r="K24">
      <v>0</v>
    </nc>
    <odxf>
      <font>
        <sz val="9"/>
        <color indexed="8"/>
        <name val="Calibri"/>
        <scheme val="none"/>
      </font>
    </odxf>
    <ndxf>
      <font>
        <sz val="9"/>
        <color indexed="8"/>
        <name val="Calibri"/>
        <scheme val="minor"/>
      </font>
    </ndxf>
  </rcc>
  <rcc rId="8757" sId="3" odxf="1" dxf="1">
    <oc r="L24">
      <v>36</v>
    </oc>
    <nc r="L24">
      <v>0</v>
    </nc>
    <odxf>
      <font>
        <sz val="9"/>
        <color indexed="8"/>
        <name val="Calibri"/>
        <scheme val="none"/>
      </font>
    </odxf>
    <ndxf>
      <font>
        <sz val="9"/>
        <color indexed="8"/>
        <name val="Calibri"/>
        <scheme val="minor"/>
      </font>
    </ndxf>
  </rcc>
  <rcc rId="8758" sId="3" odxf="1" dxf="1">
    <oc r="M24">
      <v>36</v>
    </oc>
    <nc r="M24">
      <v>0</v>
    </nc>
    <odxf>
      <font>
        <sz val="9"/>
        <color indexed="8"/>
        <name val="Calibri"/>
        <scheme val="none"/>
      </font>
    </odxf>
    <ndxf>
      <font>
        <sz val="9"/>
        <color indexed="8"/>
        <name val="Calibri"/>
        <scheme val="minor"/>
      </font>
    </ndxf>
  </rcc>
  <rcc rId="8759" sId="3" odxf="1" dxf="1">
    <oc r="N24">
      <v>36</v>
    </oc>
    <nc r="N24">
      <v>0</v>
    </nc>
    <odxf>
      <font>
        <sz val="9"/>
        <color indexed="8"/>
        <name val="Calibri"/>
        <scheme val="none"/>
      </font>
    </odxf>
    <ndxf>
      <font>
        <sz val="9"/>
        <color indexed="8"/>
        <name val="Calibri"/>
        <scheme val="minor"/>
      </font>
    </ndxf>
  </rcc>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60" sId="3">
    <oc r="I21">
      <v>16</v>
    </oc>
    <nc r="I21">
      <v>20</v>
    </nc>
  </rcc>
  <rcc rId="8761" sId="3">
    <oc r="J21">
      <v>16</v>
    </oc>
    <nc r="J21">
      <v>20</v>
    </nc>
  </rcc>
  <rcc rId="8762" sId="3">
    <oc r="K21">
      <v>20</v>
    </oc>
    <nc r="K21">
      <v>0</v>
    </nc>
  </rcc>
  <rcc rId="8763" sId="3">
    <oc r="L21">
      <v>20</v>
    </oc>
    <nc r="L21">
      <v>0</v>
    </nc>
  </rcc>
  <rcc rId="8764" sId="3">
    <oc r="M21">
      <v>20</v>
    </oc>
    <nc r="M21">
      <v>0</v>
    </nc>
  </rcc>
  <rcc rId="8765" sId="3">
    <oc r="N21">
      <v>20</v>
    </oc>
    <nc r="N21">
      <v>0</v>
    </nc>
  </rcc>
  <rcc rId="8766" sId="3">
    <oc r="H20">
      <v>14</v>
    </oc>
    <nc r="H20">
      <v>13</v>
    </nc>
  </rcc>
  <rcc rId="8767" sId="3">
    <oc r="I20">
      <v>14</v>
    </oc>
    <nc r="I20">
      <v>0</v>
    </nc>
  </rcc>
  <rcc rId="8768" sId="3">
    <oc r="J20">
      <v>14</v>
    </oc>
    <nc r="J20">
      <v>0</v>
    </nc>
  </rcc>
  <rcc rId="8769" sId="3">
    <oc r="K20">
      <v>13</v>
    </oc>
    <nc r="K20">
      <v>0</v>
    </nc>
  </rcc>
  <rcc rId="8770" sId="3">
    <oc r="L20">
      <v>13</v>
    </oc>
    <nc r="L20">
      <v>0</v>
    </nc>
  </rcc>
  <rcc rId="8771" sId="3">
    <oc r="M20">
      <v>13</v>
    </oc>
    <nc r="M20">
      <v>0</v>
    </nc>
  </rcc>
  <rcc rId="8772" sId="3">
    <oc r="N20">
      <v>13</v>
    </oc>
    <nc r="N20">
      <v>0</v>
    </nc>
  </rcc>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73" sId="3">
    <oc r="I17">
      <v>23</v>
    </oc>
    <nc r="I17">
      <v>24</v>
    </nc>
  </rcc>
  <rcc rId="8774" sId="3">
    <oc r="J17">
      <v>23</v>
    </oc>
    <nc r="J17">
      <v>24</v>
    </nc>
  </rcc>
  <rcc rId="8775" sId="3">
    <oc r="K17">
      <v>24</v>
    </oc>
    <nc r="K17">
      <v>0</v>
    </nc>
  </rcc>
  <rcc rId="8776" sId="3">
    <oc r="L17">
      <v>24</v>
    </oc>
    <nc r="L17">
      <v>0</v>
    </nc>
  </rcc>
  <rcc rId="8777" sId="3">
    <oc r="M17">
      <v>24</v>
    </oc>
    <nc r="M17">
      <v>0</v>
    </nc>
  </rcc>
  <rcc rId="8778" sId="3">
    <oc r="N17">
      <v>24</v>
    </oc>
    <nc r="N17">
      <v>0</v>
    </nc>
  </rcc>
  <rcc rId="8779" sId="3">
    <oc r="H16">
      <v>8</v>
    </oc>
    <nc r="H16">
      <v>37</v>
    </nc>
  </rcc>
  <rcc rId="8780" sId="3">
    <oc r="I16">
      <v>8</v>
    </oc>
    <nc r="I16">
      <v>0</v>
    </nc>
  </rcc>
  <rcc rId="8781" sId="3">
    <oc r="J16">
      <v>8</v>
    </oc>
    <nc r="J16">
      <v>0</v>
    </nc>
  </rcc>
  <rcc rId="8782" sId="3">
    <oc r="K16">
      <v>37</v>
    </oc>
    <nc r="K16">
      <v>0</v>
    </nc>
  </rcc>
  <rcc rId="8783" sId="3">
    <oc r="L16">
      <v>37</v>
    </oc>
    <nc r="L16">
      <v>0</v>
    </nc>
  </rcc>
  <rcc rId="8784" sId="3">
    <oc r="M16">
      <v>37</v>
    </oc>
    <nc r="M16">
      <v>0</v>
    </nc>
  </rcc>
  <rcc rId="8785" sId="3">
    <oc r="N16">
      <v>37</v>
    </oc>
    <nc r="N16">
      <v>0</v>
    </nc>
  </rcc>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6" sId="3">
    <oc r="H13">
      <v>15</v>
    </oc>
    <nc r="H13">
      <v>19</v>
    </nc>
  </rcc>
  <rcc rId="8787" sId="3">
    <oc r="I13">
      <v>15</v>
    </oc>
    <nc r="I13">
      <v>0</v>
    </nc>
  </rcc>
  <rcc rId="8788" sId="3">
    <oc r="J13">
      <v>15</v>
    </oc>
    <nc r="J13">
      <v>0</v>
    </nc>
  </rcc>
  <rcc rId="8789" sId="3">
    <oc r="K13">
      <v>19</v>
    </oc>
    <nc r="K13">
      <v>0</v>
    </nc>
  </rcc>
  <rcc rId="8790" sId="3">
    <oc r="L13">
      <v>19</v>
    </oc>
    <nc r="L13">
      <v>0</v>
    </nc>
  </rcc>
  <rcc rId="8791" sId="3">
    <oc r="M13">
      <v>19</v>
    </oc>
    <nc r="M13">
      <v>0</v>
    </nc>
  </rcc>
  <rcc rId="8792" sId="3">
    <oc r="N13">
      <v>19</v>
    </oc>
    <nc r="N13">
      <v>0</v>
    </nc>
  </rcc>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02" sId="3" numFmtId="19">
    <oc r="A7">
      <v>41579</v>
    </oc>
    <nc r="A7"/>
  </rcc>
  <rcc rId="5503" sId="3">
    <oc r="B7">
      <v>14</v>
    </oc>
    <nc r="B7"/>
  </rcc>
  <rcc rId="5504" sId="3">
    <oc r="C7">
      <v>2</v>
    </oc>
    <nc r="C7"/>
  </rcc>
  <rcc rId="5505" sId="3">
    <oc r="D7">
      <v>28</v>
    </oc>
    <nc r="D7"/>
  </rcc>
  <rcc rId="5506" sId="3">
    <oc r="E7">
      <v>39</v>
    </oc>
    <nc r="E7"/>
  </rcc>
  <rcc rId="5507" sId="3">
    <oc r="F7" t="inlineStr">
      <is>
        <t>N/A</t>
      </is>
    </oc>
    <nc r="F7"/>
  </rcc>
  <rcc rId="5508" sId="3">
    <oc r="G7">
      <v>5</v>
    </oc>
    <nc r="G7"/>
  </rcc>
  <rcc rId="5509" sId="3">
    <oc r="H7">
      <v>5</v>
    </oc>
    <nc r="H7"/>
  </rcc>
  <rcc rId="5510" sId="3">
    <oc r="I7">
      <v>5</v>
    </oc>
    <nc r="I7"/>
  </rcc>
  <rcc rId="5511" sId="3">
    <oc r="J7">
      <v>5</v>
    </oc>
    <nc r="J7"/>
  </rcc>
  <rcc rId="5512" sId="3">
    <oc r="K7">
      <v>5</v>
    </oc>
    <nc r="K7"/>
  </rcc>
  <rcc rId="5513" sId="3">
    <oc r="L7">
      <v>5</v>
    </oc>
    <nc r="L7"/>
  </rcc>
  <rcc rId="5514" sId="3">
    <oc r="M7">
      <v>5</v>
    </oc>
    <nc r="M7"/>
  </rcc>
  <rcc rId="5515" sId="3">
    <oc r="N7">
      <v>5</v>
    </oc>
    <nc r="N7"/>
  </rcc>
  <rcc rId="5516" sId="3">
    <oc r="O7">
      <v>1</v>
    </oc>
    <nc r="O7"/>
  </rcc>
  <rcc rId="5517" sId="3">
    <oc r="P7">
      <v>0</v>
    </oc>
    <nc r="P7"/>
  </rcc>
  <rcc rId="5518" sId="3">
    <oc r="Q7">
      <v>2</v>
    </oc>
    <nc r="Q7"/>
  </rcc>
  <rcc rId="5519" sId="3">
    <oc r="R7">
      <v>0</v>
    </oc>
    <nc r="R7"/>
  </rcc>
  <rcc rId="5520" sId="3">
    <oc r="S7">
      <v>1</v>
    </oc>
    <nc r="S7"/>
  </rcc>
  <rcc rId="5521" sId="3">
    <oc r="T7">
      <v>2</v>
    </oc>
    <nc r="T7"/>
  </rcc>
  <rcc rId="5522" sId="3">
    <oc r="U7" t="inlineStr">
      <is>
        <t>Xcode</t>
      </is>
    </oc>
    <nc r="U7"/>
  </rcc>
  <rcc rId="5523" sId="3">
    <oc r="V7" t="inlineStr">
      <is>
        <t>T1.10B5</t>
      </is>
    </oc>
    <nc r="V7"/>
  </rcc>
  <rcc rId="5524" sId="3">
    <oc r="W7" t="inlineStr">
      <is>
        <t>Pass</t>
      </is>
    </oc>
    <nc r="W7"/>
  </rcc>
  <rcc rId="5525" sId="3" numFmtId="19">
    <oc r="A8">
      <v>41582</v>
    </oc>
    <nc r="A8"/>
  </rcc>
  <rcc rId="5526" sId="3">
    <oc r="B8">
      <v>13</v>
    </oc>
    <nc r="B8"/>
  </rcc>
  <rcc rId="5527" sId="3">
    <oc r="C8">
      <v>2</v>
    </oc>
    <nc r="C8"/>
  </rcc>
  <rcc rId="5528" sId="3">
    <oc r="D8">
      <v>13</v>
    </oc>
    <nc r="D8"/>
  </rcc>
  <rcc rId="5529" sId="3">
    <oc r="E8">
      <v>11</v>
    </oc>
    <nc r="E8"/>
  </rcc>
  <rcc rId="5530" sId="3">
    <oc r="F8">
      <v>6</v>
    </oc>
    <nc r="F8"/>
  </rcc>
  <rcc rId="5531" sId="3">
    <oc r="G8">
      <v>11</v>
    </oc>
    <nc r="G8"/>
  </rcc>
  <rcc rId="5532" sId="3">
    <oc r="H8">
      <v>11</v>
    </oc>
    <nc r="H8"/>
  </rcc>
  <rcc rId="5533" sId="3">
    <oc r="I8">
      <v>11</v>
    </oc>
    <nc r="I8"/>
  </rcc>
  <rcc rId="5534" sId="3">
    <oc r="J8">
      <v>11</v>
    </oc>
    <nc r="J8"/>
  </rcc>
  <rcc rId="5535" sId="3">
    <oc r="K8">
      <v>12</v>
    </oc>
    <nc r="K8"/>
  </rcc>
  <rcc rId="5536" sId="3">
    <oc r="L8">
      <v>12</v>
    </oc>
    <nc r="L8"/>
  </rcc>
  <rcc rId="5537" sId="3">
    <oc r="M8">
      <v>12</v>
    </oc>
    <nc r="M8"/>
  </rcc>
  <rcc rId="5538" sId="3">
    <oc r="N8">
      <v>12</v>
    </oc>
    <nc r="N8"/>
  </rcc>
  <rcc rId="5539" sId="3">
    <oc r="O8">
      <v>3</v>
    </oc>
    <nc r="O8"/>
  </rcc>
  <rcc rId="5540" sId="3">
    <oc r="P8">
      <v>2</v>
    </oc>
    <nc r="P8"/>
  </rcc>
  <rcc rId="5541" sId="3">
    <oc r="Q8">
      <v>3</v>
    </oc>
    <nc r="Q8"/>
  </rcc>
  <rcc rId="5542" sId="3">
    <oc r="R8">
      <v>5</v>
    </oc>
    <nc r="R8"/>
  </rcc>
  <rcc rId="5543" sId="3">
    <oc r="S8">
      <v>2</v>
    </oc>
    <nc r="S8"/>
  </rcc>
  <rcc rId="5544" sId="3">
    <oc r="T8">
      <v>2</v>
    </oc>
    <nc r="T8"/>
  </rcc>
  <rcc rId="5545" sId="3">
    <oc r="U8" t="inlineStr">
      <is>
        <t>Xcode</t>
      </is>
    </oc>
    <nc r="U8"/>
  </rcc>
  <rcc rId="5546" sId="3">
    <oc r="V8" t="inlineStr">
      <is>
        <t>T1.10B5</t>
      </is>
    </oc>
    <nc r="V8"/>
  </rcc>
  <rcc rId="5547" sId="3">
    <oc r="W8" t="inlineStr">
      <is>
        <t>System</t>
      </is>
    </oc>
    <nc r="W8"/>
  </rcc>
  <rcc rId="5548" sId="3">
    <oc r="X8" t="inlineStr">
      <is>
        <t>CC errors on SUBT PID 1010 on all, uplink setup issue
TX/VBI/AW warnings on all, uplink setup issue
AUD2 on most</t>
      </is>
    </oc>
    <nc r="X8"/>
  </rcc>
  <rcc rId="5549" sId="3" numFmtId="19">
    <oc r="A9">
      <v>41583</v>
    </oc>
    <nc r="A9"/>
  </rcc>
  <rcc rId="5550" sId="3">
    <oc r="B9">
      <v>10</v>
    </oc>
    <nc r="B9"/>
  </rcc>
  <rcc rId="5551" sId="3">
    <oc r="C9">
      <v>2</v>
    </oc>
    <nc r="C9"/>
  </rcc>
  <rcc rId="5552" sId="3">
    <oc r="D9">
      <v>16</v>
    </oc>
    <nc r="D9"/>
  </rcc>
  <rcc rId="5553" sId="3">
    <oc r="E9">
      <v>4</v>
    </oc>
    <nc r="E9"/>
  </rcc>
  <rcc rId="5554" sId="3">
    <oc r="F9">
      <v>14</v>
    </oc>
    <nc r="F9"/>
  </rcc>
  <rcc rId="5555" sId="3">
    <oc r="G9">
      <v>17</v>
    </oc>
    <nc r="G9"/>
  </rcc>
  <rcc rId="5556" sId="3">
    <oc r="H9">
      <v>17</v>
    </oc>
    <nc r="H9"/>
  </rcc>
  <rcc rId="5557" sId="3">
    <oc r="I9">
      <v>17</v>
    </oc>
    <nc r="I9"/>
  </rcc>
  <rcc rId="5558" sId="3">
    <oc r="J9">
      <v>17</v>
    </oc>
    <nc r="J9"/>
  </rcc>
  <rcc rId="5559" sId="3">
    <oc r="K9">
      <v>33</v>
    </oc>
    <nc r="K9"/>
  </rcc>
  <rcc rId="5560" sId="3">
    <oc r="L9">
      <v>33</v>
    </oc>
    <nc r="L9"/>
  </rcc>
  <rcc rId="5561" sId="3">
    <oc r="M9">
      <v>33</v>
    </oc>
    <nc r="M9"/>
  </rcc>
  <rcc rId="5562" sId="3">
    <oc r="N9">
      <v>33</v>
    </oc>
    <nc r="N9"/>
  </rcc>
  <rcc rId="5563" sId="3">
    <oc r="O9">
      <v>6</v>
    </oc>
    <nc r="O9"/>
  </rcc>
  <rcc rId="5564" sId="3">
    <oc r="P9">
      <v>6</v>
    </oc>
    <nc r="P9"/>
  </rcc>
  <rcc rId="5565" sId="3">
    <oc r="Q9">
      <v>2</v>
    </oc>
    <nc r="Q9"/>
  </rcc>
  <rcc rId="5566" sId="3">
    <oc r="R9">
      <v>9</v>
    </oc>
    <nc r="R9"/>
  </rcc>
  <rcc rId="5567" sId="3">
    <oc r="S9">
      <v>2</v>
    </oc>
    <nc r="S9"/>
  </rcc>
  <rcc rId="5568" sId="3">
    <oc r="T9">
      <v>2</v>
    </oc>
    <nc r="T9"/>
  </rcc>
  <rcc rId="5569" sId="3">
    <oc r="U9" t="inlineStr">
      <is>
        <t>Xcode</t>
      </is>
    </oc>
    <nc r="U9"/>
  </rcc>
  <rcc rId="5570" sId="3">
    <oc r="V9" t="inlineStr">
      <is>
        <t>T1.10B5</t>
      </is>
    </oc>
    <nc r="V9"/>
  </rcc>
  <rcc rId="5571" sId="3">
    <oc r="W9" t="inlineStr">
      <is>
        <t>Pass</t>
      </is>
    </oc>
    <nc r="W9"/>
  </rcc>
  <rcc rId="5572" sId="3">
    <oc r="X9" t="inlineStr">
      <is>
        <t>CSCue55282: FE co-timed with MC
MPE warnings on most, uplink issue
CC errors on VBI PID 1944 co-timed on all, uplink issue
AUD2 on most</t>
      </is>
    </oc>
    <nc r="X9"/>
  </rcc>
  <rcc rId="5573" sId="3" numFmtId="19">
    <oc r="A10">
      <v>41584</v>
    </oc>
    <nc r="A10"/>
  </rcc>
  <rcc rId="5574" sId="3">
    <oc r="B10">
      <v>8</v>
    </oc>
    <nc r="B10"/>
  </rcc>
  <rcc rId="5575" sId="3">
    <oc r="C10">
      <v>17</v>
    </oc>
    <nc r="C10"/>
  </rcc>
  <rcc rId="5576" sId="3">
    <oc r="D10">
      <v>25</v>
    </oc>
    <nc r="D10"/>
  </rcc>
  <rcc rId="5577" sId="3">
    <oc r="E10">
      <v>23</v>
    </oc>
    <nc r="E10"/>
  </rcc>
  <rcc rId="5578" sId="3">
    <oc r="F10">
      <v>0</v>
    </oc>
    <nc r="F10"/>
  </rcc>
  <rcc rId="5579" sId="3">
    <oc r="G10">
      <v>16</v>
    </oc>
    <nc r="G10"/>
  </rcc>
  <rcc rId="5580" sId="3">
    <oc r="H10">
      <v>16</v>
    </oc>
    <nc r="H10"/>
  </rcc>
  <rcc rId="5581" sId="3">
    <oc r="I10">
      <v>16</v>
    </oc>
    <nc r="I10"/>
  </rcc>
  <rcc rId="5582" sId="3">
    <oc r="J10">
      <v>16</v>
    </oc>
    <nc r="J10"/>
  </rcc>
  <rcc rId="5583" sId="3">
    <oc r="K10">
      <v>20</v>
    </oc>
    <nc r="K10"/>
  </rcc>
  <rcc rId="5584" sId="3">
    <oc r="L10">
      <v>20</v>
    </oc>
    <nc r="L10"/>
  </rcc>
  <rcc rId="5585" sId="3">
    <oc r="M10">
      <v>20</v>
    </oc>
    <nc r="M10"/>
  </rcc>
  <rcc rId="5586" sId="3">
    <oc r="N10">
      <v>20</v>
    </oc>
    <nc r="N10"/>
  </rcc>
  <rcc rId="5587" sId="3">
    <oc r="O10">
      <v>7</v>
    </oc>
    <nc r="O10"/>
  </rcc>
  <rcc rId="5588" sId="3">
    <oc r="P10">
      <v>7</v>
    </oc>
    <nc r="P10"/>
  </rcc>
  <rcc rId="5589" sId="3">
    <oc r="Q10">
      <v>0</v>
    </oc>
    <nc r="Q10"/>
  </rcc>
  <rcc rId="5590" sId="3">
    <oc r="R10">
      <v>0</v>
    </oc>
    <nc r="R10"/>
  </rcc>
  <rcc rId="5591" sId="3">
    <oc r="S10">
      <v>2</v>
    </oc>
    <nc r="S10"/>
  </rcc>
  <rcc rId="5592" sId="3">
    <oc r="T10">
      <v>2</v>
    </oc>
    <nc r="T10"/>
  </rcc>
  <rcc rId="5593" sId="3">
    <oc r="U10" t="inlineStr">
      <is>
        <t>Xcode</t>
      </is>
    </oc>
    <nc r="U10"/>
  </rcc>
  <rcc rId="5594" sId="3">
    <oc r="V10" t="inlineStr">
      <is>
        <t>T1.10B5</t>
      </is>
    </oc>
    <nc r="V10"/>
  </rcc>
  <rcc rId="5595" sId="3">
    <oc r="W10" t="inlineStr">
      <is>
        <t>Pass</t>
      </is>
    </oc>
    <nc r="W10"/>
  </rcc>
  <rcc rId="5596" sId="3">
    <oc r="X10" t="inlineStr">
      <is>
        <t>1 unit has PE4 not authorized, UA not authorized
I unit has PE2-8 not available, unit configuration issue
VBI warnings on all units,  uplink setup known issue due to the delivery method at the source.</t>
      </is>
    </oc>
    <nc r="X10"/>
  </rcc>
  <rcc rId="5597" sId="3" numFmtId="19">
    <oc r="A11">
      <v>41585</v>
    </oc>
    <nc r="A11"/>
  </rcc>
  <rcc rId="5598" sId="3">
    <oc r="B11">
      <v>9</v>
    </oc>
    <nc r="B11"/>
  </rcc>
  <rcc rId="5599" sId="3">
    <oc r="C11">
      <v>18</v>
    </oc>
    <nc r="C11"/>
  </rcc>
  <rcc rId="5600" sId="3">
    <oc r="D11">
      <v>28</v>
    </oc>
    <nc r="D11"/>
  </rcc>
  <rcc rId="5601" sId="3">
    <oc r="E11">
      <v>44</v>
    </oc>
    <nc r="E11"/>
  </rcc>
  <rcc rId="5602" sId="3">
    <oc r="F11">
      <v>0</v>
    </oc>
    <nc r="F11"/>
  </rcc>
  <rcc rId="5603" sId="3">
    <oc r="G11">
      <v>1</v>
    </oc>
    <nc r="G11"/>
  </rcc>
  <rcc rId="5604" sId="3">
    <oc r="H11">
      <v>1</v>
    </oc>
    <nc r="H11"/>
  </rcc>
  <rcc rId="5605" sId="3">
    <oc r="I11">
      <v>1</v>
    </oc>
    <nc r="I11"/>
  </rcc>
  <rcc rId="5606" sId="3">
    <oc r="J11">
      <v>1</v>
    </oc>
    <nc r="J11"/>
  </rcc>
  <rcc rId="5607" sId="3">
    <oc r="K11">
      <v>5</v>
    </oc>
    <nc r="K11"/>
  </rcc>
  <rcc rId="5608" sId="3">
    <oc r="L11">
      <v>5</v>
    </oc>
    <nc r="L11"/>
  </rcc>
  <rcc rId="5609" sId="3">
    <oc r="M11">
      <v>5</v>
    </oc>
    <nc r="M11"/>
  </rcc>
  <rcc rId="5610" sId="3">
    <oc r="N11">
      <v>5</v>
    </oc>
    <nc r="N11"/>
  </rcc>
  <rcc rId="5611" sId="3">
    <oc r="O11">
      <v>6</v>
    </oc>
    <nc r="O11"/>
  </rcc>
  <rcc rId="5612" sId="3">
    <oc r="P11">
      <v>0</v>
    </oc>
    <nc r="P11"/>
  </rcc>
  <rcc rId="5613" sId="3">
    <oc r="Q11">
      <v>0</v>
    </oc>
    <nc r="Q11"/>
  </rcc>
  <rcc rId="5614" sId="3">
    <oc r="R11">
      <v>0</v>
    </oc>
    <nc r="R11"/>
  </rcc>
  <rcc rId="5615" sId="3">
    <oc r="S11">
      <v>2</v>
    </oc>
    <nc r="S11"/>
  </rcc>
  <rcc rId="5616" sId="3">
    <oc r="T11">
      <v>2</v>
    </oc>
    <nc r="T11"/>
  </rcc>
  <rcc rId="5617" sId="3">
    <oc r="U11" t="inlineStr">
      <is>
        <t>Xcode</t>
      </is>
    </oc>
    <nc r="U11"/>
  </rcc>
  <rcc rId="5618" sId="3">
    <oc r="V11" t="inlineStr">
      <is>
        <t>T1.10B5</t>
      </is>
    </oc>
    <nc r="V11"/>
  </rcc>
  <rcc rId="5619" sId="3">
    <oc r="W11" t="inlineStr">
      <is>
        <t>Pass</t>
      </is>
    </oc>
    <nc r="W11"/>
  </rcc>
  <rcc rId="5620" sId="3">
    <oc r="X11" t="inlineStr">
      <is>
        <t>CSCuh25144: VID on 1
TMG: TMG_STATTHREAD_CL::CheckIntraInterScoresFailure on 1
CC errors on SUBT PID 603 co-timed on all, uplink issue</t>
      </is>
    </oc>
    <nc r="X11"/>
  </rcc>
  <rcc rId="5621" sId="3" numFmtId="19">
    <oc r="A12">
      <v>41586</v>
    </oc>
    <nc r="A12"/>
  </rcc>
  <rcc rId="5622" sId="3">
    <oc r="B12">
      <v>4</v>
    </oc>
    <nc r="B12"/>
  </rcc>
  <rcc rId="5623" sId="3">
    <oc r="C12">
      <v>6</v>
    </oc>
    <nc r="C12"/>
  </rcc>
  <rcc rId="5624" sId="3">
    <oc r="D12">
      <v>38</v>
    </oc>
    <nc r="D12"/>
  </rcc>
  <rcc rId="5625" sId="3">
    <oc r="E12">
      <v>44</v>
    </oc>
    <nc r="E12"/>
  </rcc>
  <rcc rId="5626" sId="3">
    <oc r="F12">
      <v>0</v>
    </oc>
    <nc r="F12"/>
  </rcc>
  <rcc rId="5627" sId="3">
    <oc r="G12">
      <v>37</v>
    </oc>
    <nc r="G12"/>
  </rcc>
  <rcc rId="5628" sId="3">
    <oc r="H12">
      <v>37</v>
    </oc>
    <nc r="H12"/>
  </rcc>
  <rcc rId="5629" sId="3">
    <oc r="I12">
      <v>37</v>
    </oc>
    <nc r="I12"/>
  </rcc>
  <rcc rId="5630" sId="3">
    <oc r="J12">
      <v>37</v>
    </oc>
    <nc r="J12"/>
  </rcc>
  <rcc rId="5631" sId="3">
    <oc r="K12">
      <v>37</v>
    </oc>
    <nc r="K12"/>
  </rcc>
  <rcc rId="5632" sId="3">
    <oc r="L12">
      <v>37</v>
    </oc>
    <nc r="L12"/>
  </rcc>
  <rcc rId="5633" sId="3">
    <oc r="M12">
      <v>37</v>
    </oc>
    <nc r="M12"/>
  </rcc>
  <rcc rId="5634" sId="3">
    <oc r="N12">
      <v>37</v>
    </oc>
    <nc r="N12"/>
  </rcc>
  <rcc rId="5635" sId="3">
    <oc r="O12">
      <v>0</v>
    </oc>
    <nc r="O12"/>
  </rcc>
  <rcc rId="5636" sId="3">
    <oc r="P12">
      <v>0</v>
    </oc>
    <nc r="P12"/>
  </rcc>
  <rcc rId="5637" sId="3">
    <oc r="Q12">
      <v>0</v>
    </oc>
    <nc r="Q12"/>
  </rcc>
  <rcc rId="5638" sId="3">
    <oc r="R12">
      <v>0</v>
    </oc>
    <nc r="R12"/>
  </rcc>
  <rcc rId="5639" sId="3">
    <oc r="S12">
      <v>2</v>
    </oc>
    <nc r="S12"/>
  </rcc>
  <rcc rId="5640" sId="3">
    <oc r="T12">
      <v>2</v>
    </oc>
    <nc r="T12"/>
  </rcc>
  <rcc rId="5641" sId="3">
    <oc r="U12" t="inlineStr">
      <is>
        <t>Xcode</t>
      </is>
    </oc>
    <nc r="U12"/>
  </rcc>
  <rcc rId="5642" sId="3">
    <oc r="V12" t="inlineStr">
      <is>
        <t>T1.10B6</t>
      </is>
    </oc>
    <nc r="V12"/>
  </rcc>
  <rcc rId="5643" sId="3">
    <oc r="W12" t="inlineStr">
      <is>
        <t>C. Pass</t>
      </is>
    </oc>
    <nc r="W12"/>
  </rcc>
  <rcc rId="5644" sId="3">
    <oc r="X12" t="inlineStr">
      <is>
        <t>CSCuh61810: VID on 5
CSCuh25144: VID on 1
CC errors on VID PID 2348 co-timed with VID warnings on all, uplink issue
VID warnings co-timed on all units, uplink issue
TMG FAILURES(CheckThrottlingFailure) co-timed with TAP warnings on 9, of a failure on the Magnum device</t>
      </is>
    </oc>
    <nc r="X12"/>
  </rcc>
  <rcc rId="5645" sId="3" numFmtId="19">
    <oc r="A13">
      <v>41589</v>
    </oc>
    <nc r="A13"/>
  </rcc>
  <rcc rId="5646" sId="3">
    <oc r="B13">
      <v>3</v>
    </oc>
    <nc r="B13"/>
  </rcc>
  <rcc rId="5647" sId="3">
    <oc r="C13">
      <v>7</v>
    </oc>
    <nc r="C13"/>
  </rcc>
  <rcc rId="5648" sId="3">
    <oc r="D13">
      <v>22</v>
    </oc>
    <nc r="D13"/>
  </rcc>
  <rcc rId="5649" sId="3">
    <oc r="E13">
      <v>13</v>
    </oc>
    <nc r="E13"/>
  </rcc>
  <rcc rId="5650" sId="3">
    <oc r="F13">
      <v>13</v>
    </oc>
    <nc r="F13"/>
  </rcc>
  <rcc rId="5651" sId="3">
    <oc r="G13">
      <v>15</v>
    </oc>
    <nc r="G13"/>
  </rcc>
  <rcc rId="5652" sId="3">
    <oc r="H13">
      <v>15</v>
    </oc>
    <nc r="H13"/>
  </rcc>
  <rcc rId="5653" sId="3">
    <oc r="I13">
      <v>15</v>
    </oc>
    <nc r="I13"/>
  </rcc>
  <rcc rId="5654" sId="3">
    <oc r="J13">
      <v>15</v>
    </oc>
    <nc r="J13"/>
  </rcc>
  <rcc rId="5655" sId="3">
    <oc r="K13">
      <v>19</v>
    </oc>
    <nc r="K13"/>
  </rcc>
  <rcc rId="5656" sId="3">
    <oc r="L13">
      <v>19</v>
    </oc>
    <nc r="L13"/>
  </rcc>
  <rcc rId="5657" sId="3">
    <oc r="M13">
      <v>19</v>
    </oc>
    <nc r="M13"/>
  </rcc>
  <rcc rId="5658" sId="3">
    <oc r="N13">
      <v>19</v>
    </oc>
    <nc r="N13"/>
  </rcc>
  <rcc rId="5659" sId="3">
    <oc r="O13">
      <v>0</v>
    </oc>
    <nc r="O13"/>
  </rcc>
  <rcc rId="5660" sId="3">
    <oc r="P13">
      <v>0</v>
    </oc>
    <nc r="P13"/>
  </rcc>
  <rcc rId="5661" sId="3">
    <oc r="Q13">
      <v>4</v>
    </oc>
    <nc r="Q13"/>
  </rcc>
  <rcc rId="5662" sId="3">
    <oc r="R13">
      <v>0</v>
    </oc>
    <nc r="R13"/>
  </rcc>
  <rcc rId="5663" sId="3">
    <oc r="S13">
      <v>2</v>
    </oc>
    <nc r="S13"/>
  </rcc>
  <rcc rId="5664" sId="3">
    <oc r="T13">
      <v>2</v>
    </oc>
    <nc r="T13"/>
  </rcc>
  <rcc rId="5665" sId="3">
    <oc r="U13" t="inlineStr">
      <is>
        <t>Xcode</t>
      </is>
    </oc>
    <nc r="U13"/>
  </rcc>
  <rcc rId="5666" sId="3">
    <oc r="V13" t="inlineStr">
      <is>
        <t>T1.10B6</t>
      </is>
    </oc>
    <nc r="V13"/>
  </rcc>
  <rcc rId="5667" sId="3">
    <oc r="W13" t="inlineStr">
      <is>
        <t>Pass</t>
      </is>
    </oc>
    <nc r="W13"/>
  </rcc>
  <rcc rId="5668" sId="3">
    <oc r="X13" t="inlineStr">
      <is>
        <t>CC errors on VID PID 2148 co-timed with video hit on all units, uplink issue
CC errors on AUD1 PID 170 co-timed on all units, uplink issue
CSCuh25081: AUD2 on 7</t>
      </is>
    </oc>
    <nc r="X13"/>
  </rcc>
  <rcc rId="5669" sId="3" numFmtId="19">
    <oc r="A14">
      <v>41590</v>
    </oc>
    <nc r="A14"/>
  </rcc>
  <rcc rId="5670" sId="3">
    <oc r="B14">
      <v>16</v>
    </oc>
    <nc r="B14"/>
  </rcc>
  <rcc rId="5671" sId="3">
    <oc r="C14">
      <v>17</v>
    </oc>
    <nc r="C14"/>
  </rcc>
  <rcc rId="5672" sId="3">
    <oc r="D14">
      <v>17</v>
    </oc>
    <nc r="D14"/>
  </rcc>
  <rcc rId="5673" sId="3">
    <oc r="E14">
      <v>39</v>
    </oc>
    <nc r="E14"/>
  </rcc>
  <rcc rId="5674" sId="3">
    <oc r="F14">
      <v>13</v>
    </oc>
    <nc r="F14"/>
  </rcc>
  <rcc rId="5675" sId="3">
    <oc r="G14">
      <v>13</v>
    </oc>
    <nc r="G14"/>
  </rcc>
  <rcc rId="5676" sId="3">
    <oc r="H14">
      <v>13</v>
    </oc>
    <nc r="H14"/>
  </rcc>
  <rcc rId="5677" sId="3">
    <oc r="I14">
      <v>13</v>
    </oc>
    <nc r="I14"/>
  </rcc>
  <rcc rId="5678" sId="3">
    <oc r="J14">
      <v>13</v>
    </oc>
    <nc r="J14"/>
  </rcc>
  <rcc rId="5679" sId="3">
    <oc r="K14">
      <v>13</v>
    </oc>
    <nc r="K14"/>
  </rcc>
  <rcc rId="5680" sId="3">
    <oc r="L14">
      <v>13</v>
    </oc>
    <nc r="L14"/>
  </rcc>
  <rcc rId="5681" sId="3">
    <oc r="M14" t="inlineStr">
      <is>
        <t>no</t>
      </is>
    </oc>
    <nc r="M14"/>
  </rcc>
  <rcc rId="5682" sId="3">
    <oc r="N14" t="inlineStr">
      <is>
        <t>no</t>
      </is>
    </oc>
    <nc r="N14"/>
  </rcc>
  <rcc rId="5683" sId="3">
    <oc r="O14">
      <v>8</v>
    </oc>
    <nc r="O14"/>
  </rcc>
  <rcc rId="5684" sId="3">
    <oc r="P14">
      <v>6</v>
    </oc>
    <nc r="P14"/>
  </rcc>
  <rcc rId="5685" sId="3">
    <oc r="Q14" t="inlineStr">
      <is>
        <t>no</t>
      </is>
    </oc>
    <nc r="Q14"/>
  </rcc>
  <rcc rId="5686" sId="3">
    <oc r="R14">
      <v>6</v>
    </oc>
    <nc r="R14"/>
  </rcc>
  <rcc rId="5687" sId="3">
    <oc r="S14">
      <v>2</v>
    </oc>
    <nc r="S14"/>
  </rcc>
  <rcc rId="5688" sId="3">
    <oc r="T14">
      <v>2</v>
    </oc>
    <nc r="T14"/>
  </rcc>
  <rcc rId="5689" sId="3">
    <oc r="U14" t="inlineStr">
      <is>
        <t>Xcode</t>
      </is>
    </oc>
    <nc r="U14"/>
  </rcc>
  <rcc rId="5690" sId="3">
    <oc r="V14" t="inlineStr">
      <is>
        <t>T1.10B6</t>
      </is>
    </oc>
    <nc r="V14"/>
  </rcc>
  <rcc rId="5691" sId="3">
    <oc r="W14" t="inlineStr">
      <is>
        <t>Pass</t>
      </is>
    </oc>
    <nc r="W14"/>
  </rcc>
  <rcc rId="5692" sId="3">
    <oc r="X14" t="inlineStr">
      <is>
        <t>CC errors on VBI PID 106 co-timed on all units, uplink issue
TX buffer overflow on VID PID 100 co-timed with video hits on 5 out of 26</t>
      </is>
    </oc>
    <nc r="X14"/>
  </rcc>
  <rcc rId="5693" sId="3" numFmtId="19">
    <oc r="A15">
      <v>41591</v>
    </oc>
    <nc r="A15"/>
  </rcc>
  <rcc rId="5694" sId="3">
    <oc r="B15">
      <v>19</v>
    </oc>
    <nc r="B15"/>
  </rcc>
  <rcc rId="5695" sId="3">
    <oc r="C15">
      <v>2</v>
    </oc>
    <nc r="C15"/>
  </rcc>
  <rcc rId="5696" sId="3">
    <oc r="D15">
      <v>33</v>
    </oc>
    <nc r="D15"/>
  </rcc>
  <rcc rId="5697" sId="3">
    <oc r="E15">
      <v>48</v>
    </oc>
    <nc r="E15"/>
  </rcc>
  <rcc rId="5698" sId="3">
    <oc r="F15">
      <v>0</v>
    </oc>
    <nc r="F15"/>
  </rcc>
  <rcc rId="5699" sId="3">
    <oc r="G15">
      <v>6</v>
    </oc>
    <nc r="G15"/>
  </rcc>
  <rcc rId="5700" sId="3">
    <oc r="H15">
      <v>6</v>
    </oc>
    <nc r="H15"/>
  </rcc>
  <rcc rId="5701" sId="3">
    <oc r="I15">
      <v>6</v>
    </oc>
    <nc r="I15"/>
  </rcc>
  <rcc rId="5702" sId="3">
    <oc r="J15">
      <v>6</v>
    </oc>
    <nc r="J15"/>
  </rcc>
  <rcc rId="5703" sId="3">
    <oc r="K15">
      <v>6</v>
    </oc>
    <nc r="K15"/>
  </rcc>
  <rcc rId="5704" sId="3">
    <oc r="L15">
      <v>6</v>
    </oc>
    <nc r="L15"/>
  </rcc>
  <rcc rId="5705" sId="3">
    <oc r="M15" t="inlineStr">
      <is>
        <t>no</t>
      </is>
    </oc>
    <nc r="M15"/>
  </rcc>
  <rcc rId="5706" sId="3">
    <oc r="N15" t="inlineStr">
      <is>
        <t>no</t>
      </is>
    </oc>
    <nc r="N15"/>
  </rcc>
  <rcc rId="5707" sId="3">
    <oc r="O15">
      <v>0</v>
    </oc>
    <nc r="O15"/>
  </rcc>
  <rcc rId="5708" sId="3">
    <oc r="P15">
      <v>0</v>
    </oc>
    <nc r="P15"/>
  </rcc>
  <rcc rId="5709" sId="3">
    <oc r="Q15">
      <v>1</v>
    </oc>
    <nc r="Q15"/>
  </rcc>
  <rcc rId="5710" sId="3">
    <oc r="R15">
      <v>0</v>
    </oc>
    <nc r="R15"/>
  </rcc>
  <rcc rId="5711" sId="3">
    <oc r="S15">
      <v>2</v>
    </oc>
    <nc r="S15"/>
  </rcc>
  <rcc rId="5712" sId="3">
    <oc r="T15">
      <v>2</v>
    </oc>
    <nc r="T15"/>
  </rcc>
  <rcc rId="5713" sId="3">
    <oc r="U15" t="inlineStr">
      <is>
        <t>Xcode</t>
      </is>
    </oc>
    <nc r="U15"/>
  </rcc>
  <rcc rId="5714" sId="3">
    <oc r="V15" t="inlineStr">
      <is>
        <t>T1.10B6</t>
      </is>
    </oc>
    <nc r="V15"/>
  </rcc>
  <rcc rId="5715" sId="3">
    <oc r="W15" t="inlineStr">
      <is>
        <t>Pass</t>
      </is>
    </oc>
    <nc r="W15"/>
  </rcc>
  <rcc rId="5716" sId="3">
    <oc r="X15" t="inlineStr">
      <is>
        <r>
          <t xml:space="preserve">CSCuh25144: VID on 1
CC errors on LSD PID 3340 co-timed on all, uplink issue
</t>
        </r>
        <r>
          <rPr>
            <sz val="9"/>
            <color rgb="FFFF0000"/>
            <rFont val="Calibri"/>
            <family val="2"/>
          </rPr>
          <t>JIRA-205:MDL RESET on PE4/5 on 1, Pomelo + P25.2</t>
        </r>
        <r>
          <rPr>
            <sz val="9"/>
            <rFont val="Calibri"/>
            <family val="2"/>
          </rPr>
          <t xml:space="preserve">
TMG(CheckUnsInOverflowFailure) on 3</t>
        </r>
      </is>
    </oc>
    <nc r="X15"/>
  </rcc>
  <rcc rId="5717" sId="3" numFmtId="19">
    <oc r="A16">
      <v>41592</v>
    </oc>
    <nc r="A16"/>
  </rcc>
  <rcc rId="5718" sId="3">
    <oc r="B16">
      <v>5</v>
    </oc>
    <nc r="B16"/>
  </rcc>
  <rcc rId="5719" sId="3">
    <oc r="C16">
      <v>17</v>
    </oc>
    <nc r="C16"/>
  </rcc>
  <rcc rId="5720" sId="3">
    <oc r="D16">
      <v>46</v>
    </oc>
    <nc r="D16"/>
  </rcc>
  <rcc rId="5721" sId="3">
    <oc r="E16">
      <v>39</v>
    </oc>
    <nc r="E16"/>
  </rcc>
  <rcc rId="5722" sId="3">
    <oc r="F16">
      <v>0</v>
    </oc>
    <nc r="F16"/>
  </rcc>
  <rcc rId="5723" sId="3">
    <oc r="G16">
      <v>25</v>
    </oc>
    <nc r="G16"/>
  </rcc>
  <rcc rId="5724" sId="3">
    <oc r="H16">
      <v>25</v>
    </oc>
    <nc r="H16"/>
  </rcc>
  <rcc rId="5725" sId="3">
    <oc r="I16">
      <v>25</v>
    </oc>
    <nc r="I16"/>
  </rcc>
  <rcc rId="5726" sId="3">
    <oc r="J16">
      <v>25</v>
    </oc>
    <nc r="J16"/>
  </rcc>
  <rcc rId="5727" sId="3">
    <oc r="K16">
      <v>25</v>
    </oc>
    <nc r="K16"/>
  </rcc>
  <rcc rId="5728" sId="3">
    <oc r="L16">
      <v>25</v>
    </oc>
    <nc r="L16"/>
  </rcc>
  <rcc rId="5729" sId="3">
    <oc r="M16" t="inlineStr">
      <is>
        <t>no</t>
      </is>
    </oc>
    <nc r="M16"/>
  </rcc>
  <rcc rId="5730" sId="3">
    <oc r="N16" t="inlineStr">
      <is>
        <t>no</t>
      </is>
    </oc>
    <nc r="N16"/>
  </rcc>
  <rcc rId="5731" sId="3">
    <oc r="O16">
      <v>8</v>
    </oc>
    <nc r="O16"/>
  </rcc>
  <rcc rId="5732" sId="3">
    <oc r="P16">
      <v>0</v>
    </oc>
    <nc r="P16"/>
  </rcc>
  <rcc rId="5733" sId="3">
    <oc r="Q16">
      <v>0</v>
    </oc>
    <nc r="Q16"/>
  </rcc>
  <rcc rId="5734" sId="3">
    <oc r="R16">
      <v>0</v>
    </oc>
    <nc r="R16"/>
  </rcc>
  <rcc rId="5735" sId="3">
    <oc r="S16">
      <v>2</v>
    </oc>
    <nc r="S16"/>
  </rcc>
  <rcc rId="5736" sId="3">
    <oc r="T16">
      <v>2</v>
    </oc>
    <nc r="T16"/>
  </rcc>
  <rcc rId="5737" sId="3">
    <oc r="U16" t="inlineStr">
      <is>
        <t>Xcode</t>
      </is>
    </oc>
    <nc r="U16"/>
  </rcc>
  <rcc rId="5738" sId="3">
    <oc r="V16" t="inlineStr">
      <is>
        <t>T1.10B6</t>
      </is>
    </oc>
    <nc r="V16"/>
  </rcc>
  <rcc rId="5739" sId="3">
    <oc r="W16" t="inlineStr">
      <is>
        <t>Pass</t>
      </is>
    </oc>
    <nc r="W16"/>
  </rcc>
  <rcc rId="5740" sId="3">
    <oc r="X16" t="inlineStr">
      <is>
        <t>TX buffer overflow on VID PID co-timed with vid hits on 5 of 26, vid bit rate@25Mbps
CSCuh25144: VID on 1
1 unit has PE4 with no authorization</t>
      </is>
    </oc>
    <nc r="X16"/>
  </rcc>
  <rcc rId="5741" sId="3" numFmtId="19">
    <oc r="A17">
      <v>41593</v>
    </oc>
    <nc r="A17"/>
  </rcc>
  <rcc rId="5742" sId="3">
    <oc r="B17">
      <v>10</v>
    </oc>
    <nc r="B17"/>
  </rcc>
  <rcc rId="5743" sId="3">
    <oc r="C17">
      <v>18</v>
    </oc>
    <nc r="C17"/>
  </rcc>
  <rcc rId="5744" sId="3">
    <oc r="D17">
      <v>48</v>
    </oc>
    <nc r="D17"/>
  </rcc>
  <rcc rId="5745" sId="3">
    <oc r="E17">
      <v>41</v>
    </oc>
    <nc r="E17"/>
  </rcc>
  <rcc rId="5746" sId="3">
    <oc r="F17">
      <v>0</v>
    </oc>
    <nc r="F17"/>
  </rcc>
  <rcc rId="5747" sId="3">
    <oc r="G17">
      <v>28</v>
    </oc>
    <nc r="G17"/>
  </rcc>
  <rcc rId="5748" sId="3">
    <oc r="H17">
      <v>28</v>
    </oc>
    <nc r="H17"/>
  </rcc>
  <rcc rId="5749" sId="3">
    <oc r="I17">
      <v>28</v>
    </oc>
    <nc r="I17"/>
  </rcc>
  <rcc rId="5750" sId="3">
    <oc r="J17">
      <v>28</v>
    </oc>
    <nc r="J17"/>
  </rcc>
  <rcc rId="5751" sId="3">
    <oc r="K17">
      <v>28</v>
    </oc>
    <nc r="K17"/>
  </rcc>
  <rcc rId="5752" sId="3">
    <oc r="L17">
      <v>28</v>
    </oc>
    <nc r="L17"/>
  </rcc>
  <rcc rId="5753" sId="3">
    <oc r="M17" t="inlineStr">
      <is>
        <t>no</t>
      </is>
    </oc>
    <nc r="M17"/>
  </rcc>
  <rcc rId="5754" sId="3">
    <oc r="N17" t="inlineStr">
      <is>
        <t>no</t>
      </is>
    </oc>
    <nc r="N17"/>
  </rcc>
  <rcc rId="5755" sId="3">
    <oc r="O17">
      <v>6</v>
    </oc>
    <nc r="O17"/>
  </rcc>
  <rcc rId="5756" sId="3">
    <oc r="P17">
      <v>5</v>
    </oc>
    <nc r="P17"/>
  </rcc>
  <rcc rId="5757" sId="3">
    <oc r="Q17">
      <v>1</v>
    </oc>
    <nc r="Q17"/>
  </rcc>
  <rcc rId="5758" sId="3">
    <oc r="R17">
      <v>6</v>
    </oc>
    <nc r="R17"/>
  </rcc>
  <rcc rId="5759" sId="3">
    <oc r="S17">
      <v>2</v>
    </oc>
    <nc r="S17"/>
  </rcc>
  <rcc rId="5760" sId="3">
    <oc r="T17">
      <v>2</v>
    </oc>
    <nc r="T17"/>
  </rcc>
  <rcc rId="5761" sId="3">
    <oc r="U17" t="inlineStr">
      <is>
        <t>Xcode</t>
      </is>
    </oc>
    <nc r="U17"/>
  </rcc>
  <rcc rId="5762" sId="3">
    <oc r="V17" t="inlineStr">
      <is>
        <t>T1.10B6</t>
      </is>
    </oc>
    <nc r="V17"/>
  </rcc>
  <rcc rId="5763" sId="3">
    <oc r="W17" t="inlineStr">
      <is>
        <t>Pass</t>
      </is>
    </oc>
    <nc r="W17"/>
  </rcc>
  <rcc rId="5764" sId="3">
    <oc r="X17" t="inlineStr">
      <is>
        <r>
          <rPr>
            <sz val="9"/>
            <color rgb="FFFF0000"/>
            <rFont val="Calibri"/>
            <family val="2"/>
          </rPr>
          <t xml:space="preserve">MDL reset on 1, known issue
TXB reset on 1 due to heartbeat msg timeout
</t>
        </r>
        <r>
          <rPr>
            <sz val="9"/>
            <rFont val="Calibri"/>
            <family val="2"/>
          </rPr>
          <t>CSCui36136: TMG on 1
TX CC errors on MPE PIDs co-timed on all , uplink issue
CSCzr06824: MPE on all, uplink source issue
TX BUFFER OVERFLOW on MPE PIDs on 6 out of 26 
CSCuh09994: IPAL assert on 8 out of 26
65: CSCuh61787 SEC/CA on 1
CSCuh25144: VID on 1</t>
        </r>
      </is>
    </oc>
    <nc r="X17"/>
  </rcc>
  <rcc rId="5765" sId="3" numFmtId="19">
    <oc r="A18">
      <v>41596</v>
    </oc>
    <nc r="A18"/>
  </rcc>
  <rcc rId="5766" sId="3">
    <oc r="B18">
      <v>14</v>
    </oc>
    <nc r="B18"/>
  </rcc>
  <rcc rId="5767" sId="3">
    <oc r="C18">
      <v>17</v>
    </oc>
    <nc r="C18"/>
  </rcc>
  <rcc rId="5768" sId="3">
    <oc r="D18">
      <v>20</v>
    </oc>
    <nc r="D18"/>
  </rcc>
  <rcc rId="5769" sId="3">
    <oc r="E18">
      <v>53</v>
    </oc>
    <nc r="E18"/>
  </rcc>
  <rcc rId="5770" sId="3">
    <oc r="F18">
      <v>0</v>
    </oc>
    <nc r="F18"/>
  </rcc>
  <rcc rId="5771" sId="3">
    <oc r="G18">
      <v>14</v>
    </oc>
    <nc r="G18"/>
  </rcc>
  <rcc rId="5772" sId="3">
    <oc r="H18">
      <v>14</v>
    </oc>
    <nc r="H18"/>
  </rcc>
  <rcc rId="5773" sId="3">
    <oc r="I18">
      <v>14</v>
    </oc>
    <nc r="I18"/>
  </rcc>
  <rcc rId="5774" sId="3">
    <oc r="J18">
      <v>14</v>
    </oc>
    <nc r="J18"/>
  </rcc>
  <rcc rId="5775" sId="3">
    <oc r="K18">
      <v>14</v>
    </oc>
    <nc r="K18"/>
  </rcc>
  <rcc rId="5776" sId="3">
    <oc r="L18">
      <v>14</v>
    </oc>
    <nc r="L18"/>
  </rcc>
  <rcc rId="5777" sId="3">
    <oc r="M18" t="inlineStr">
      <is>
        <t>no</t>
      </is>
    </oc>
    <nc r="M18"/>
  </rcc>
  <rcc rId="5778" sId="3">
    <oc r="N18" t="inlineStr">
      <is>
        <t>no</t>
      </is>
    </oc>
    <nc r="N18"/>
  </rcc>
  <rcc rId="5779" sId="3">
    <oc r="O18">
      <v>6</v>
    </oc>
    <nc r="O18"/>
  </rcc>
  <rcc rId="5780" sId="3">
    <oc r="P18">
      <v>7</v>
    </oc>
    <nc r="P18"/>
  </rcc>
  <rcc rId="5781" sId="3">
    <oc r="Q18">
      <v>3</v>
    </oc>
    <nc r="Q18"/>
  </rcc>
  <rcc rId="5782" sId="3">
    <oc r="R18">
      <v>10</v>
    </oc>
    <nc r="R18"/>
  </rcc>
  <rcc rId="5783" sId="3">
    <oc r="S18">
      <v>2</v>
    </oc>
    <nc r="S18"/>
  </rcc>
  <rcc rId="5784" sId="3">
    <oc r="T18">
      <v>2</v>
    </oc>
    <nc r="T18"/>
  </rcc>
  <rcc rId="5785" sId="3">
    <oc r="U18" t="inlineStr">
      <is>
        <t>Xcode</t>
      </is>
    </oc>
    <nc r="U18"/>
  </rcc>
  <rcc rId="5786" sId="3">
    <oc r="V18" t="inlineStr">
      <is>
        <t>T1.10B6</t>
      </is>
    </oc>
    <nc r="V18"/>
  </rcc>
  <rcc rId="5787" sId="3">
    <oc r="W18" t="inlineStr">
      <is>
        <t>Fail</t>
      </is>
    </oc>
    <nc r="W18"/>
  </rcc>
  <rcc rId="5788" sId="3">
    <oc r="X18" t="inlineStr">
      <is>
        <r>
          <rPr>
            <sz val="9"/>
            <color rgb="FFFF0000"/>
            <rFont val="Calibri"/>
            <family val="2"/>
          </rPr>
          <t>194: CSCul84769 WDOG/RESET I2C Failure on 1, which caused the transcoder cannot re-sycn and blank video on downstream</t>
        </r>
        <r>
          <rPr>
            <sz val="9"/>
            <rFont val="Calibri"/>
            <family val="2"/>
          </rPr>
          <t xml:space="preserve">
VBI warnings on all units,  uplink setup known issue due to the delivery method at the source.
TX buffer overflow on VID PID 100 co-timed with video hits on 6 out of 26 UUTs due to video bit rate @30Mpbs, known issue
MPE warnings on all units, uplink issue</t>
        </r>
      </is>
    </oc>
    <nc r="X18"/>
  </rcc>
  <rcc rId="5789" sId="3" numFmtId="19">
    <oc r="A19">
      <v>41597</v>
    </oc>
    <nc r="A19"/>
  </rcc>
  <rcc rId="5790" sId="3">
    <oc r="B19">
      <v>13</v>
    </oc>
    <nc r="B19"/>
  </rcc>
  <rcc rId="5791" sId="3">
    <oc r="C19">
      <v>17</v>
    </oc>
    <nc r="C19"/>
  </rcc>
  <rcc rId="5792" sId="3">
    <oc r="D19">
      <v>36</v>
    </oc>
    <nc r="D19"/>
  </rcc>
  <rcc rId="5793" sId="3">
    <oc r="E19">
      <v>20</v>
    </oc>
    <nc r="E19"/>
  </rcc>
  <rcc rId="5794" sId="3">
    <oc r="F19">
      <v>0</v>
    </oc>
    <nc r="F19"/>
  </rcc>
  <rcc rId="5795" sId="3">
    <oc r="G19">
      <v>3</v>
    </oc>
    <nc r="G19"/>
  </rcc>
  <rcc rId="5796" sId="3">
    <oc r="H19">
      <v>3</v>
    </oc>
    <nc r="H19"/>
  </rcc>
  <rcc rId="5797" sId="3">
    <oc r="I19">
      <v>3</v>
    </oc>
    <nc r="I19"/>
  </rcc>
  <rcc rId="5798" sId="3">
    <oc r="J19">
      <v>3</v>
    </oc>
    <nc r="J19"/>
  </rcc>
  <rcc rId="5799" sId="3">
    <oc r="K19">
      <v>7</v>
    </oc>
    <nc r="K19"/>
  </rcc>
  <rcc rId="5800" sId="3">
    <oc r="L19">
      <v>7</v>
    </oc>
    <nc r="L19"/>
  </rcc>
  <rcc rId="5801" sId="3">
    <oc r="M19" t="inlineStr">
      <is>
        <t>no</t>
      </is>
    </oc>
    <nc r="M19"/>
  </rcc>
  <rcc rId="5802" sId="3">
    <oc r="N19" t="inlineStr">
      <is>
        <t>no</t>
      </is>
    </oc>
    <nc r="N19"/>
  </rcc>
  <rcc rId="5803" sId="3">
    <oc r="O19">
      <v>4</v>
    </oc>
    <nc r="O19"/>
  </rcc>
  <rcc rId="5804" sId="3">
    <oc r="P19">
      <v>0</v>
    </oc>
    <nc r="P19"/>
  </rcc>
  <rcc rId="5805" sId="3">
    <oc r="Q19">
      <v>3</v>
    </oc>
    <nc r="Q19"/>
  </rcc>
  <rcc rId="5806" sId="3">
    <oc r="R19">
      <v>1</v>
    </oc>
    <nc r="R19"/>
  </rcc>
  <rcc rId="5807" sId="3">
    <oc r="S19">
      <v>2</v>
    </oc>
    <nc r="S19"/>
  </rcc>
  <rcc rId="5808" sId="3">
    <oc r="T19">
      <v>2</v>
    </oc>
    <nc r="T19"/>
  </rcc>
  <rcc rId="5809" sId="3">
    <oc r="U19" t="inlineStr">
      <is>
        <t>Xcode</t>
      </is>
    </oc>
    <nc r="U19"/>
  </rcc>
  <rcc rId="5810" sId="3">
    <oc r="V19" t="inlineStr">
      <is>
        <t>T1.10B6</t>
      </is>
    </oc>
    <nc r="V19"/>
  </rcc>
  <rcc rId="5811" sId="3">
    <oc r="W19" t="inlineStr">
      <is>
        <t>Pass</t>
      </is>
    </oc>
    <nc r="W19"/>
  </rcc>
  <rcc rId="5812" sId="3">
    <oc r="X19" t="inlineStr">
      <is>
        <t>CSCuh25144: VID on 1
127: CSCuj02921(??) single VID on 1(confirm with Zaidan??)</t>
      </is>
    </oc>
    <nc r="X19"/>
  </rcc>
  <rcc rId="5813" sId="3" numFmtId="19">
    <oc r="A20">
      <v>41598</v>
    </oc>
    <nc r="A20"/>
  </rcc>
  <rcc rId="5814" sId="3">
    <oc r="B20">
      <v>12</v>
    </oc>
    <nc r="B20"/>
  </rcc>
  <rcc rId="5815" sId="3">
    <oc r="C20">
      <v>17</v>
    </oc>
    <nc r="C20"/>
  </rcc>
  <rcc rId="5816" sId="3">
    <oc r="D20">
      <v>23</v>
    </oc>
    <nc r="D20"/>
  </rcc>
  <rcc rId="5817" sId="3">
    <oc r="E20">
      <v>8</v>
    </oc>
    <nc r="E20"/>
  </rcc>
  <rcc rId="5818" sId="3">
    <oc r="F20">
      <v>0</v>
    </oc>
    <nc r="F20"/>
  </rcc>
  <rcc rId="5819" sId="3">
    <oc r="G20">
      <v>15</v>
    </oc>
    <nc r="G20"/>
  </rcc>
  <rcc rId="5820" sId="3">
    <oc r="H20">
      <v>15</v>
    </oc>
    <nc r="H20"/>
  </rcc>
  <rcc rId="5821" sId="3">
    <oc r="I20">
      <v>15</v>
    </oc>
    <nc r="I20"/>
  </rcc>
  <rcc rId="5822" sId="3">
    <oc r="J20">
      <v>15</v>
    </oc>
    <nc r="J20"/>
  </rcc>
  <rcc rId="5823" sId="3">
    <oc r="K20">
      <v>19</v>
    </oc>
    <nc r="K20"/>
  </rcc>
  <rcc rId="5824" sId="3">
    <oc r="L20">
      <v>19</v>
    </oc>
    <nc r="L20"/>
  </rcc>
  <rcc rId="5825" sId="3">
    <oc r="M20" t="inlineStr">
      <is>
        <t>no</t>
      </is>
    </oc>
    <nc r="M20"/>
  </rcc>
  <rcc rId="5826" sId="3">
    <oc r="N20" t="inlineStr">
      <is>
        <t>no</t>
      </is>
    </oc>
    <nc r="N20"/>
  </rcc>
  <rcc rId="5827" sId="3">
    <oc r="O20">
      <v>4</v>
    </oc>
    <nc r="O20"/>
  </rcc>
  <rcc rId="5828" sId="3">
    <oc r="P20">
      <v>0</v>
    </oc>
    <nc r="P20"/>
  </rcc>
  <rcc rId="5829" sId="3">
    <oc r="Q20">
      <v>3</v>
    </oc>
    <nc r="Q20"/>
  </rcc>
  <rcc rId="5830" sId="3">
    <oc r="R20">
      <v>12</v>
    </oc>
    <nc r="R20"/>
  </rcc>
  <rcc rId="5831" sId="3">
    <oc r="S20">
      <v>2</v>
    </oc>
    <nc r="S20"/>
  </rcc>
  <rcc rId="5832" sId="3">
    <oc r="T20">
      <v>2</v>
    </oc>
    <nc r="T20"/>
  </rcc>
  <rcc rId="5833" sId="3">
    <oc r="U20" t="inlineStr">
      <is>
        <t>Xcode</t>
      </is>
    </oc>
    <nc r="U20"/>
  </rcc>
  <rcc rId="5834" sId="3">
    <oc r="V20" t="inlineStr">
      <is>
        <t>T1.10B6</t>
      </is>
    </oc>
    <nc r="V20"/>
  </rcc>
  <rcc rId="5835" sId="3">
    <oc r="W20" t="inlineStr">
      <is>
        <t>System</t>
      </is>
    </oc>
    <nc r="W20"/>
  </rcc>
  <rcc rId="5836" sId="3">
    <oc r="X20" t="inlineStr">
      <is>
        <t>CSCue55282: FE co-timed with MC
MPE warnings on all, uplink issue
TX buffer overflow on VID PID 100 co-timed with video hits on 2 out of 26 UUTs
CSCuh61779: VID(unexpected delay) on 1 of 26 
Power outage, source cannot be restored</t>
      </is>
    </oc>
    <nc r="X20"/>
  </rcc>
  <rcc rId="5837" sId="3" numFmtId="19">
    <oc r="A21">
      <v>41599</v>
    </oc>
    <nc r="A21"/>
  </rcc>
  <rcc rId="5838" sId="3">
    <oc r="B21">
      <v>12</v>
    </oc>
    <nc r="B21"/>
  </rcc>
  <rcc rId="5839" sId="3">
    <oc r="C21">
      <v>17</v>
    </oc>
    <nc r="C21"/>
  </rcc>
  <rcc rId="5840" sId="3">
    <oc r="D21">
      <v>23</v>
    </oc>
    <nc r="D21"/>
  </rcc>
  <rcc rId="5841" sId="3">
    <oc r="E21">
      <v>8</v>
    </oc>
    <nc r="E21"/>
  </rcc>
  <rcc rId="5842" sId="3">
    <oc r="F21">
      <v>0</v>
    </oc>
    <nc r="F21"/>
  </rcc>
  <rcc rId="5843" sId="3">
    <oc r="G21">
      <v>15</v>
    </oc>
    <nc r="G21"/>
  </rcc>
  <rcc rId="5844" sId="3">
    <oc r="H21">
      <v>15</v>
    </oc>
    <nc r="H21"/>
  </rcc>
  <rcc rId="5845" sId="3">
    <oc r="I21">
      <v>15</v>
    </oc>
    <nc r="I21"/>
  </rcc>
  <rcc rId="5846" sId="3">
    <oc r="J21">
      <v>15</v>
    </oc>
    <nc r="J21"/>
  </rcc>
  <rcc rId="5847" sId="3">
    <oc r="K21">
      <v>19</v>
    </oc>
    <nc r="K21"/>
  </rcc>
  <rcc rId="5848" sId="3">
    <oc r="L21">
      <v>19</v>
    </oc>
    <nc r="L21"/>
  </rcc>
  <rcc rId="5849" sId="3">
    <oc r="M21" t="inlineStr">
      <is>
        <t>no</t>
      </is>
    </oc>
    <nc r="M21"/>
  </rcc>
  <rcc rId="5850" sId="3">
    <oc r="N21" t="inlineStr">
      <is>
        <t>no</t>
      </is>
    </oc>
    <nc r="N21"/>
  </rcc>
  <rcc rId="5851" sId="3">
    <oc r="O21">
      <v>4</v>
    </oc>
    <nc r="O21"/>
  </rcc>
  <rcc rId="5852" sId="3">
    <oc r="P21">
      <v>0</v>
    </oc>
    <nc r="P21"/>
  </rcc>
  <rcc rId="5853" sId="3">
    <oc r="Q21">
      <v>3</v>
    </oc>
    <nc r="Q21"/>
  </rcc>
  <rcc rId="5854" sId="3">
    <oc r="R21">
      <v>12</v>
    </oc>
    <nc r="R21"/>
  </rcc>
  <rcc rId="5855" sId="3">
    <oc r="S21">
      <v>2</v>
    </oc>
    <nc r="S21"/>
  </rcc>
  <rcc rId="5856" sId="3">
    <oc r="T21">
      <v>2</v>
    </oc>
    <nc r="T21"/>
  </rcc>
  <rcc rId="5857" sId="3">
    <oc r="U21" t="inlineStr">
      <is>
        <t>Xcode</t>
      </is>
    </oc>
    <nc r="U21"/>
  </rcc>
  <rcc rId="5858" sId="3">
    <oc r="V21" t="inlineStr">
      <is>
        <t>T1.10B6</t>
      </is>
    </oc>
    <nc r="V21"/>
  </rcc>
  <rcc rId="5859" sId="3">
    <oc r="W21" t="inlineStr">
      <is>
        <t>Fail</t>
      </is>
    </oc>
    <nc r="W21"/>
  </rcc>
  <rcc rId="5860" sId="3">
    <oc r="X21" t="inlineStr">
      <is>
        <r>
          <rPr>
            <sz val="9"/>
            <color rgb="FFFF0000"/>
            <rFont val="Calibri"/>
            <family val="2"/>
          </rPr>
          <t>194: CSCul84769 WDOG/RESET I2C Failure on 3</t>
        </r>
        <r>
          <rPr>
            <sz val="9"/>
            <rFont val="Calibri"/>
            <family val="2"/>
          </rPr>
          <t xml:space="preserve">
MPE warnings on all, uplink issue
TX buffer overflow on VID PID 100 co-timed with video hits on 3 out of 26 UUTs</t>
        </r>
      </is>
    </oc>
    <nc r="X21"/>
  </rcc>
  <rcc rId="5861" sId="3" numFmtId="19">
    <oc r="A22">
      <v>41600</v>
    </oc>
    <nc r="A22"/>
  </rcc>
  <rcc rId="5862" sId="3">
    <oc r="B22">
      <v>12</v>
    </oc>
    <nc r="B22"/>
  </rcc>
  <rcc rId="5863" sId="3">
    <oc r="C22">
      <v>15</v>
    </oc>
    <nc r="C22"/>
  </rcc>
  <rcc rId="5864" sId="3">
    <oc r="D22">
      <v>24</v>
    </oc>
    <nc r="D22"/>
  </rcc>
  <rcc rId="5865" sId="3">
    <oc r="E22">
      <v>15</v>
    </oc>
    <nc r="E22"/>
  </rcc>
  <rcc rId="5866" sId="3">
    <oc r="F22">
      <v>0</v>
    </oc>
    <nc r="F22"/>
  </rcc>
  <rcc rId="5867" sId="3">
    <oc r="G22">
      <v>15</v>
    </oc>
    <nc r="G22"/>
  </rcc>
  <rcc rId="5868" sId="3">
    <oc r="H22">
      <v>15</v>
    </oc>
    <nc r="H22"/>
  </rcc>
  <rcc rId="5869" sId="3">
    <oc r="I22">
      <v>15</v>
    </oc>
    <nc r="I22"/>
  </rcc>
  <rcc rId="5870" sId="3">
    <oc r="J22">
      <v>15</v>
    </oc>
    <nc r="J22"/>
  </rcc>
  <rcc rId="5871" sId="3">
    <oc r="K22">
      <v>19</v>
    </oc>
    <nc r="K22"/>
  </rcc>
  <rcc rId="5872" sId="3">
    <oc r="L22">
      <v>19</v>
    </oc>
    <nc r="L22"/>
  </rcc>
  <rcc rId="5873" sId="3">
    <oc r="M22" t="inlineStr">
      <is>
        <t>no</t>
      </is>
    </oc>
    <nc r="M22"/>
  </rcc>
  <rcc rId="5874" sId="3">
    <oc r="N22" t="inlineStr">
      <is>
        <t>no</t>
      </is>
    </oc>
    <nc r="N22"/>
  </rcc>
  <rcc rId="5875" sId="3">
    <oc r="O22">
      <v>8</v>
    </oc>
    <nc r="O22"/>
  </rcc>
  <rcc rId="5876" sId="3">
    <oc r="P22">
      <v>0</v>
    </oc>
    <nc r="P22"/>
  </rcc>
  <rcc rId="5877" sId="3">
    <oc r="Q22">
      <v>4</v>
    </oc>
    <nc r="Q22"/>
  </rcc>
  <rcc rId="5878" sId="3">
    <oc r="R22">
      <v>11</v>
    </oc>
    <nc r="R22"/>
  </rcc>
  <rcc rId="5879" sId="3">
    <oc r="S22">
      <v>2</v>
    </oc>
    <nc r="S22"/>
  </rcc>
  <rcc rId="5880" sId="3">
    <oc r="T22">
      <v>2</v>
    </oc>
    <nc r="T22"/>
  </rcc>
  <rcc rId="5881" sId="3">
    <oc r="U22" t="inlineStr">
      <is>
        <t>Xcode</t>
      </is>
    </oc>
    <nc r="U22"/>
  </rcc>
  <rcc rId="5882" sId="3">
    <oc r="V22" t="inlineStr">
      <is>
        <t>T1.10B6</t>
      </is>
    </oc>
    <nc r="V22"/>
  </rcc>
  <rcc rId="5883" sId="3">
    <oc r="W22" t="inlineStr">
      <is>
        <t>Fail</t>
      </is>
    </oc>
    <nc r="W22"/>
  </rcc>
  <rcc rId="5884" sId="3">
    <oc r="X22" t="inlineStr">
      <is>
        <r>
          <rPr>
            <sz val="9"/>
            <color rgb="FFFF0000"/>
            <rFont val="Calibri"/>
            <family val="2"/>
          </rPr>
          <t>194: CSCul84769 WDOG/RESET I2C Failure on 3</t>
        </r>
        <r>
          <rPr>
            <sz val="9"/>
            <rFont val="Calibri"/>
            <family val="2"/>
          </rPr>
          <t xml:space="preserve">
CSCzr06824: MPE warnings on all, uplink system issue
CSCue55282: FE/MC on 1
CSCuh09994: IPAL ASSERT on 2</t>
        </r>
      </is>
    </oc>
    <nc r="X22"/>
  </rcc>
  <rcc rId="5885" sId="3" numFmtId="19">
    <oc r="A23">
      <v>41603</v>
    </oc>
    <nc r="A23"/>
  </rcc>
  <rcc rId="5886" sId="3">
    <oc r="B23">
      <v>12</v>
    </oc>
    <nc r="B23"/>
  </rcc>
  <rcc rId="5887" sId="3">
    <oc r="C23">
      <v>15</v>
    </oc>
    <nc r="C23"/>
  </rcc>
  <rcc rId="5888" sId="3">
    <oc r="D23">
      <v>24</v>
    </oc>
    <nc r="D23"/>
  </rcc>
  <rcc rId="5889" sId="3">
    <oc r="E23">
      <v>15</v>
    </oc>
    <nc r="E23"/>
  </rcc>
  <rcc rId="5890" sId="3">
    <oc r="F23">
      <v>0</v>
    </oc>
    <nc r="F23"/>
  </rcc>
  <rcc rId="5891" sId="3">
    <oc r="G23">
      <v>15</v>
    </oc>
    <nc r="G23"/>
  </rcc>
  <rcc rId="5892" sId="3">
    <oc r="H23">
      <v>15</v>
    </oc>
    <nc r="H23"/>
  </rcc>
  <rcc rId="5893" sId="3">
    <oc r="I23">
      <v>15</v>
    </oc>
    <nc r="I23"/>
  </rcc>
  <rcc rId="5894" sId="3">
    <oc r="J23">
      <v>15</v>
    </oc>
    <nc r="J23"/>
  </rcc>
  <rcc rId="5895" sId="3">
    <oc r="K23">
      <v>19</v>
    </oc>
    <nc r="K23"/>
  </rcc>
  <rcc rId="5896" sId="3">
    <oc r="L23">
      <v>19</v>
    </oc>
    <nc r="L23"/>
  </rcc>
  <rcc rId="5897" sId="3">
    <oc r="M23" t="inlineStr">
      <is>
        <t>no</t>
      </is>
    </oc>
    <nc r="M23"/>
  </rcc>
  <rcc rId="5898" sId="3">
    <oc r="N23" t="inlineStr">
      <is>
        <t>no</t>
      </is>
    </oc>
    <nc r="N23"/>
  </rcc>
  <rcc rId="5899" sId="3">
    <oc r="O23">
      <v>8</v>
    </oc>
    <nc r="O23"/>
  </rcc>
  <rcc rId="5900" sId="3">
    <oc r="P23">
      <v>0</v>
    </oc>
    <nc r="P23"/>
  </rcc>
  <rcc rId="5901" sId="3">
    <oc r="Q23">
      <v>4</v>
    </oc>
    <nc r="Q23"/>
  </rcc>
  <rcc rId="5902" sId="3">
    <oc r="R23">
      <v>11</v>
    </oc>
    <nc r="R23"/>
  </rcc>
  <rcc rId="5903" sId="3">
    <oc r="S23">
      <v>2</v>
    </oc>
    <nc r="S23"/>
  </rcc>
  <rcc rId="5904" sId="3">
    <oc r="T23">
      <v>2</v>
    </oc>
    <nc r="T23"/>
  </rcc>
  <rcc rId="5905" sId="3">
    <oc r="U23" t="inlineStr">
      <is>
        <t>Xcode</t>
      </is>
    </oc>
    <nc r="U23"/>
  </rcc>
  <rcc rId="5906" sId="3">
    <oc r="V23" t="inlineStr">
      <is>
        <t>T1.10B6</t>
      </is>
    </oc>
    <nc r="V23"/>
  </rcc>
  <rcc rId="5907" sId="3">
    <oc r="W23" t="inlineStr">
      <is>
        <t>Pass</t>
      </is>
    </oc>
    <nc r="W23"/>
  </rcc>
  <rcc rId="5908" sId="3">
    <oc r="X23" t="inlineStr">
      <is>
        <t>CSCzr06824: MPE warnings on all, uplink system issue
CSCuh09994: IPAL ASSERT on #113/117</t>
      </is>
    </oc>
    <nc r="X23"/>
  </rcc>
  <rcc rId="5909" sId="3" numFmtId="19">
    <oc r="A24">
      <v>41604</v>
    </oc>
    <nc r="A24"/>
  </rcc>
  <rcc rId="5910" sId="3">
    <oc r="B24">
      <v>12</v>
    </oc>
    <nc r="B24"/>
  </rcc>
  <rcc rId="5911" sId="3">
    <oc r="C24">
      <v>15</v>
    </oc>
    <nc r="C24"/>
  </rcc>
  <rcc rId="5912" sId="3">
    <oc r="D24">
      <v>24</v>
    </oc>
    <nc r="D24"/>
  </rcc>
  <rcc rId="5913" sId="3">
    <oc r="E24">
      <v>15</v>
    </oc>
    <nc r="E24"/>
  </rcc>
  <rcc rId="5914" sId="3">
    <oc r="F24">
      <v>0</v>
    </oc>
    <nc r="F24"/>
  </rcc>
  <rcc rId="5915" sId="3">
    <oc r="G24">
      <v>15</v>
    </oc>
    <nc r="G24"/>
  </rcc>
  <rcc rId="5916" sId="3">
    <oc r="H24">
      <v>15</v>
    </oc>
    <nc r="H24"/>
  </rcc>
  <rcc rId="5917" sId="3">
    <oc r="I24">
      <v>15</v>
    </oc>
    <nc r="I24"/>
  </rcc>
  <rcc rId="5918" sId="3">
    <oc r="J24">
      <v>15</v>
    </oc>
    <nc r="J24"/>
  </rcc>
  <rcc rId="5919" sId="3">
    <oc r="K24">
      <v>19</v>
    </oc>
    <nc r="K24"/>
  </rcc>
  <rcc rId="5920" sId="3">
    <oc r="L24">
      <v>19</v>
    </oc>
    <nc r="L24"/>
  </rcc>
  <rcc rId="5921" sId="3">
    <oc r="M24" t="inlineStr">
      <is>
        <t>no</t>
      </is>
    </oc>
    <nc r="M24"/>
  </rcc>
  <rcc rId="5922" sId="3">
    <oc r="N24" t="inlineStr">
      <is>
        <t>no</t>
      </is>
    </oc>
    <nc r="N24"/>
  </rcc>
  <rcc rId="5923" sId="3">
    <oc r="O24">
      <v>8</v>
    </oc>
    <nc r="O24"/>
  </rcc>
  <rcc rId="5924" sId="3">
    <oc r="P24">
      <v>0</v>
    </oc>
    <nc r="P24"/>
  </rcc>
  <rcc rId="5925" sId="3">
    <oc r="Q24">
      <v>0</v>
    </oc>
    <nc r="Q24"/>
  </rcc>
  <rcc rId="5926" sId="3">
    <oc r="R24">
      <v>0</v>
    </oc>
    <nc r="R24"/>
  </rcc>
  <rcc rId="5927" sId="3">
    <oc r="S24">
      <v>2</v>
    </oc>
    <nc r="S24"/>
  </rcc>
  <rcc rId="5928" sId="3">
    <oc r="T24">
      <v>2</v>
    </oc>
    <nc r="T24"/>
  </rcc>
  <rcc rId="5929" sId="3">
    <oc r="U24" t="inlineStr">
      <is>
        <t>Xcode</t>
      </is>
    </oc>
    <nc r="U24"/>
  </rcc>
  <rcc rId="5930" sId="3">
    <oc r="V24" t="inlineStr">
      <is>
        <t>T1.10B6</t>
      </is>
    </oc>
    <nc r="V24"/>
  </rcc>
  <rcc rId="5931" sId="3">
    <oc r="W24" t="inlineStr">
      <is>
        <t>Pass</t>
      </is>
    </oc>
    <nc r="W24"/>
  </rcc>
  <rcc rId="5932" sId="3">
    <oc r="X24" t="inlineStr">
      <is>
        <t>CSCue55282: FE/MC on .123</t>
      </is>
    </oc>
    <nc r="X24"/>
  </rcc>
  <rcc rId="5933" sId="3" numFmtId="19">
    <oc r="A25">
      <v>41605</v>
    </oc>
    <nc r="A25"/>
  </rcc>
  <rcc rId="5934" sId="3">
    <oc r="B25">
      <v>12</v>
    </oc>
    <nc r="B25"/>
  </rcc>
  <rcc rId="5935" sId="3">
    <oc r="C25">
      <v>15</v>
    </oc>
    <nc r="C25"/>
  </rcc>
  <rcc rId="5936" sId="3">
    <oc r="D25">
      <v>24</v>
    </oc>
    <nc r="D25"/>
  </rcc>
  <rcc rId="5937" sId="3">
    <oc r="E25">
      <v>15</v>
    </oc>
    <nc r="E25"/>
  </rcc>
  <rcc rId="5938" sId="3">
    <oc r="F25">
      <v>0</v>
    </oc>
    <nc r="F25"/>
  </rcc>
  <rcc rId="5939" sId="3">
    <oc r="G25">
      <v>15</v>
    </oc>
    <nc r="G25"/>
  </rcc>
  <rcc rId="5940" sId="3">
    <oc r="H25">
      <v>15</v>
    </oc>
    <nc r="H25"/>
  </rcc>
  <rcc rId="5941" sId="3">
    <oc r="I25">
      <v>15</v>
    </oc>
    <nc r="I25"/>
  </rcc>
  <rcc rId="5942" sId="3">
    <oc r="J25">
      <v>15</v>
    </oc>
    <nc r="J25"/>
  </rcc>
  <rcc rId="5943" sId="3">
    <oc r="K25">
      <v>19</v>
    </oc>
    <nc r="K25"/>
  </rcc>
  <rcc rId="5944" sId="3">
    <oc r="L25">
      <v>19</v>
    </oc>
    <nc r="L25"/>
  </rcc>
  <rcc rId="5945" sId="3">
    <oc r="M25" t="inlineStr">
      <is>
        <t>no</t>
      </is>
    </oc>
    <nc r="M25"/>
  </rcc>
  <rcc rId="5946" sId="3">
    <oc r="N25" t="inlineStr">
      <is>
        <t>no</t>
      </is>
    </oc>
    <nc r="N25"/>
  </rcc>
  <rcc rId="5947" sId="3">
    <oc r="O25">
      <v>8</v>
    </oc>
    <nc r="O25"/>
  </rcc>
  <rcc rId="5948" sId="3">
    <oc r="P25">
      <v>0</v>
    </oc>
    <nc r="P25"/>
  </rcc>
  <rcc rId="5949" sId="3">
    <oc r="Q25">
      <v>0</v>
    </oc>
    <nc r="Q25"/>
  </rcc>
  <rcc rId="5950" sId="3">
    <oc r="R25">
      <v>0</v>
    </oc>
    <nc r="R25"/>
  </rcc>
  <rcc rId="5951" sId="3">
    <oc r="S25">
      <v>2</v>
    </oc>
    <nc r="S25"/>
  </rcc>
  <rcc rId="5952" sId="3">
    <oc r="T25">
      <v>2</v>
    </oc>
    <nc r="T25"/>
  </rcc>
  <rcc rId="5953" sId="3">
    <oc r="U25" t="inlineStr">
      <is>
        <t>Xcode</t>
      </is>
    </oc>
    <nc r="U25"/>
  </rcc>
  <rcc rId="5954" sId="3">
    <oc r="V25" t="inlineStr">
      <is>
        <t>T1.10B6</t>
      </is>
    </oc>
    <nc r="V25"/>
  </rcc>
  <rcc rId="5955" sId="3">
    <oc r="W25" t="inlineStr">
      <is>
        <t>Pass</t>
      </is>
    </oc>
    <nc r="W25"/>
  </rcc>
  <rcc rId="5956" sId="3" numFmtId="19">
    <oc r="A26">
      <v>41606</v>
    </oc>
    <nc r="A26"/>
  </rcc>
  <rcc rId="5957" sId="3">
    <oc r="B26">
      <v>12</v>
    </oc>
    <nc r="B26"/>
  </rcc>
  <rcc rId="5958" sId="3">
    <oc r="C26">
      <v>15</v>
    </oc>
    <nc r="C26"/>
  </rcc>
  <rcc rId="5959" sId="3">
    <oc r="D26">
      <v>24</v>
    </oc>
    <nc r="D26"/>
  </rcc>
  <rcc rId="5960" sId="3">
    <oc r="E26">
      <v>15</v>
    </oc>
    <nc r="E26"/>
  </rcc>
  <rcc rId="5961" sId="3">
    <oc r="F26">
      <v>0</v>
    </oc>
    <nc r="F26"/>
  </rcc>
  <rcc rId="5962" sId="3">
    <oc r="G26">
      <v>15</v>
    </oc>
    <nc r="G26"/>
  </rcc>
  <rcc rId="5963" sId="3">
    <oc r="H26">
      <v>15</v>
    </oc>
    <nc r="H26"/>
  </rcc>
  <rcc rId="5964" sId="3">
    <oc r="I26">
      <v>15</v>
    </oc>
    <nc r="I26"/>
  </rcc>
  <rcc rId="5965" sId="3">
    <oc r="J26">
      <v>15</v>
    </oc>
    <nc r="J26"/>
  </rcc>
  <rcc rId="5966" sId="3">
    <oc r="K26">
      <v>19</v>
    </oc>
    <nc r="K26"/>
  </rcc>
  <rcc rId="5967" sId="3">
    <oc r="L26">
      <v>19</v>
    </oc>
    <nc r="L26"/>
  </rcc>
  <rcc rId="5968" sId="3">
    <oc r="M26" t="inlineStr">
      <is>
        <t>no</t>
      </is>
    </oc>
    <nc r="M26"/>
  </rcc>
  <rcc rId="5969" sId="3">
    <oc r="N26" t="inlineStr">
      <is>
        <t>no</t>
      </is>
    </oc>
    <nc r="N26"/>
  </rcc>
  <rcc rId="5970" sId="3">
    <oc r="O26">
      <v>8</v>
    </oc>
    <nc r="O26"/>
  </rcc>
  <rcc rId="5971" sId="3">
    <oc r="P26">
      <v>0</v>
    </oc>
    <nc r="P26"/>
  </rcc>
  <rcc rId="5972" sId="3">
    <oc r="Q26">
      <v>0</v>
    </oc>
    <nc r="Q26"/>
  </rcc>
  <rcc rId="5973" sId="3">
    <oc r="R26">
      <v>0</v>
    </oc>
    <nc r="R26"/>
  </rcc>
  <rcc rId="5974" sId="3">
    <oc r="S26">
      <v>2</v>
    </oc>
    <nc r="S26"/>
  </rcc>
  <rcc rId="5975" sId="3">
    <oc r="T26">
      <v>2</v>
    </oc>
    <nc r="T26"/>
  </rcc>
  <rcc rId="5976" sId="3">
    <oc r="U26" t="inlineStr">
      <is>
        <t>Xcode</t>
      </is>
    </oc>
    <nc r="U26"/>
  </rcc>
  <rcc rId="5977" sId="3">
    <oc r="V26" t="inlineStr">
      <is>
        <t>T1.10B6</t>
      </is>
    </oc>
    <nc r="V26"/>
  </rcc>
  <rcc rId="5978" sId="3">
    <oc r="W26" t="inlineStr">
      <is>
        <t>Pass</t>
      </is>
    </oc>
    <nc r="W26"/>
  </rcc>
  <rcc rId="5979" sId="3" numFmtId="19">
    <oc r="A27">
      <v>41607</v>
    </oc>
    <nc r="A27"/>
  </rcc>
  <rcc rId="5980" sId="3">
    <oc r="B27">
      <v>12</v>
    </oc>
    <nc r="B27"/>
  </rcc>
  <rcc rId="5981" sId="3">
    <oc r="C27">
      <v>15</v>
    </oc>
    <nc r="C27"/>
  </rcc>
  <rcc rId="5982" sId="3">
    <oc r="D27">
      <v>24</v>
    </oc>
    <nc r="D27"/>
  </rcc>
  <rcc rId="5983" sId="3">
    <oc r="E27">
      <v>15</v>
    </oc>
    <nc r="E27"/>
  </rcc>
  <rcc rId="5984" sId="3">
    <oc r="F27">
      <v>0</v>
    </oc>
    <nc r="F27"/>
  </rcc>
  <rcc rId="5985" sId="3">
    <oc r="G27">
      <v>15</v>
    </oc>
    <nc r="G27"/>
  </rcc>
  <rcc rId="5986" sId="3">
    <oc r="H27">
      <v>15</v>
    </oc>
    <nc r="H27"/>
  </rcc>
  <rcc rId="5987" sId="3">
    <oc r="I27">
      <v>15</v>
    </oc>
    <nc r="I27"/>
  </rcc>
  <rcc rId="5988" sId="3">
    <oc r="J27">
      <v>15</v>
    </oc>
    <nc r="J27"/>
  </rcc>
  <rcc rId="5989" sId="3">
    <oc r="K27">
      <v>19</v>
    </oc>
    <nc r="K27"/>
  </rcc>
  <rcc rId="5990" sId="3">
    <oc r="L27">
      <v>19</v>
    </oc>
    <nc r="L27"/>
  </rcc>
  <rcc rId="5991" sId="3">
    <oc r="M27" t="inlineStr">
      <is>
        <t>no</t>
      </is>
    </oc>
    <nc r="M27"/>
  </rcc>
  <rcc rId="5992" sId="3">
    <oc r="N27" t="inlineStr">
      <is>
        <t>no</t>
      </is>
    </oc>
    <nc r="N27"/>
  </rcc>
  <rcc rId="5993" sId="3">
    <oc r="O27">
      <v>8</v>
    </oc>
    <nc r="O27"/>
  </rcc>
  <rcc rId="5994" sId="3">
    <oc r="P27">
      <v>0</v>
    </oc>
    <nc r="P27"/>
  </rcc>
  <rcc rId="5995" sId="3">
    <oc r="Q27">
      <v>0</v>
    </oc>
    <nc r="Q27"/>
  </rcc>
  <rcc rId="5996" sId="3">
    <oc r="R27">
      <v>0</v>
    </oc>
    <nc r="R27"/>
  </rcc>
  <rcc rId="5997" sId="3">
    <oc r="S27">
      <v>2</v>
    </oc>
    <nc r="S27"/>
  </rcc>
  <rcc rId="5998" sId="3">
    <oc r="T27">
      <v>2</v>
    </oc>
    <nc r="T27"/>
  </rcc>
  <rcc rId="5999" sId="3">
    <oc r="U27" t="inlineStr">
      <is>
        <t>Xcode</t>
      </is>
    </oc>
    <nc r="U27"/>
  </rcc>
  <rcc rId="6000" sId="3">
    <oc r="V27" t="inlineStr">
      <is>
        <t>E1.10B6+ykf</t>
      </is>
    </oc>
    <nc r="V27"/>
  </rcc>
  <rcc rId="6001" sId="3">
    <oc r="W27" t="inlineStr">
      <is>
        <t>Pass</t>
      </is>
    </oc>
    <nc r="W27"/>
  </rcc>
  <rcc rId="6002" sId="3" numFmtId="19">
    <oc r="A28">
      <v>41610</v>
    </oc>
    <nc r="A28"/>
  </rcc>
  <rcc rId="6003" sId="3">
    <oc r="B28">
      <v>12</v>
    </oc>
    <nc r="B28"/>
  </rcc>
  <rcc rId="6004" sId="3">
    <oc r="C28">
      <v>15</v>
    </oc>
    <nc r="C28"/>
  </rcc>
  <rcc rId="6005" sId="3">
    <oc r="D28">
      <v>24</v>
    </oc>
    <nc r="D28"/>
  </rcc>
  <rcc rId="6006" sId="3">
    <oc r="E28">
      <v>15</v>
    </oc>
    <nc r="E28"/>
  </rcc>
  <rcc rId="6007" sId="3">
    <oc r="F28">
      <v>0</v>
    </oc>
    <nc r="F28"/>
  </rcc>
  <rcc rId="6008" sId="3">
    <oc r="G28">
      <v>15</v>
    </oc>
    <nc r="G28"/>
  </rcc>
  <rcc rId="6009" sId="3">
    <oc r="H28">
      <v>15</v>
    </oc>
    <nc r="H28"/>
  </rcc>
  <rcc rId="6010" sId="3">
    <oc r="I28">
      <v>15</v>
    </oc>
    <nc r="I28"/>
  </rcc>
  <rcc rId="6011" sId="3">
    <oc r="J28">
      <v>15</v>
    </oc>
    <nc r="J28"/>
  </rcc>
  <rcc rId="6012" sId="3">
    <oc r="K28">
      <v>19</v>
    </oc>
    <nc r="K28"/>
  </rcc>
  <rcc rId="6013" sId="3">
    <oc r="L28">
      <v>19</v>
    </oc>
    <nc r="L28"/>
  </rcc>
  <rcc rId="6014" sId="3">
    <oc r="M28" t="inlineStr">
      <is>
        <t>no</t>
      </is>
    </oc>
    <nc r="M28"/>
  </rcc>
  <rcc rId="6015" sId="3">
    <oc r="N28" t="inlineStr">
      <is>
        <t>no</t>
      </is>
    </oc>
    <nc r="N28"/>
  </rcc>
  <rcc rId="6016" sId="3">
    <oc r="O28">
      <v>8</v>
    </oc>
    <nc r="O28"/>
  </rcc>
  <rcc rId="6017" sId="3">
    <oc r="P28">
      <v>0</v>
    </oc>
    <nc r="P28"/>
  </rcc>
  <rcc rId="6018" sId="3">
    <oc r="Q28">
      <v>0</v>
    </oc>
    <nc r="Q28"/>
  </rcc>
  <rcc rId="6019" sId="3">
    <oc r="R28">
      <v>0</v>
    </oc>
    <nc r="R28"/>
  </rcc>
  <rcc rId="6020" sId="3">
    <oc r="S28">
      <v>2</v>
    </oc>
    <nc r="S28"/>
  </rcc>
  <rcc rId="6021" sId="3">
    <oc r="T28">
      <v>2</v>
    </oc>
    <nc r="T28"/>
  </rcc>
  <rcc rId="6022" sId="3">
    <oc r="U28" t="inlineStr">
      <is>
        <t>Xcode</t>
      </is>
    </oc>
    <nc r="U28"/>
  </rcc>
  <rcc rId="6023" sId="3">
    <oc r="V28" t="inlineStr">
      <is>
        <t>T1.10B7</t>
      </is>
    </oc>
    <nc r="V28"/>
  </rcc>
  <rcc rId="6024" sId="3">
    <oc r="W28" t="inlineStr">
      <is>
        <t>Pass</t>
      </is>
    </oc>
    <nc r="W28"/>
  </rcc>
  <rcc rId="6025" sId="3">
    <oc r="X28" t="inlineStr">
      <is>
        <t>CSCuh61779: VID(unexpected delay) on #121(eng build E1.10B6+ykf)</t>
      </is>
    </oc>
    <nc r="X28"/>
  </rcc>
  <rcc rId="6026" sId="3" numFmtId="19">
    <oc r="A29">
      <v>41611</v>
    </oc>
    <nc r="A29"/>
  </rcc>
  <rcc rId="6027" sId="3">
    <oc r="B29">
      <v>12</v>
    </oc>
    <nc r="B29"/>
  </rcc>
  <rcc rId="6028" sId="3">
    <oc r="C29">
      <v>15</v>
    </oc>
    <nc r="C29"/>
  </rcc>
  <rcc rId="6029" sId="3">
    <oc r="D29">
      <v>24</v>
    </oc>
    <nc r="D29"/>
  </rcc>
  <rcc rId="6030" sId="3">
    <oc r="E29">
      <v>15</v>
    </oc>
    <nc r="E29"/>
  </rcc>
  <rcc rId="6031" sId="3">
    <oc r="F29">
      <v>0</v>
    </oc>
    <nc r="F29"/>
  </rcc>
  <rcc rId="6032" sId="3">
    <oc r="G29">
      <v>15</v>
    </oc>
    <nc r="G29"/>
  </rcc>
  <rcc rId="6033" sId="3">
    <oc r="H29">
      <v>15</v>
    </oc>
    <nc r="H29"/>
  </rcc>
  <rcc rId="6034" sId="3">
    <oc r="I29">
      <v>15</v>
    </oc>
    <nc r="I29"/>
  </rcc>
  <rcc rId="6035" sId="3">
    <oc r="J29">
      <v>15</v>
    </oc>
    <nc r="J29"/>
  </rcc>
  <rcc rId="6036" sId="3">
    <oc r="K29">
      <v>19</v>
    </oc>
    <nc r="K29"/>
  </rcc>
  <rcc rId="6037" sId="3">
    <oc r="L29">
      <v>19</v>
    </oc>
    <nc r="L29"/>
  </rcc>
  <rcc rId="6038" sId="3">
    <oc r="M29" t="inlineStr">
      <is>
        <t>no</t>
      </is>
    </oc>
    <nc r="M29"/>
  </rcc>
  <rcc rId="6039" sId="3">
    <oc r="N29" t="inlineStr">
      <is>
        <t>no</t>
      </is>
    </oc>
    <nc r="N29"/>
  </rcc>
  <rcc rId="6040" sId="3">
    <oc r="O29">
      <v>8</v>
    </oc>
    <nc r="O29"/>
  </rcc>
  <rcc rId="6041" sId="3">
    <oc r="P29">
      <v>0</v>
    </oc>
    <nc r="P29"/>
  </rcc>
  <rcc rId="6042" sId="3">
    <oc r="Q29">
      <v>0</v>
    </oc>
    <nc r="Q29"/>
  </rcc>
  <rcc rId="6043" sId="3">
    <oc r="R29">
      <v>0</v>
    </oc>
    <nc r="R29"/>
  </rcc>
  <rcc rId="6044" sId="3">
    <oc r="S29">
      <v>2</v>
    </oc>
    <nc r="S29"/>
  </rcc>
  <rcc rId="6045" sId="3">
    <oc r="T29">
      <v>2</v>
    </oc>
    <nc r="T29"/>
  </rcc>
  <rcc rId="6046" sId="3">
    <oc r="U29" t="inlineStr">
      <is>
        <t>Xcode</t>
      </is>
    </oc>
    <nc r="U29"/>
  </rcc>
  <rcc rId="6047" sId="3">
    <oc r="V29" t="inlineStr">
      <is>
        <t>T1.10B7</t>
      </is>
    </oc>
    <nc r="V29"/>
  </rcc>
  <rcc rId="6048" sId="3">
    <oc r="W29" t="inlineStr">
      <is>
        <t>Pass</t>
      </is>
    </oc>
    <nc r="W29"/>
  </rcc>
  <rcc rId="6049" sId="3" numFmtId="19">
    <oc r="A30">
      <v>41612</v>
    </oc>
    <nc r="A30"/>
  </rcc>
  <rcc rId="6050" sId="3">
    <oc r="B30">
      <v>12</v>
    </oc>
    <nc r="B30"/>
  </rcc>
  <rcc rId="6051" sId="3">
    <oc r="C30">
      <v>15</v>
    </oc>
    <nc r="C30"/>
  </rcc>
  <rcc rId="6052" sId="3">
    <oc r="D30">
      <v>24</v>
    </oc>
    <nc r="D30"/>
  </rcc>
  <rcc rId="6053" sId="3">
    <oc r="E30">
      <v>15</v>
    </oc>
    <nc r="E30"/>
  </rcc>
  <rcc rId="6054" sId="3">
    <oc r="F30">
      <v>0</v>
    </oc>
    <nc r="F30"/>
  </rcc>
  <rcc rId="6055" sId="3">
    <oc r="G30">
      <v>15</v>
    </oc>
    <nc r="G30"/>
  </rcc>
  <rcc rId="6056" sId="3">
    <oc r="H30">
      <v>15</v>
    </oc>
    <nc r="H30"/>
  </rcc>
  <rcc rId="6057" sId="3">
    <oc r="I30">
      <v>15</v>
    </oc>
    <nc r="I30"/>
  </rcc>
  <rcc rId="6058" sId="3">
    <oc r="J30">
      <v>15</v>
    </oc>
    <nc r="J30"/>
  </rcc>
  <rcc rId="6059" sId="3">
    <oc r="K30">
      <v>19</v>
    </oc>
    <nc r="K30"/>
  </rcc>
  <rcc rId="6060" sId="3">
    <oc r="L30">
      <v>19</v>
    </oc>
    <nc r="L30"/>
  </rcc>
  <rcc rId="6061" sId="3">
    <oc r="M30" t="inlineStr">
      <is>
        <t>no</t>
      </is>
    </oc>
    <nc r="M30"/>
  </rcc>
  <rcc rId="6062" sId="3">
    <oc r="N30" t="inlineStr">
      <is>
        <t>no</t>
      </is>
    </oc>
    <nc r="N30"/>
  </rcc>
  <rcc rId="6063" sId="3">
    <oc r="O30">
      <v>8</v>
    </oc>
    <nc r="O30"/>
  </rcc>
  <rcc rId="6064" sId="3">
    <oc r="P30">
      <v>0</v>
    </oc>
    <nc r="P30"/>
  </rcc>
  <rcc rId="6065" sId="3">
    <oc r="Q30">
      <v>0</v>
    </oc>
    <nc r="Q30"/>
  </rcc>
  <rcc rId="6066" sId="3">
    <oc r="R30">
      <v>0</v>
    </oc>
    <nc r="R30"/>
  </rcc>
  <rcc rId="6067" sId="3">
    <oc r="S30">
      <v>2</v>
    </oc>
    <nc r="S30"/>
  </rcc>
  <rcc rId="6068" sId="3">
    <oc r="T30">
      <v>2</v>
    </oc>
    <nc r="T30"/>
  </rcc>
  <rcc rId="6069" sId="3">
    <oc r="U30" t="inlineStr">
      <is>
        <t>Xcode</t>
      </is>
    </oc>
    <nc r="U30"/>
  </rcc>
  <rcc rId="6070" sId="3">
    <oc r="V30" t="inlineStr">
      <is>
        <t>T1.10B7</t>
      </is>
    </oc>
    <nc r="V30"/>
  </rcc>
  <rcc rId="6071" sId="3">
    <oc r="W30" t="inlineStr">
      <is>
        <t>Pass</t>
      </is>
    </oc>
    <nc r="W30"/>
  </rcc>
  <rcc rId="6072" sId="3" numFmtId="19">
    <oc r="A31">
      <v>41613</v>
    </oc>
    <nc r="A31"/>
  </rcc>
  <rcc rId="6073" sId="3">
    <oc r="B31">
      <v>12</v>
    </oc>
    <nc r="B31"/>
  </rcc>
  <rcc rId="6074" sId="3">
    <oc r="C31">
      <v>15</v>
    </oc>
    <nc r="C31"/>
  </rcc>
  <rcc rId="6075" sId="3">
    <oc r="D31">
      <v>24</v>
    </oc>
    <nc r="D31"/>
  </rcc>
  <rcc rId="6076" sId="3">
    <oc r="E31">
      <v>15</v>
    </oc>
    <nc r="E31"/>
  </rcc>
  <rcc rId="6077" sId="3">
    <oc r="F31">
      <v>0</v>
    </oc>
    <nc r="F31"/>
  </rcc>
  <rcc rId="6078" sId="3">
    <oc r="G31">
      <v>15</v>
    </oc>
    <nc r="G31"/>
  </rcc>
  <rcc rId="6079" sId="3">
    <oc r="H31">
      <v>15</v>
    </oc>
    <nc r="H31"/>
  </rcc>
  <rcc rId="6080" sId="3">
    <oc r="I31">
      <v>15</v>
    </oc>
    <nc r="I31"/>
  </rcc>
  <rcc rId="6081" sId="3">
    <oc r="J31">
      <v>15</v>
    </oc>
    <nc r="J31"/>
  </rcc>
  <rcc rId="6082" sId="3">
    <oc r="K31">
      <v>19</v>
    </oc>
    <nc r="K31"/>
  </rcc>
  <rcc rId="6083" sId="3">
    <oc r="L31">
      <v>19</v>
    </oc>
    <nc r="L31"/>
  </rcc>
  <rcc rId="6084" sId="3">
    <oc r="M31" t="inlineStr">
      <is>
        <t>no</t>
      </is>
    </oc>
    <nc r="M31"/>
  </rcc>
  <rcc rId="6085" sId="3">
    <oc r="N31" t="inlineStr">
      <is>
        <t>no</t>
      </is>
    </oc>
    <nc r="N31"/>
  </rcc>
  <rcc rId="6086" sId="3">
    <oc r="O31">
      <v>8</v>
    </oc>
    <nc r="O31"/>
  </rcc>
  <rcc rId="6087" sId="3">
    <oc r="P31">
      <v>0</v>
    </oc>
    <nc r="P31"/>
  </rcc>
  <rcc rId="6088" sId="3">
    <oc r="Q31">
      <v>0</v>
    </oc>
    <nc r="Q31"/>
  </rcc>
  <rcc rId="6089" sId="3">
    <oc r="R31">
      <v>0</v>
    </oc>
    <nc r="R31"/>
  </rcc>
  <rcc rId="6090" sId="3">
    <oc r="S31">
      <v>2</v>
    </oc>
    <nc r="S31"/>
  </rcc>
  <rcc rId="6091" sId="3">
    <oc r="T31">
      <v>2</v>
    </oc>
    <nc r="T31"/>
  </rcc>
  <rcc rId="6092" sId="3">
    <oc r="U31" t="inlineStr">
      <is>
        <t>Xcode</t>
      </is>
    </oc>
    <nc r="U31"/>
  </rcc>
  <rcc rId="6093" sId="3">
    <oc r="V31" t="inlineStr">
      <is>
        <t>T1.10B7</t>
      </is>
    </oc>
    <nc r="V31"/>
  </rcc>
  <rcc rId="6094" sId="3">
    <oc r="W31" t="inlineStr">
      <is>
        <t>Pass</t>
      </is>
    </oc>
    <nc r="W31"/>
  </rcc>
  <rcc rId="6095" sId="3">
    <oc r="X31" t="inlineStr">
      <is>
        <t>TX CC errors on SUBT PID 1010 co-timed on all units cross the platforms, uplink issue
Kernel warning on 101</t>
      </is>
    </oc>
    <nc r="X31"/>
  </rcc>
  <rcc rId="6096" sId="3" numFmtId="19">
    <oc r="A32">
      <v>41614</v>
    </oc>
    <nc r="A32"/>
  </rcc>
  <rcc rId="6097" sId="3">
    <oc r="B32">
      <v>12</v>
    </oc>
    <nc r="B32"/>
  </rcc>
  <rcc rId="6098" sId="3">
    <oc r="C32">
      <v>15</v>
    </oc>
    <nc r="C32"/>
  </rcc>
  <rcc rId="6099" sId="3">
    <oc r="D32">
      <v>24</v>
    </oc>
    <nc r="D32"/>
  </rcc>
  <rcc rId="6100" sId="3">
    <oc r="E32">
      <v>15</v>
    </oc>
    <nc r="E32"/>
  </rcc>
  <rcc rId="6101" sId="3">
    <oc r="F32">
      <v>0</v>
    </oc>
    <nc r="F32"/>
  </rcc>
  <rcc rId="6102" sId="3">
    <oc r="G32">
      <v>15</v>
    </oc>
    <nc r="G32"/>
  </rcc>
  <rcc rId="6103" sId="3">
    <oc r="H32">
      <v>15</v>
    </oc>
    <nc r="H32"/>
  </rcc>
  <rcc rId="6104" sId="3">
    <oc r="I32">
      <v>15</v>
    </oc>
    <nc r="I32"/>
  </rcc>
  <rcc rId="6105" sId="3">
    <oc r="J32">
      <v>15</v>
    </oc>
    <nc r="J32"/>
  </rcc>
  <rcc rId="6106" sId="3">
    <oc r="K32">
      <v>19</v>
    </oc>
    <nc r="K32"/>
  </rcc>
  <rcc rId="6107" sId="3">
    <oc r="L32">
      <v>19</v>
    </oc>
    <nc r="L32"/>
  </rcc>
  <rcc rId="6108" sId="3">
    <oc r="M32" t="inlineStr">
      <is>
        <t>no</t>
      </is>
    </oc>
    <nc r="M32"/>
  </rcc>
  <rcc rId="6109" sId="3">
    <oc r="N32" t="inlineStr">
      <is>
        <t>no</t>
      </is>
    </oc>
    <nc r="N32"/>
  </rcc>
  <rcc rId="6110" sId="3">
    <oc r="O32">
      <v>8</v>
    </oc>
    <nc r="O32"/>
  </rcc>
  <rcc rId="6111" sId="3">
    <oc r="P32">
      <v>0</v>
    </oc>
    <nc r="P32"/>
  </rcc>
  <rcc rId="6112" sId="3">
    <oc r="Q32">
      <v>0</v>
    </oc>
    <nc r="Q32"/>
  </rcc>
  <rcc rId="6113" sId="3">
    <oc r="R32">
      <v>0</v>
    </oc>
    <nc r="R32"/>
  </rcc>
  <rcc rId="6114" sId="3">
    <oc r="S32">
      <v>2</v>
    </oc>
    <nc r="S32"/>
  </rcc>
  <rcc rId="6115" sId="3">
    <oc r="T32">
      <v>2</v>
    </oc>
    <nc r="T32"/>
  </rcc>
  <rcc rId="6116" sId="3">
    <oc r="U32" t="inlineStr">
      <is>
        <t>Xcode</t>
      </is>
    </oc>
    <nc r="U32"/>
  </rcc>
  <rcc rId="6117" sId="3">
    <oc r="V32" t="inlineStr">
      <is>
        <t>T1.10B8</t>
      </is>
    </oc>
    <nc r="V32"/>
  </rcc>
  <rcc rId="6118" sId="3">
    <oc r="W32" t="inlineStr">
      <is>
        <t>Fail</t>
      </is>
    </oc>
    <nc r="W32"/>
  </rcc>
  <rcc rId="6119" sId="3">
    <oc r="X32" t="inlineStr">
      <is>
        <r>
          <rPr>
            <sz val="9"/>
            <color rgb="FFFF0000"/>
            <rFont val="Calibri"/>
            <family val="2"/>
          </rPr>
          <t>194:CSCul84769 FE asserts/warning and then RESET on #127</t>
        </r>
        <r>
          <rPr>
            <sz val="9"/>
            <rFont val="Calibri"/>
            <family val="2"/>
          </rPr>
          <t xml:space="preserve">
Transcoder reset by request from TAPEVENT task on #101</t>
        </r>
      </is>
    </oc>
    <nc r="X32"/>
  </rcc>
  <rcc rId="6120" sId="3" numFmtId="19">
    <oc r="A33">
      <v>41617</v>
    </oc>
    <nc r="A33"/>
  </rcc>
  <rcc rId="6121" sId="3">
    <oc r="B33">
      <v>12</v>
    </oc>
    <nc r="B33"/>
  </rcc>
  <rcc rId="6122" sId="3">
    <oc r="C33">
      <v>15</v>
    </oc>
    <nc r="C33"/>
  </rcc>
  <rcc rId="6123" sId="3">
    <oc r="D33">
      <v>24</v>
    </oc>
    <nc r="D33"/>
  </rcc>
  <rcc rId="6124" sId="3">
    <oc r="E33">
      <v>15</v>
    </oc>
    <nc r="E33"/>
  </rcc>
  <rcc rId="6125" sId="3">
    <oc r="F33">
      <v>0</v>
    </oc>
    <nc r="F33"/>
  </rcc>
  <rcc rId="6126" sId="3">
    <oc r="G33">
      <v>15</v>
    </oc>
    <nc r="G33"/>
  </rcc>
  <rcc rId="6127" sId="3">
    <oc r="H33">
      <v>15</v>
    </oc>
    <nc r="H33"/>
  </rcc>
  <rcc rId="6128" sId="3">
    <oc r="I33">
      <v>15</v>
    </oc>
    <nc r="I33"/>
  </rcc>
  <rcc rId="6129" sId="3">
    <oc r="J33">
      <v>15</v>
    </oc>
    <nc r="J33"/>
  </rcc>
  <rcc rId="6130" sId="3">
    <oc r="K33">
      <v>19</v>
    </oc>
    <nc r="K33"/>
  </rcc>
  <rcc rId="6131" sId="3">
    <oc r="L33">
      <v>19</v>
    </oc>
    <nc r="L33"/>
  </rcc>
  <rcc rId="6132" sId="3">
    <oc r="M33" t="inlineStr">
      <is>
        <t>no</t>
      </is>
    </oc>
    <nc r="M33"/>
  </rcc>
  <rcc rId="6133" sId="3">
    <oc r="N33" t="inlineStr">
      <is>
        <t>no</t>
      </is>
    </oc>
    <nc r="N33"/>
  </rcc>
  <rcc rId="6134" sId="3">
    <oc r="O33">
      <v>8</v>
    </oc>
    <nc r="O33"/>
  </rcc>
  <rcc rId="6135" sId="3">
    <oc r="P33">
      <v>0</v>
    </oc>
    <nc r="P33"/>
  </rcc>
  <rcc rId="6136" sId="3">
    <oc r="Q33">
      <v>0</v>
    </oc>
    <nc r="Q33"/>
  </rcc>
  <rcc rId="6137" sId="3">
    <oc r="R33">
      <v>0</v>
    </oc>
    <nc r="R33"/>
  </rcc>
  <rcc rId="6138" sId="3">
    <oc r="S33">
      <v>2</v>
    </oc>
    <nc r="S33"/>
  </rcc>
  <rcc rId="6139" sId="3">
    <oc r="T33">
      <v>2</v>
    </oc>
    <nc r="T33"/>
  </rcc>
  <rcc rId="6140" sId="3">
    <oc r="U33" t="inlineStr">
      <is>
        <t>Xcode</t>
      </is>
    </oc>
    <nc r="U33"/>
  </rcc>
  <rcc rId="6141" sId="3">
    <oc r="V33" t="inlineStr">
      <is>
        <t>T1.10B8</t>
      </is>
    </oc>
    <nc r="V33"/>
  </rcc>
  <rcc rId="6142" sId="3">
    <oc r="W33" t="inlineStr">
      <is>
        <t>Pass</t>
      </is>
    </oc>
    <nc r="W33"/>
  </rcc>
  <rcc rId="6143" sId="3">
    <oc r="X33" t="inlineStr">
      <is>
        <t>TMG/ECC on .124 due to configuration issue, need to be reprogrammed</t>
      </is>
    </oc>
    <nc r="X33"/>
  </rcc>
  <rcc rId="6144" sId="3" numFmtId="19">
    <oc r="A34">
      <v>41618</v>
    </oc>
    <nc r="A34"/>
  </rcc>
  <rcc rId="6145" sId="3">
    <oc r="B34">
      <v>12</v>
    </oc>
    <nc r="B34"/>
  </rcc>
  <rcc rId="6146" sId="3">
    <oc r="C34">
      <v>15</v>
    </oc>
    <nc r="C34"/>
  </rcc>
  <rcc rId="6147" sId="3">
    <oc r="D34">
      <v>24</v>
    </oc>
    <nc r="D34"/>
  </rcc>
  <rcc rId="6148" sId="3">
    <oc r="E34">
      <v>15</v>
    </oc>
    <nc r="E34"/>
  </rcc>
  <rcc rId="6149" sId="3">
    <oc r="F34">
      <v>0</v>
    </oc>
    <nc r="F34"/>
  </rcc>
  <rcc rId="6150" sId="3">
    <oc r="G34">
      <v>15</v>
    </oc>
    <nc r="G34"/>
  </rcc>
  <rcc rId="6151" sId="3">
    <oc r="H34">
      <v>15</v>
    </oc>
    <nc r="H34"/>
  </rcc>
  <rcc rId="6152" sId="3">
    <oc r="I34">
      <v>15</v>
    </oc>
    <nc r="I34"/>
  </rcc>
  <rcc rId="6153" sId="3">
    <oc r="J34">
      <v>15</v>
    </oc>
    <nc r="J34"/>
  </rcc>
  <rcc rId="6154" sId="3">
    <oc r="K34">
      <v>19</v>
    </oc>
    <nc r="K34"/>
  </rcc>
  <rcc rId="6155" sId="3">
    <oc r="L34">
      <v>19</v>
    </oc>
    <nc r="L34"/>
  </rcc>
  <rcc rId="6156" sId="3">
    <oc r="M34" t="inlineStr">
      <is>
        <t>no</t>
      </is>
    </oc>
    <nc r="M34"/>
  </rcc>
  <rcc rId="6157" sId="3">
    <oc r="N34" t="inlineStr">
      <is>
        <t>no</t>
      </is>
    </oc>
    <nc r="N34"/>
  </rcc>
  <rcc rId="6158" sId="3">
    <oc r="O34">
      <v>8</v>
    </oc>
    <nc r="O34"/>
  </rcc>
  <rcc rId="6159" sId="3">
    <oc r="P34">
      <v>0</v>
    </oc>
    <nc r="P34"/>
  </rcc>
  <rcc rId="6160" sId="3">
    <oc r="Q34">
      <v>0</v>
    </oc>
    <nc r="Q34"/>
  </rcc>
  <rcc rId="6161" sId="3">
    <oc r="R34">
      <v>0</v>
    </oc>
    <nc r="R34"/>
  </rcc>
  <rcc rId="6162" sId="3">
    <oc r="S34">
      <v>2</v>
    </oc>
    <nc r="S34"/>
  </rcc>
  <rcc rId="6163" sId="3">
    <oc r="T34">
      <v>2</v>
    </oc>
    <nc r="T34"/>
  </rcc>
  <rcc rId="6164" sId="3">
    <oc r="U34" t="inlineStr">
      <is>
        <t>Xcode</t>
      </is>
    </oc>
    <nc r="U34"/>
  </rcc>
  <rcc rId="6165" sId="3">
    <oc r="V34" t="inlineStr">
      <is>
        <t>T1.10B8</t>
      </is>
    </oc>
    <nc r="V34"/>
  </rcc>
  <rcc rId="6166" sId="3">
    <oc r="W34" t="inlineStr">
      <is>
        <t>Pass</t>
      </is>
    </oc>
    <nc r="W34"/>
  </rcc>
  <rcc rId="6167" sId="3">
    <oc r="X34" t="inlineStr">
      <is>
        <t>blank video PE4/5/6 on downstream unit .224
blank video PE5/6 on downstream unit .227
this issue is due to unit configuration which is possible due to that restore completes but the writing to NVS has not finished before the unit is unplugged</t>
      </is>
    </oc>
    <nc r="X34"/>
  </rcc>
  <rcc rId="6168" sId="3" numFmtId="19">
    <oc r="A35">
      <v>41619</v>
    </oc>
    <nc r="A35"/>
  </rcc>
  <rcc rId="6169" sId="3">
    <oc r="B35">
      <v>12</v>
    </oc>
    <nc r="B35"/>
  </rcc>
  <rcc rId="6170" sId="3">
    <oc r="C35">
      <v>15</v>
    </oc>
    <nc r="C35"/>
  </rcc>
  <rcc rId="6171" sId="3">
    <oc r="D35">
      <v>24</v>
    </oc>
    <nc r="D35"/>
  </rcc>
  <rcc rId="6172" sId="3">
    <oc r="E35">
      <v>15</v>
    </oc>
    <nc r="E35"/>
  </rcc>
  <rcc rId="6173" sId="3">
    <oc r="F35">
      <v>0</v>
    </oc>
    <nc r="F35"/>
  </rcc>
  <rcc rId="6174" sId="3">
    <oc r="G35">
      <v>15</v>
    </oc>
    <nc r="G35"/>
  </rcc>
  <rcc rId="6175" sId="3">
    <oc r="H35">
      <v>15</v>
    </oc>
    <nc r="H35"/>
  </rcc>
  <rcc rId="6176" sId="3">
    <oc r="I35">
      <v>15</v>
    </oc>
    <nc r="I35"/>
  </rcc>
  <rcc rId="6177" sId="3">
    <oc r="J35">
      <v>15</v>
    </oc>
    <nc r="J35"/>
  </rcc>
  <rcc rId="6178" sId="3">
    <oc r="K35">
      <v>19</v>
    </oc>
    <nc r="K35"/>
  </rcc>
  <rcc rId="6179" sId="3">
    <oc r="L35">
      <v>19</v>
    </oc>
    <nc r="L35"/>
  </rcc>
  <rcc rId="6180" sId="3">
    <oc r="M35" t="inlineStr">
      <is>
        <t>no</t>
      </is>
    </oc>
    <nc r="M35"/>
  </rcc>
  <rcc rId="6181" sId="3">
    <oc r="N35" t="inlineStr">
      <is>
        <t>no</t>
      </is>
    </oc>
    <nc r="N35"/>
  </rcc>
  <rcc rId="6182" sId="3">
    <oc r="O35">
      <v>8</v>
    </oc>
    <nc r="O35"/>
  </rcc>
  <rcc rId="6183" sId="3">
    <oc r="P35">
      <v>0</v>
    </oc>
    <nc r="P35"/>
  </rcc>
  <rcc rId="6184" sId="3">
    <oc r="Q35">
      <v>2</v>
    </oc>
    <nc r="Q35"/>
  </rcc>
  <rcc rId="6185" sId="3">
    <oc r="R35">
      <v>6</v>
    </oc>
    <nc r="R35"/>
  </rcc>
  <rcc rId="6186" sId="3">
    <oc r="S35">
      <v>2</v>
    </oc>
    <nc r="S35"/>
  </rcc>
  <rcc rId="6187" sId="3">
    <oc r="T35">
      <v>2</v>
    </oc>
    <nc r="T35"/>
  </rcc>
  <rcc rId="6188" sId="3">
    <oc r="U35" t="inlineStr">
      <is>
        <t>Xcode</t>
      </is>
    </oc>
    <nc r="U35"/>
  </rcc>
  <rcc rId="6189" sId="3">
    <oc r="V35" t="inlineStr">
      <is>
        <t>T1.10B8</t>
      </is>
    </oc>
    <nc r="V35"/>
  </rcc>
  <rcc rId="6190" sId="3">
    <oc r="W35" t="inlineStr">
      <is>
        <t>Pass</t>
      </is>
    </oc>
    <nc r="W35"/>
  </rcc>
  <rcc rId="6191" sId="3">
    <oc r="X35" t="inlineStr">
      <is>
        <r>
          <t xml:space="preserve">TX/AW ASI output muting/unmuting due to PE7/8 no dropped as expected on .102/105
TX CC errors on SUB PID 1010 and MPE PID co-timed on all, uplink issue
TX buffer overflow on MPE PID @10Mbps which caused high rate input coming to TX
CSCuh09994: IPAL ASSERT on .107/112/113/117/118
MPE on all, known uplink system issue
</t>
        </r>
        <r>
          <rPr>
            <sz val="9"/>
            <color rgb="FFFF0000"/>
            <rFont val="Calibri"/>
            <family val="2"/>
          </rPr>
          <t>194:CSCul84769 incompleted ASSERT log msgs on .103 due to ARBL/Bus BUSY(fixed in CSCul84769), no reboot.</t>
        </r>
      </is>
    </oc>
    <nc r="X35"/>
  </rcc>
  <rcc rId="6192" sId="3" numFmtId="19">
    <oc r="A36">
      <v>41620</v>
    </oc>
    <nc r="A36"/>
  </rcc>
  <rcc rId="6193" sId="3">
    <oc r="B36">
      <v>12</v>
    </oc>
    <nc r="B36"/>
  </rcc>
  <rcc rId="6194" sId="3">
    <oc r="C36">
      <v>15</v>
    </oc>
    <nc r="C36"/>
  </rcc>
  <rcc rId="6195" sId="3">
    <oc r="D36">
      <v>24</v>
    </oc>
    <nc r="D36"/>
  </rcc>
  <rcc rId="6196" sId="3">
    <oc r="E36">
      <v>15</v>
    </oc>
    <nc r="E36"/>
  </rcc>
  <rcc rId="6197" sId="3">
    <oc r="F36">
      <v>0</v>
    </oc>
    <nc r="F36"/>
  </rcc>
  <rcc rId="6198" sId="3">
    <oc r="G36">
      <v>15</v>
    </oc>
    <nc r="G36"/>
  </rcc>
  <rcc rId="6199" sId="3">
    <oc r="H36">
      <v>15</v>
    </oc>
    <nc r="H36"/>
  </rcc>
  <rcc rId="6200" sId="3">
    <oc r="I36">
      <v>15</v>
    </oc>
    <nc r="I36"/>
  </rcc>
  <rcc rId="6201" sId="3">
    <oc r="J36">
      <v>15</v>
    </oc>
    <nc r="J36"/>
  </rcc>
  <rcc rId="6202" sId="3">
    <oc r="K36">
      <v>19</v>
    </oc>
    <nc r="K36"/>
  </rcc>
  <rcc rId="6203" sId="3">
    <oc r="L36">
      <v>19</v>
    </oc>
    <nc r="L36"/>
  </rcc>
  <rcc rId="6204" sId="3">
    <oc r="M36" t="inlineStr">
      <is>
        <t>no</t>
      </is>
    </oc>
    <nc r="M36"/>
  </rcc>
  <rcc rId="6205" sId="3">
    <oc r="N36" t="inlineStr">
      <is>
        <t>no</t>
      </is>
    </oc>
    <nc r="N36"/>
  </rcc>
  <rcc rId="6206" sId="3">
    <oc r="O36">
      <v>8</v>
    </oc>
    <nc r="O36"/>
  </rcc>
  <rcc rId="6207" sId="3">
    <oc r="P36">
      <v>0</v>
    </oc>
    <nc r="P36"/>
  </rcc>
  <rcc rId="6208" sId="3">
    <oc r="Q36">
      <v>2</v>
    </oc>
    <nc r="Q36"/>
  </rcc>
  <rcc rId="6209" sId="3">
    <oc r="R36">
      <v>6</v>
    </oc>
    <nc r="R36"/>
  </rcc>
  <rcc rId="6210" sId="3">
    <oc r="S36">
      <v>2</v>
    </oc>
    <nc r="S36"/>
  </rcc>
  <rcc rId="6211" sId="3">
    <oc r="T36">
      <v>2</v>
    </oc>
    <nc r="T36"/>
  </rcc>
  <rcc rId="6212" sId="3">
    <oc r="U36" t="inlineStr">
      <is>
        <t>Xcode</t>
      </is>
    </oc>
    <nc r="U36"/>
  </rcc>
  <rcc rId="6213" sId="3">
    <oc r="V36" t="inlineStr">
      <is>
        <t>T1.10B8</t>
      </is>
    </oc>
    <nc r="V36"/>
  </rcc>
  <rcc rId="6214" sId="3">
    <oc r="W36" t="inlineStr">
      <is>
        <t>Pass</t>
      </is>
    </oc>
    <nc r="W36"/>
  </rcc>
  <rcc rId="6215" sId="3">
    <oc r="X36" t="inlineStr">
      <is>
        <t>incomplete ASSERTs on most of comp after I2C ASSERT from last test
CSCuh09994: IPAL ASSERT on .110-112 and 115-117
MPE on all, known uplink system issue</t>
      </is>
    </oc>
    <nc r="X36"/>
  </rcc>
  <rcc rId="6216" sId="3" numFmtId="19">
    <oc r="A37">
      <v>41621</v>
    </oc>
    <nc r="A37"/>
  </rcc>
  <rcc rId="6217" sId="3">
    <oc r="B37">
      <v>12</v>
    </oc>
    <nc r="B37"/>
  </rcc>
  <rcc rId="6218" sId="3">
    <oc r="C37">
      <v>15</v>
    </oc>
    <nc r="C37"/>
  </rcc>
  <rcc rId="6219" sId="3">
    <oc r="D37">
      <v>24</v>
    </oc>
    <nc r="D37"/>
  </rcc>
  <rcc rId="6220" sId="3">
    <oc r="E37">
      <v>15</v>
    </oc>
    <nc r="E37"/>
  </rcc>
  <rcc rId="6221" sId="3">
    <oc r="F37">
      <v>0</v>
    </oc>
    <nc r="F37"/>
  </rcc>
  <rcc rId="6222" sId="3">
    <oc r="G37">
      <v>15</v>
    </oc>
    <nc r="G37"/>
  </rcc>
  <rcc rId="6223" sId="3">
    <oc r="H37">
      <v>15</v>
    </oc>
    <nc r="H37"/>
  </rcc>
  <rcc rId="6224" sId="3">
    <oc r="I37">
      <v>15</v>
    </oc>
    <nc r="I37"/>
  </rcc>
  <rcc rId="6225" sId="3">
    <oc r="J37">
      <v>15</v>
    </oc>
    <nc r="J37"/>
  </rcc>
  <rcc rId="6226" sId="3">
    <oc r="K37">
      <v>19</v>
    </oc>
    <nc r="K37"/>
  </rcc>
  <rcc rId="6227" sId="3">
    <oc r="L37">
      <v>19</v>
    </oc>
    <nc r="L37"/>
  </rcc>
  <rcc rId="6228" sId="3">
    <oc r="M37" t="inlineStr">
      <is>
        <t>no</t>
      </is>
    </oc>
    <nc r="M37"/>
  </rcc>
  <rcc rId="6229" sId="3">
    <oc r="N37" t="inlineStr">
      <is>
        <t>no</t>
      </is>
    </oc>
    <nc r="N37"/>
  </rcc>
  <rcc rId="6230" sId="3">
    <oc r="O37">
      <v>8</v>
    </oc>
    <nc r="O37"/>
  </rcc>
  <rcc rId="6231" sId="3">
    <oc r="P37">
      <v>0</v>
    </oc>
    <nc r="P37"/>
  </rcc>
  <rcc rId="6232" sId="3">
    <oc r="Q37">
      <v>2</v>
    </oc>
    <nc r="Q37"/>
  </rcc>
  <rcc rId="6233" sId="3">
    <oc r="R37">
      <v>6</v>
    </oc>
    <nc r="R37"/>
  </rcc>
  <rcc rId="6234" sId="3">
    <oc r="S37">
      <v>2</v>
    </oc>
    <nc r="S37"/>
  </rcc>
  <rcc rId="6235" sId="3">
    <oc r="T37">
      <v>2</v>
    </oc>
    <nc r="T37"/>
  </rcc>
  <rcc rId="6236" sId="3">
    <oc r="U37" t="inlineStr">
      <is>
        <t>Xcode</t>
      </is>
    </oc>
    <nc r="U37"/>
  </rcc>
  <rcc rId="6237" sId="3">
    <oc r="V37" t="inlineStr">
      <is>
        <t>T1.10B8</t>
      </is>
    </oc>
    <nc r="V37"/>
  </rcc>
  <rcc rId="6238" sId="3">
    <oc r="W37" t="inlineStr">
      <is>
        <t>Fail</t>
      </is>
    </oc>
    <nc r="W37"/>
  </rcc>
  <rcc rId="6239" sId="3">
    <oc r="X37" t="inlineStr">
      <is>
        <r>
          <t xml:space="preserve">194:CSCul84769(I2C Failure) RESET on #127 and 
</t>
        </r>
        <r>
          <rPr>
            <sz val="9"/>
            <rFont val="Calibri"/>
            <family val="2"/>
          </rPr>
          <t>CSCum55502:</t>
        </r>
        <r>
          <rPr>
            <sz val="9"/>
            <color rgb="FFFF0000"/>
            <rFont val="Calibri"/>
            <family val="2"/>
          </rPr>
          <t xml:space="preserve"> </t>
        </r>
        <r>
          <rPr>
            <sz val="9"/>
            <rFont val="Calibri"/>
            <family val="2"/>
          </rPr>
          <t>Incomplete ASSERT message on .103(eng)
CSCuh61779: VID(unexpected) on 121
CSCue55282: FE/MC on 115, not a problem
MPE on all, uplink system issue
CC errors on SUBT PID 1010 co-timed on all, uplink issue
CSCuh09994: IPAL asserts on 107~116(except for 108/111)</t>
        </r>
      </is>
    </oc>
    <nc r="X37"/>
  </rcc>
  <rcc rId="6240" sId="3" numFmtId="19">
    <oc r="A38">
      <v>41624</v>
    </oc>
    <nc r="A38"/>
  </rcc>
  <rcc rId="6241" sId="3">
    <oc r="B38">
      <v>14</v>
    </oc>
    <nc r="B38"/>
  </rcc>
  <rcc rId="6242" sId="3">
    <oc r="C38">
      <v>2</v>
    </oc>
    <nc r="C38"/>
  </rcc>
  <rcc rId="6243" sId="3">
    <oc r="D38">
      <v>28</v>
    </oc>
    <nc r="D38"/>
  </rcc>
  <rcc rId="6244" sId="3">
    <oc r="E38">
      <v>39</v>
    </oc>
    <nc r="E38"/>
  </rcc>
  <rcc rId="6245" sId="3">
    <oc r="F38">
      <v>0</v>
    </oc>
    <nc r="F38"/>
  </rcc>
  <rcc rId="6246" sId="3">
    <oc r="G38">
      <v>25</v>
    </oc>
    <nc r="G38"/>
  </rcc>
  <rcc rId="6247" sId="3">
    <oc r="H38">
      <v>25</v>
    </oc>
    <nc r="H38"/>
  </rcc>
  <rcc rId="6248" sId="3">
    <oc r="I38">
      <v>25</v>
    </oc>
    <nc r="I38"/>
  </rcc>
  <rcc rId="6249" sId="3">
    <oc r="J38">
      <v>25</v>
    </oc>
    <nc r="J38"/>
  </rcc>
  <rcc rId="6250" sId="3">
    <oc r="K38">
      <v>27</v>
    </oc>
    <nc r="K38"/>
  </rcc>
  <rcc rId="6251" sId="3">
    <oc r="L38">
      <v>27</v>
    </oc>
    <nc r="L38"/>
  </rcc>
  <rcc rId="6252" sId="3">
    <oc r="M38" t="inlineStr">
      <is>
        <t>no</t>
      </is>
    </oc>
    <nc r="M38"/>
  </rcc>
  <rcc rId="6253" sId="3">
    <oc r="N38" t="inlineStr">
      <is>
        <t>no</t>
      </is>
    </oc>
    <nc r="N38"/>
  </rcc>
  <rcc rId="6254" sId="3">
    <oc r="O38">
      <v>1</v>
    </oc>
    <nc r="O38"/>
  </rcc>
  <rcc rId="6255" sId="3">
    <oc r="P38">
      <v>0</v>
    </oc>
    <nc r="P38"/>
  </rcc>
  <rcc rId="6256" sId="3">
    <oc r="Q38">
      <v>2</v>
    </oc>
    <nc r="Q38"/>
  </rcc>
  <rcc rId="6257" sId="3">
    <oc r="R38">
      <v>0</v>
    </oc>
    <nc r="R38"/>
  </rcc>
  <rcc rId="6258" sId="3">
    <oc r="S38">
      <v>1</v>
    </oc>
    <nc r="S38"/>
  </rcc>
  <rcc rId="6259" sId="3">
    <oc r="T38">
      <v>1</v>
    </oc>
    <nc r="T38"/>
  </rcc>
  <rcc rId="6260" sId="3">
    <oc r="U38" t="inlineStr">
      <is>
        <t>Xcode</t>
      </is>
    </oc>
    <nc r="U38"/>
  </rcc>
  <rcc rId="6261" sId="3">
    <oc r="V38" t="inlineStr">
      <is>
        <t>T1.10B8</t>
      </is>
    </oc>
    <nc r="V38"/>
  </rcc>
  <rcc rId="6262" sId="3">
    <oc r="W38" t="inlineStr">
      <is>
        <t>Pass</t>
      </is>
    </oc>
    <nc r="W38"/>
  </rcc>
  <rcc rId="6263" sId="3">
    <oc r="X38" t="inlineStr">
      <is>
        <r>
          <rPr>
            <sz val="9"/>
            <rFont val="Calibri"/>
            <family val="2"/>
          </rPr>
          <t>CC errors on SUBT PID 1010 co-timed on all units, uplink issue.
CSCum55502: Incomplete ASSERTS messages on unit .103(eng)</t>
        </r>
        <r>
          <rPr>
            <sz val="9"/>
            <color rgb="FFFF0000"/>
            <rFont val="Calibri"/>
            <family val="2"/>
          </rPr>
          <t xml:space="preserve">
</t>
        </r>
      </is>
    </oc>
    <nc r="X38"/>
  </rcc>
  <rcc rId="6264" sId="3" numFmtId="19">
    <oc r="A39">
      <v>41625</v>
    </oc>
    <nc r="A39"/>
  </rcc>
  <rcc rId="6265" sId="3">
    <oc r="B39">
      <v>13</v>
    </oc>
    <nc r="B39"/>
  </rcc>
  <rcc rId="6266" sId="3">
    <oc r="C39">
      <v>2</v>
    </oc>
    <nc r="C39"/>
  </rcc>
  <rcc rId="6267" sId="3">
    <oc r="D39">
      <v>13</v>
    </oc>
    <nc r="D39"/>
  </rcc>
  <rcc rId="6268" sId="3">
    <oc r="E39">
      <v>11</v>
    </oc>
    <nc r="E39"/>
  </rcc>
  <rcc rId="6269" sId="3">
    <oc r="F39">
      <v>6</v>
    </oc>
    <nc r="F39"/>
  </rcc>
  <rcc rId="6270" sId="3">
    <oc r="G39">
      <v>11</v>
    </oc>
    <nc r="G39"/>
  </rcc>
  <rcc rId="6271" sId="3">
    <oc r="H39">
      <v>11</v>
    </oc>
    <nc r="H39"/>
  </rcc>
  <rcc rId="6272" sId="3">
    <oc r="I39">
      <v>11</v>
    </oc>
    <nc r="I39"/>
  </rcc>
  <rcc rId="6273" sId="3">
    <oc r="J39">
      <v>11</v>
    </oc>
    <nc r="J39"/>
  </rcc>
  <rcc rId="6274" sId="3">
    <oc r="K39">
      <v>12</v>
    </oc>
    <nc r="K39"/>
  </rcc>
  <rcc rId="6275" sId="3">
    <oc r="L39">
      <v>12</v>
    </oc>
    <nc r="L39"/>
  </rcc>
  <rcc rId="6276" sId="3">
    <oc r="M39">
      <v>12</v>
    </oc>
    <nc r="M39"/>
  </rcc>
  <rcc rId="6277" sId="3">
    <oc r="N39">
      <v>12</v>
    </oc>
    <nc r="N39"/>
  </rcc>
  <rcc rId="6278" sId="3">
    <oc r="O39">
      <v>3</v>
    </oc>
    <nc r="O39"/>
  </rcc>
  <rcc rId="6279" sId="3">
    <oc r="P39">
      <v>2</v>
    </oc>
    <nc r="P39"/>
  </rcc>
  <rcc rId="6280" sId="3">
    <oc r="Q39">
      <v>2</v>
    </oc>
    <nc r="Q39"/>
  </rcc>
  <rcc rId="6281" sId="3">
    <oc r="R39">
      <v>5</v>
    </oc>
    <nc r="R39"/>
  </rcc>
  <rcc rId="6282" sId="3">
    <oc r="S39">
      <v>2</v>
    </oc>
    <nc r="S39"/>
  </rcc>
  <rcc rId="6283" sId="3">
    <oc r="T39">
      <v>2</v>
    </oc>
    <nc r="T39"/>
  </rcc>
  <rcc rId="6284" sId="3">
    <oc r="U39" t="inlineStr">
      <is>
        <t>Xcode</t>
      </is>
    </oc>
    <nc r="U39"/>
  </rcc>
  <rcc rId="6285" sId="3">
    <oc r="V39" t="inlineStr">
      <is>
        <t>T1.10B9</t>
      </is>
    </oc>
    <nc r="V39"/>
  </rcc>
  <rcc rId="6286" sId="3">
    <oc r="W39" t="inlineStr">
      <is>
        <t>System</t>
      </is>
    </oc>
    <nc r="W39"/>
  </rcc>
  <rcc rId="6287" sId="3">
    <oc r="X39" t="inlineStr">
      <is>
        <r>
          <rPr>
            <sz val="9"/>
            <rFont val="Calibri"/>
            <family val="2"/>
          </rPr>
          <t>VBI and SUBT stopped due to server hanged
Incomplete ASSERTS messages on unit .129
71: CSCuh25144 VID on 120</t>
        </r>
        <r>
          <rPr>
            <sz val="9"/>
            <color rgb="FFFF0000"/>
            <rFont val="Calibri"/>
            <family val="2"/>
          </rPr>
          <t xml:space="preserve">
</t>
        </r>
        <r>
          <rPr>
            <sz val="9"/>
            <rFont val="Calibri"/>
            <family val="2"/>
          </rPr>
          <t>MPE on all, uplink system issue</t>
        </r>
      </is>
    </oc>
    <nc r="X39"/>
  </rcc>
  <rcc rId="6288" sId="3" numFmtId="19">
    <oc r="A40">
      <v>41626</v>
    </oc>
    <nc r="A40"/>
  </rcc>
  <rcc rId="6289" sId="3">
    <oc r="B40">
      <v>10</v>
    </oc>
    <nc r="B40"/>
  </rcc>
  <rcc rId="6290" sId="3">
    <oc r="C40">
      <v>2</v>
    </oc>
    <nc r="C40"/>
  </rcc>
  <rcc rId="6291" sId="3">
    <oc r="D40">
      <v>16</v>
    </oc>
    <nc r="D40"/>
  </rcc>
  <rcc rId="6292" sId="3">
    <oc r="E40">
      <v>4</v>
    </oc>
    <nc r="E40"/>
  </rcc>
  <rcc rId="6293" sId="3">
    <oc r="F40">
      <v>14</v>
    </oc>
    <nc r="F40"/>
  </rcc>
  <rcc rId="6294" sId="3">
    <oc r="G40">
      <v>13</v>
    </oc>
    <nc r="G40"/>
  </rcc>
  <rcc rId="6295" sId="3">
    <oc r="H40">
      <v>13</v>
    </oc>
    <nc r="H40"/>
  </rcc>
  <rcc rId="6296" sId="3">
    <oc r="I40">
      <v>13</v>
    </oc>
    <nc r="I40"/>
  </rcc>
  <rcc rId="6297" sId="3">
    <oc r="J40">
      <v>13</v>
    </oc>
    <nc r="J40"/>
  </rcc>
  <rcc rId="6298" sId="3">
    <oc r="K40">
      <v>17</v>
    </oc>
    <nc r="K40"/>
  </rcc>
  <rcc rId="6299" sId="3">
    <oc r="L40">
      <v>17</v>
    </oc>
    <nc r="L40"/>
  </rcc>
  <rcc rId="6300" sId="3">
    <oc r="M40">
      <v>17</v>
    </oc>
    <nc r="M40"/>
  </rcc>
  <rcc rId="6301" sId="3">
    <oc r="N40">
      <v>17</v>
    </oc>
    <nc r="N40"/>
  </rcc>
  <rcc rId="6302" sId="3">
    <oc r="O40">
      <v>6</v>
    </oc>
    <nc r="O40"/>
  </rcc>
  <rcc rId="6303" sId="3">
    <oc r="P40">
      <v>6</v>
    </oc>
    <nc r="P40"/>
  </rcc>
  <rcc rId="6304" sId="3">
    <oc r="Q40">
      <v>2</v>
    </oc>
    <nc r="Q40"/>
  </rcc>
  <rcc rId="6305" sId="3">
    <oc r="R40">
      <v>9</v>
    </oc>
    <nc r="R40"/>
  </rcc>
  <rcc rId="6306" sId="3">
    <oc r="S40">
      <v>2</v>
    </oc>
    <nc r="S40"/>
  </rcc>
  <rcc rId="6307" sId="3">
    <oc r="T40">
      <v>2</v>
    </oc>
    <nc r="T40"/>
  </rcc>
  <rcc rId="6308" sId="3">
    <oc r="U40" t="inlineStr">
      <is>
        <t>Xcode</t>
      </is>
    </oc>
    <nc r="U40"/>
  </rcc>
  <rcc rId="6309" sId="3">
    <oc r="V40" t="inlineStr">
      <is>
        <t>T1.10B9</t>
      </is>
    </oc>
    <nc r="V40"/>
  </rcc>
  <rcc rId="6310" sId="3">
    <oc r="W40" t="inlineStr">
      <is>
        <t>System</t>
      </is>
    </oc>
    <nc r="W40"/>
  </rcc>
  <rcc rId="6311" sId="3">
    <oc r="X40" t="inlineStr">
      <is>
        <t>Frozen video output, rogers box down</t>
      </is>
    </oc>
    <nc r="X40"/>
  </rcc>
  <rcc rId="6312" sId="3" numFmtId="19">
    <oc r="A41">
      <v>41627</v>
    </oc>
    <nc r="A41"/>
  </rcc>
  <rcc rId="6313" sId="3">
    <oc r="B41">
      <v>8</v>
    </oc>
    <nc r="B41"/>
  </rcc>
  <rcc rId="6314" sId="3">
    <oc r="C41">
      <v>17</v>
    </oc>
    <nc r="C41"/>
  </rcc>
  <rcc rId="6315" sId="3">
    <oc r="D41">
      <v>25</v>
    </oc>
    <nc r="D41"/>
  </rcc>
  <rcc rId="6316" sId="3">
    <oc r="E41">
      <v>23</v>
    </oc>
    <nc r="E41"/>
  </rcc>
  <rcc rId="6317" sId="3">
    <oc r="F41">
      <v>0</v>
    </oc>
    <nc r="F41"/>
  </rcc>
  <rcc rId="6318" sId="3">
    <oc r="G41">
      <v>16</v>
    </oc>
    <nc r="G41"/>
  </rcc>
  <rcc rId="6319" sId="3">
    <oc r="H41">
      <v>16</v>
    </oc>
    <nc r="H41"/>
  </rcc>
  <rcc rId="6320" sId="3">
    <oc r="I41">
      <v>16</v>
    </oc>
    <nc r="I41"/>
  </rcc>
  <rcc rId="6321" sId="3">
    <oc r="J41">
      <v>16</v>
    </oc>
    <nc r="J41"/>
  </rcc>
  <rcc rId="6322" sId="3">
    <oc r="K41">
      <v>20</v>
    </oc>
    <nc r="K41"/>
  </rcc>
  <rcc rId="6323" sId="3">
    <oc r="L41">
      <v>20</v>
    </oc>
    <nc r="L41"/>
  </rcc>
  <rcc rId="6324" sId="3">
    <oc r="M41">
      <v>20</v>
    </oc>
    <nc r="M41"/>
  </rcc>
  <rcc rId="6325" sId="3">
    <oc r="N41">
      <v>20</v>
    </oc>
    <nc r="N41"/>
  </rcc>
  <rcc rId="6326" sId="3">
    <oc r="O41">
      <v>7</v>
    </oc>
    <nc r="O41"/>
  </rcc>
  <rcc rId="6327" sId="3">
    <oc r="P41">
      <v>7</v>
    </oc>
    <nc r="P41"/>
  </rcc>
  <rcc rId="6328" sId="3">
    <oc r="Q41">
      <v>0</v>
    </oc>
    <nc r="Q41"/>
  </rcc>
  <rcc rId="6329" sId="3">
    <oc r="R41">
      <v>0</v>
    </oc>
    <nc r="R41"/>
  </rcc>
  <rcc rId="6330" sId="3">
    <oc r="S41">
      <v>2</v>
    </oc>
    <nc r="S41"/>
  </rcc>
  <rcc rId="6331" sId="3">
    <oc r="T41">
      <v>2</v>
    </oc>
    <nc r="T41"/>
  </rcc>
  <rcc rId="6332" sId="3">
    <oc r="U41" t="inlineStr">
      <is>
        <t>Xcode</t>
      </is>
    </oc>
    <nc r="U41"/>
  </rcc>
  <rcc rId="6333" sId="3">
    <oc r="V41" t="inlineStr">
      <is>
        <t>T1.10B9</t>
      </is>
    </oc>
    <nc r="V41"/>
  </rcc>
  <rcc rId="6334" sId="3">
    <oc r="W41" t="inlineStr">
      <is>
        <t>Pass</t>
      </is>
    </oc>
    <nc r="W41"/>
  </rcc>
  <rcc rId="6335" sId="3">
    <oc r="X41" t="inlineStr">
      <is>
        <t>VBI warnings on all units,  uplink setup known issue due to the delivery method at the source.
CSCum55502: Empty messages on .129/127 introduced by  CSCul84769</t>
      </is>
    </oc>
    <nc r="X41"/>
  </rcc>
  <rcc rId="6336" sId="3" numFmtId="19">
    <oc r="A42">
      <v>41645</v>
    </oc>
    <nc r="A42"/>
  </rcc>
  <rcc rId="6337" sId="3">
    <oc r="B42">
      <v>9</v>
    </oc>
    <nc r="B42"/>
  </rcc>
  <rcc rId="6338" sId="3">
    <oc r="C42">
      <v>18</v>
    </oc>
    <nc r="C42"/>
  </rcc>
  <rcc rId="6339" sId="3">
    <oc r="D42">
      <v>28</v>
    </oc>
    <nc r="D42"/>
  </rcc>
  <rcc rId="6340" sId="3">
    <oc r="E42">
      <v>44</v>
    </oc>
    <nc r="E42"/>
  </rcc>
  <rcc rId="6341" sId="3">
    <oc r="F42">
      <v>0</v>
    </oc>
    <nc r="F42"/>
  </rcc>
  <rcc rId="6342" sId="3">
    <oc r="G42">
      <v>1</v>
    </oc>
    <nc r="G42"/>
  </rcc>
  <rcc rId="6343" sId="3">
    <oc r="H42">
      <v>1</v>
    </oc>
    <nc r="H42"/>
  </rcc>
  <rcc rId="6344" sId="3">
    <oc r="I42">
      <v>1</v>
    </oc>
    <nc r="I42"/>
  </rcc>
  <rcc rId="6345" sId="3">
    <oc r="J42">
      <v>1</v>
    </oc>
    <nc r="J42"/>
  </rcc>
  <rcc rId="6346" sId="3">
    <oc r="K42">
      <v>5</v>
    </oc>
    <nc r="K42"/>
  </rcc>
  <rcc rId="6347" sId="3">
    <oc r="L42">
      <v>5</v>
    </oc>
    <nc r="L42"/>
  </rcc>
  <rcc rId="6348" sId="3">
    <oc r="M42">
      <v>5</v>
    </oc>
    <nc r="M42"/>
  </rcc>
  <rcc rId="6349" sId="3">
    <oc r="N42">
      <v>5</v>
    </oc>
    <nc r="N42"/>
  </rcc>
  <rcc rId="6350" sId="3">
    <oc r="O42">
      <v>6</v>
    </oc>
    <nc r="O42"/>
  </rcc>
  <rcc rId="6351" sId="3">
    <oc r="P42">
      <v>0</v>
    </oc>
    <nc r="P42"/>
  </rcc>
  <rcc rId="6352" sId="3">
    <oc r="Q42">
      <v>0</v>
    </oc>
    <nc r="Q42"/>
  </rcc>
  <rcc rId="6353" sId="3">
    <oc r="R42">
      <v>0</v>
    </oc>
    <nc r="R42"/>
  </rcc>
  <rcc rId="6354" sId="3">
    <oc r="S42">
      <v>2</v>
    </oc>
    <nc r="S42"/>
  </rcc>
  <rcc rId="6355" sId="3">
    <oc r="T42">
      <v>2</v>
    </oc>
    <nc r="T42"/>
  </rcc>
  <rcc rId="6356" sId="3">
    <oc r="U42" t="inlineStr">
      <is>
        <t>Xcode</t>
      </is>
    </oc>
    <nc r="U42"/>
  </rcc>
  <rcc rId="6357" sId="3">
    <oc r="V42" t="inlineStr">
      <is>
        <t>T1.10B9</t>
      </is>
    </oc>
    <nc r="V42"/>
  </rcc>
  <rcc rId="6358" sId="3">
    <oc r="W42" t="inlineStr">
      <is>
        <t>System</t>
      </is>
    </oc>
    <nc r="W42"/>
  </rcc>
  <rcc rId="6359" sId="3">
    <oc r="X42" t="inlineStr">
      <is>
        <t>Power failure, source cannot be restore since then
1/7/2014 Day test
VID co-timed on all, uplink issue. TMG/MGX co-timed with these VID.</t>
      </is>
    </oc>
    <nc r="X42"/>
  </rcc>
  <rcc rId="6360" sId="3" numFmtId="19">
    <oc r="A43">
      <v>41646</v>
    </oc>
    <nc r="A43"/>
  </rcc>
  <rcc rId="6361" sId="3">
    <oc r="B43">
      <v>4</v>
    </oc>
    <nc r="B43"/>
  </rcc>
  <rcc rId="6362" sId="3">
    <oc r="C43">
      <v>6</v>
    </oc>
    <nc r="C43"/>
  </rcc>
  <rcc rId="6363" sId="3">
    <oc r="D43">
      <v>38</v>
    </oc>
    <nc r="D43"/>
  </rcc>
  <rcc rId="6364" sId="3">
    <oc r="E43">
      <v>44</v>
    </oc>
    <nc r="E43"/>
  </rcc>
  <rcc rId="6365" sId="3">
    <oc r="F43">
      <v>0</v>
    </oc>
    <nc r="F43"/>
  </rcc>
  <rcc rId="6366" sId="3">
    <oc r="G43">
      <v>37</v>
    </oc>
    <nc r="G43"/>
  </rcc>
  <rcc rId="6367" sId="3">
    <oc r="H43">
      <v>37</v>
    </oc>
    <nc r="H43"/>
  </rcc>
  <rcc rId="6368" sId="3">
    <oc r="I43">
      <v>37</v>
    </oc>
    <nc r="I43"/>
  </rcc>
  <rcc rId="6369" sId="3">
    <oc r="J43">
      <v>37</v>
    </oc>
    <nc r="J43"/>
  </rcc>
  <rcc rId="6370" sId="3">
    <oc r="K43">
      <v>37</v>
    </oc>
    <nc r="K43"/>
  </rcc>
  <rcc rId="6371" sId="3">
    <oc r="L43">
      <v>37</v>
    </oc>
    <nc r="L43"/>
  </rcc>
  <rcc rId="6372" sId="3">
    <oc r="M43">
      <v>37</v>
    </oc>
    <nc r="M43"/>
  </rcc>
  <rcc rId="6373" sId="3">
    <oc r="N43">
      <v>37</v>
    </oc>
    <nc r="N43"/>
  </rcc>
  <rcc rId="6374" sId="3">
    <oc r="O43">
      <v>0</v>
    </oc>
    <nc r="O43"/>
  </rcc>
  <rcc rId="6375" sId="3">
    <oc r="P43">
      <v>0</v>
    </oc>
    <nc r="P43"/>
  </rcc>
  <rcc rId="6376" sId="3">
    <oc r="Q43">
      <v>0</v>
    </oc>
    <nc r="Q43"/>
  </rcc>
  <rcc rId="6377" sId="3">
    <oc r="R43">
      <v>0</v>
    </oc>
    <nc r="R43"/>
  </rcc>
  <rcc rId="6378" sId="3">
    <oc r="S43">
      <v>2</v>
    </oc>
    <nc r="S43"/>
  </rcc>
  <rcc rId="6379" sId="3">
    <oc r="T43">
      <v>2</v>
    </oc>
    <nc r="T43"/>
  </rcc>
  <rcc rId="6380" sId="3">
    <oc r="U43" t="inlineStr">
      <is>
        <t>Xcode</t>
      </is>
    </oc>
    <nc r="U43"/>
  </rcc>
  <rcc rId="6381" sId="3">
    <oc r="V43" t="inlineStr">
      <is>
        <t>T1.10B9</t>
      </is>
    </oc>
    <nc r="V43"/>
  </rcc>
  <rcc rId="6382" sId="3">
    <oc r="W43" t="inlineStr">
      <is>
        <t>Pass</t>
      </is>
    </oc>
    <nc r="W43"/>
  </rcc>
  <rcc rId="6383" sId="3">
    <oc r="X43" t="inlineStr">
      <is>
        <t>downstream .203 blank video on PE4 
CSCuh25144: VID on .120</t>
      </is>
    </oc>
    <nc r="X43"/>
  </rcc>
  <rcc rId="6384" sId="3" numFmtId="19">
    <oc r="A44">
      <v>41647</v>
    </oc>
    <nc r="A44"/>
  </rcc>
  <rcc rId="6385" sId="3">
    <oc r="B44">
      <v>3</v>
    </oc>
    <nc r="B44"/>
  </rcc>
  <rcc rId="6386" sId="3">
    <oc r="C44">
      <v>7</v>
    </oc>
    <nc r="C44"/>
  </rcc>
  <rcc rId="6387" sId="3">
    <oc r="D44">
      <v>22</v>
    </oc>
    <nc r="D44"/>
  </rcc>
  <rcc rId="6388" sId="3">
    <oc r="E44">
      <v>13</v>
    </oc>
    <nc r="E44"/>
  </rcc>
  <rcc rId="6389" sId="3">
    <oc r="F44">
      <v>13</v>
    </oc>
    <nc r="F44"/>
  </rcc>
  <rcc rId="6390" sId="3">
    <oc r="G44">
      <v>15</v>
    </oc>
    <nc r="G44"/>
  </rcc>
  <rcc rId="6391" sId="3">
    <oc r="H44">
      <v>15</v>
    </oc>
    <nc r="H44"/>
  </rcc>
  <rcc rId="6392" sId="3">
    <oc r="I44">
      <v>15</v>
    </oc>
    <nc r="I44"/>
  </rcc>
  <rcc rId="6393" sId="3">
    <oc r="J44">
      <v>15</v>
    </oc>
    <nc r="J44"/>
  </rcc>
  <rcc rId="6394" sId="3">
    <oc r="K44">
      <v>19</v>
    </oc>
    <nc r="K44"/>
  </rcc>
  <rcc rId="6395" sId="3">
    <oc r="L44">
      <v>19</v>
    </oc>
    <nc r="L44"/>
  </rcc>
  <rcc rId="6396" sId="3">
    <oc r="M44">
      <v>19</v>
    </oc>
    <nc r="M44"/>
  </rcc>
  <rcc rId="6397" sId="3">
    <oc r="N44">
      <v>19</v>
    </oc>
    <nc r="N44"/>
  </rcc>
  <rcc rId="6398" sId="3">
    <oc r="O44">
      <v>0</v>
    </oc>
    <nc r="O44"/>
  </rcc>
  <rcc rId="6399" sId="3">
    <oc r="P44">
      <v>0</v>
    </oc>
    <nc r="P44"/>
  </rcc>
  <rcc rId="6400" sId="3">
    <oc r="Q44">
      <v>4</v>
    </oc>
    <nc r="Q44"/>
  </rcc>
  <rcc rId="6401" sId="3">
    <oc r="R44">
      <v>0</v>
    </oc>
    <nc r="R44"/>
  </rcc>
  <rcc rId="6402" sId="3">
    <oc r="S44">
      <v>2</v>
    </oc>
    <nc r="S44"/>
  </rcc>
  <rcc rId="6403" sId="3">
    <oc r="T44">
      <v>2</v>
    </oc>
    <nc r="T44"/>
  </rcc>
  <rcc rId="6404" sId="3">
    <oc r="U44" t="inlineStr">
      <is>
        <t>Xcode</t>
      </is>
    </oc>
    <nc r="U44"/>
  </rcc>
  <rcc rId="6405" sId="3">
    <oc r="V44" t="inlineStr">
      <is>
        <t>T1.10B9</t>
      </is>
    </oc>
    <nc r="V44"/>
  </rcc>
  <rcc rId="6406" sId="3">
    <oc r="W44" t="inlineStr">
      <is>
        <t>Pass</t>
      </is>
    </oc>
    <nc r="W44"/>
  </rcc>
  <rcc rId="6407" sId="3" numFmtId="19">
    <oc r="A45">
      <v>41648</v>
    </oc>
    <nc r="A45"/>
  </rcc>
  <rcc rId="6408" sId="3">
    <oc r="B45">
      <v>19</v>
    </oc>
    <nc r="B45"/>
  </rcc>
  <rcc rId="6409" sId="3">
    <oc r="C45">
      <v>17</v>
    </oc>
    <nc r="C45"/>
  </rcc>
  <rcc rId="6410" sId="3">
    <oc r="D45">
      <v>17</v>
    </oc>
    <nc r="D45"/>
  </rcc>
  <rcc rId="6411" sId="3">
    <oc r="E45">
      <v>39</v>
    </oc>
    <nc r="E45"/>
  </rcc>
  <rcc rId="6412" sId="3">
    <oc r="F45">
      <v>13</v>
    </oc>
    <nc r="F45"/>
  </rcc>
  <rcc rId="6413" sId="3">
    <oc r="G45">
      <v>13</v>
    </oc>
    <nc r="G45"/>
  </rcc>
  <rcc rId="6414" sId="3">
    <oc r="H45">
      <v>13</v>
    </oc>
    <nc r="H45"/>
  </rcc>
  <rcc rId="6415" sId="3">
    <oc r="I45">
      <v>13</v>
    </oc>
    <nc r="I45"/>
  </rcc>
  <rcc rId="6416" sId="3">
    <oc r="J45">
      <v>13</v>
    </oc>
    <nc r="J45"/>
  </rcc>
  <rcc rId="6417" sId="3">
    <oc r="K45">
      <v>13</v>
    </oc>
    <nc r="K45"/>
  </rcc>
  <rcc rId="6418" sId="3">
    <oc r="L45">
      <v>13</v>
    </oc>
    <nc r="L45"/>
  </rcc>
  <rcc rId="6419" sId="3">
    <oc r="M45">
      <v>13</v>
    </oc>
    <nc r="M45"/>
  </rcc>
  <rcc rId="6420" sId="3">
    <oc r="N45">
      <v>13</v>
    </oc>
    <nc r="N45"/>
  </rcc>
  <rcc rId="6421" sId="3">
    <oc r="O45">
      <v>8</v>
    </oc>
    <nc r="O45"/>
  </rcc>
  <rcc rId="6422" sId="3">
    <oc r="P45">
      <v>6</v>
    </oc>
    <nc r="P45"/>
  </rcc>
  <rcc rId="6423" sId="3">
    <oc r="Q45">
      <v>4</v>
    </oc>
    <nc r="Q45"/>
  </rcc>
  <rcc rId="6424" sId="3">
    <oc r="R45">
      <v>0</v>
    </oc>
    <nc r="R45"/>
  </rcc>
  <rcc rId="6425" sId="3">
    <oc r="S45">
      <v>2</v>
    </oc>
    <nc r="S45"/>
  </rcc>
  <rcc rId="6426" sId="3">
    <oc r="T45">
      <v>2</v>
    </oc>
    <nc r="T45"/>
  </rcc>
  <rcc rId="6427" sId="3">
    <oc r="U45" t="inlineStr">
      <is>
        <t>Xcode</t>
      </is>
    </oc>
    <nc r="U45"/>
  </rcc>
  <rcc rId="6428" sId="3">
    <oc r="V45" t="inlineStr">
      <is>
        <t>T1.10B9</t>
      </is>
    </oc>
    <nc r="V45"/>
  </rcc>
  <rcc rId="6429" sId="3">
    <oc r="W45" t="inlineStr">
      <is>
        <t>System</t>
      </is>
    </oc>
    <nc r="W45"/>
  </rcc>
  <rcc rId="6430" sId="3">
    <oc r="X45" t="inlineStr">
      <is>
        <t>Video buffer overflow on 2 due to video bit rate @30Mbps
no signal on all downstream due to input rate over 200Mbps, setup issue</t>
      </is>
    </oc>
    <nc r="X45"/>
  </rcc>
  <rcc rId="6431" sId="3" numFmtId="19">
    <oc r="A46">
      <v>41649</v>
    </oc>
    <nc r="A46"/>
  </rcc>
  <rcc rId="6432" sId="3">
    <oc r="B46">
      <v>19</v>
    </oc>
    <nc r="B46"/>
  </rcc>
  <rcc rId="6433" sId="3">
    <oc r="C46">
      <v>2</v>
    </oc>
    <nc r="C46"/>
  </rcc>
  <rcc rId="6434" sId="3">
    <oc r="D46">
      <v>33</v>
    </oc>
    <nc r="D46"/>
  </rcc>
  <rcc rId="6435" sId="3">
    <oc r="E46">
      <v>31</v>
    </oc>
    <nc r="E46"/>
  </rcc>
  <rcc rId="6436" sId="3">
    <oc r="F46">
      <v>0</v>
    </oc>
    <nc r="F46"/>
  </rcc>
  <rcc rId="6437" sId="3">
    <oc r="G46">
      <v>6</v>
    </oc>
    <nc r="G46"/>
  </rcc>
  <rcc rId="6438" sId="3">
    <oc r="H46">
      <v>6</v>
    </oc>
    <nc r="H46"/>
  </rcc>
  <rcc rId="6439" sId="3">
    <oc r="I46">
      <v>6</v>
    </oc>
    <nc r="I46"/>
  </rcc>
  <rcc rId="6440" sId="3">
    <oc r="J46">
      <v>6</v>
    </oc>
    <nc r="J46"/>
  </rcc>
  <rcc rId="6441" sId="3">
    <oc r="K46">
      <v>6</v>
    </oc>
    <nc r="K46"/>
  </rcc>
  <rcc rId="6442" sId="3">
    <oc r="L46">
      <v>6</v>
    </oc>
    <nc r="L46"/>
  </rcc>
  <rcc rId="6443" sId="3">
    <oc r="M46" t="inlineStr">
      <is>
        <t>no</t>
      </is>
    </oc>
    <nc r="M46"/>
  </rcc>
  <rcc rId="6444" sId="3">
    <oc r="N46" t="inlineStr">
      <is>
        <t>no</t>
      </is>
    </oc>
    <nc r="N46"/>
  </rcc>
  <rcc rId="6445" sId="3">
    <oc r="O46">
      <v>0</v>
    </oc>
    <nc r="O46"/>
  </rcc>
  <rcc rId="6446" sId="3">
    <oc r="P46">
      <v>0</v>
    </oc>
    <nc r="P46"/>
  </rcc>
  <rcc rId="6447" sId="3">
    <oc r="Q46">
      <v>1</v>
    </oc>
    <nc r="Q46"/>
  </rcc>
  <rcc rId="6448" sId="3">
    <oc r="R46">
      <v>0</v>
    </oc>
    <nc r="R46"/>
  </rcc>
  <rcc rId="6449" sId="3">
    <oc r="S46">
      <v>2</v>
    </oc>
    <nc r="S46"/>
  </rcc>
  <rcc rId="6450" sId="3">
    <oc r="T46">
      <v>2</v>
    </oc>
    <nc r="T46"/>
  </rcc>
  <rcc rId="6451" sId="3">
    <oc r="U46" t="inlineStr">
      <is>
        <t>Xcode</t>
      </is>
    </oc>
    <nc r="U46"/>
  </rcc>
  <rcc rId="6452" sId="3">
    <oc r="V46" t="inlineStr">
      <is>
        <t>T1.10B9</t>
      </is>
    </oc>
    <nc r="V46"/>
  </rcc>
  <rcc rId="6453" sId="3">
    <oc r="W46" t="inlineStr">
      <is>
        <t>Pass</t>
      </is>
    </oc>
    <nc r="W46"/>
  </rcc>
  <rcc rId="6454" sId="3">
    <oc r="X46" t="inlineStr">
      <is>
        <t>CSCuh25144: VID on .120</t>
      </is>
    </oc>
    <nc r="X46"/>
  </rcc>
  <rcc rId="6455" sId="3" numFmtId="19">
    <oc r="A47">
      <v>41652</v>
    </oc>
    <nc r="A47"/>
  </rcc>
  <rcc rId="6456" sId="3">
    <oc r="B47">
      <v>5</v>
    </oc>
    <nc r="B47"/>
  </rcc>
  <rcc rId="6457" sId="3">
    <oc r="C47">
      <v>17</v>
    </oc>
    <nc r="C47"/>
  </rcc>
  <rcc rId="6458" sId="3">
    <oc r="D47">
      <v>46</v>
    </oc>
    <nc r="D47"/>
  </rcc>
  <rcc rId="6459" sId="3">
    <oc r="E47">
      <v>39</v>
    </oc>
    <nc r="E47"/>
  </rcc>
  <rcc rId="6460" sId="3">
    <oc r="F47">
      <v>0</v>
    </oc>
    <nc r="F47"/>
  </rcc>
  <rcc rId="6461" sId="3">
    <oc r="G47">
      <v>25</v>
    </oc>
    <nc r="G47"/>
  </rcc>
  <rcc rId="6462" sId="3">
    <oc r="H47">
      <v>25</v>
    </oc>
    <nc r="H47"/>
  </rcc>
  <rcc rId="6463" sId="3">
    <oc r="I47">
      <v>25</v>
    </oc>
    <nc r="I47"/>
  </rcc>
  <rcc rId="6464" sId="3">
    <oc r="J47">
      <v>25</v>
    </oc>
    <nc r="J47"/>
  </rcc>
  <rcc rId="6465" sId="3">
    <oc r="K47">
      <v>25</v>
    </oc>
    <nc r="K47"/>
  </rcc>
  <rcc rId="6466" sId="3">
    <oc r="L47">
      <v>25</v>
    </oc>
    <nc r="L47"/>
  </rcc>
  <rcc rId="6467" sId="3">
    <oc r="M47" t="inlineStr">
      <is>
        <t>no</t>
      </is>
    </oc>
    <nc r="M47"/>
  </rcc>
  <rcc rId="6468" sId="3">
    <oc r="N47" t="inlineStr">
      <is>
        <t>no</t>
      </is>
    </oc>
    <nc r="N47"/>
  </rcc>
  <rcc rId="6469" sId="3">
    <oc r="O47">
      <v>8</v>
    </oc>
    <nc r="O47"/>
  </rcc>
  <rcc rId="6470" sId="3">
    <oc r="P47">
      <v>0</v>
    </oc>
    <nc r="P47"/>
  </rcc>
  <rcc rId="6471" sId="3">
    <oc r="Q47">
      <v>0</v>
    </oc>
    <nc r="Q47"/>
  </rcc>
  <rcc rId="6472" sId="3">
    <oc r="R47">
      <v>0</v>
    </oc>
    <nc r="R47"/>
  </rcc>
  <rcc rId="6473" sId="3">
    <oc r="S47">
      <v>2</v>
    </oc>
    <nc r="S47"/>
  </rcc>
  <rcc rId="6474" sId="3">
    <oc r="T47">
      <v>2</v>
    </oc>
    <nc r="T47"/>
  </rcc>
  <rcc rId="6475" sId="3">
    <oc r="U47" t="inlineStr">
      <is>
        <t>Xcode</t>
      </is>
    </oc>
    <nc r="U47"/>
  </rcc>
  <rcc rId="6476" sId="3">
    <oc r="V47" t="inlineStr">
      <is>
        <t>T1.10B9</t>
      </is>
    </oc>
    <nc r="V47"/>
  </rcc>
  <rcc rId="6477" sId="3">
    <oc r="W47" t="inlineStr">
      <is>
        <t>Pass</t>
      </is>
    </oc>
    <nc r="W47"/>
  </rcc>
  <rcc rId="6478" sId="3">
    <oc r="X47" t="inlineStr">
      <is>
        <t>Empty msg on .110, known issue
Video buffer overflow on .128 due to video bit rate @30Mbps
blank video on PE5 on .217
CSCuh25144: VID on .120</t>
      </is>
    </oc>
    <nc r="X47"/>
  </rcc>
  <rcc rId="6479" sId="3" numFmtId="19">
    <oc r="A48">
      <v>41653</v>
    </oc>
    <nc r="A48"/>
  </rcc>
  <rcc rId="6480" sId="3">
    <oc r="B48">
      <v>10</v>
    </oc>
    <nc r="B48"/>
  </rcc>
  <rcc rId="6481" sId="3">
    <oc r="C48">
      <v>18</v>
    </oc>
    <nc r="C48"/>
  </rcc>
  <rcc rId="6482" sId="3">
    <oc r="D48">
      <v>48</v>
    </oc>
    <nc r="D48"/>
  </rcc>
  <rcc rId="6483" sId="3">
    <oc r="E48">
      <v>41</v>
    </oc>
    <nc r="E48"/>
  </rcc>
  <rcc rId="6484" sId="3">
    <oc r="F48">
      <v>0</v>
    </oc>
    <nc r="F48"/>
  </rcc>
  <rcc rId="6485" sId="3">
    <oc r="G48">
      <v>28</v>
    </oc>
    <nc r="G48"/>
  </rcc>
  <rcc rId="6486" sId="3">
    <oc r="H48">
      <v>28</v>
    </oc>
    <nc r="H48"/>
  </rcc>
  <rcc rId="6487" sId="3">
    <oc r="I48">
      <v>28</v>
    </oc>
    <nc r="I48"/>
  </rcc>
  <rcc rId="6488" sId="3">
    <oc r="J48">
      <v>28</v>
    </oc>
    <nc r="J48"/>
  </rcc>
  <rcc rId="6489" sId="3">
    <oc r="K48">
      <v>28</v>
    </oc>
    <nc r="K48"/>
  </rcc>
  <rcc rId="6490" sId="3">
    <oc r="L48">
      <v>28</v>
    </oc>
    <nc r="L48"/>
  </rcc>
  <rcc rId="6491" sId="3">
    <oc r="M48" t="inlineStr">
      <is>
        <t>no</t>
      </is>
    </oc>
    <nc r="M48"/>
  </rcc>
  <rcc rId="6492" sId="3">
    <oc r="N48" t="inlineStr">
      <is>
        <t>no</t>
      </is>
    </oc>
    <nc r="N48"/>
  </rcc>
  <rcc rId="6493" sId="3">
    <oc r="O48">
      <v>6</v>
    </oc>
    <nc r="O48"/>
  </rcc>
  <rcc rId="6494" sId="3">
    <oc r="P48">
      <v>5</v>
    </oc>
    <nc r="P48"/>
  </rcc>
  <rcc rId="6495" sId="3">
    <oc r="Q48">
      <v>1</v>
    </oc>
    <nc r="Q48"/>
  </rcc>
  <rcc rId="6496" sId="3">
    <oc r="R48">
      <v>6</v>
    </oc>
    <nc r="R48"/>
  </rcc>
  <rcc rId="6497" sId="3">
    <oc r="S48">
      <v>2</v>
    </oc>
    <nc r="S48"/>
  </rcc>
  <rcc rId="6498" sId="3">
    <oc r="T48">
      <v>2</v>
    </oc>
    <nc r="T48"/>
  </rcc>
  <rcc rId="6499" sId="3">
    <oc r="U48" t="inlineStr">
      <is>
        <t>Xcode</t>
      </is>
    </oc>
    <nc r="U48"/>
  </rcc>
  <rcc rId="6500" sId="3">
    <oc r="V48" t="inlineStr">
      <is>
        <t>T1.10B9</t>
      </is>
    </oc>
    <nc r="V48"/>
  </rcc>
  <rcc rId="6501" sId="3">
    <oc r="W48" t="inlineStr">
      <is>
        <t>Pass</t>
      </is>
    </oc>
    <nc r="W48"/>
  </rcc>
  <rcc rId="6502" sId="3">
    <oc r="X48" t="inlineStr">
      <is>
        <t>MPE warnings on all units, uplink system known issue
Empty msg on .106, known issue
CSCuh25144: VID on .120
IPAL assert on some</t>
      </is>
    </oc>
    <nc r="X48"/>
  </rcc>
  <rcc rId="6503" sId="3" numFmtId="19">
    <oc r="A49">
      <v>41654</v>
    </oc>
    <nc r="A49"/>
  </rcc>
  <rcc rId="6504" sId="3">
    <oc r="B49">
      <v>14</v>
    </oc>
    <nc r="B49"/>
  </rcc>
  <rcc rId="6505" sId="3">
    <oc r="C49">
      <v>17</v>
    </oc>
    <nc r="C49"/>
  </rcc>
  <rcc rId="6506" sId="3">
    <oc r="D49">
      <v>20</v>
    </oc>
    <nc r="D49"/>
  </rcc>
  <rcc rId="6507" sId="3">
    <oc r="E49">
      <v>53</v>
    </oc>
    <nc r="E49"/>
  </rcc>
  <rcc rId="6508" sId="3">
    <oc r="F49">
      <v>0</v>
    </oc>
    <nc r="F49"/>
  </rcc>
  <rcc rId="6509" sId="3">
    <oc r="G49">
      <v>14</v>
    </oc>
    <nc r="G49"/>
  </rcc>
  <rcc rId="6510" sId="3">
    <oc r="H49">
      <v>14</v>
    </oc>
    <nc r="H49"/>
  </rcc>
  <rcc rId="6511" sId="3">
    <oc r="I49">
      <v>14</v>
    </oc>
    <nc r="I49"/>
  </rcc>
  <rcc rId="6512" sId="3">
    <oc r="J49">
      <v>14</v>
    </oc>
    <nc r="J49"/>
  </rcc>
  <rcc rId="6513" sId="3">
    <oc r="K49">
      <v>14</v>
    </oc>
    <nc r="K49"/>
  </rcc>
  <rcc rId="6514" sId="3">
    <oc r="L49">
      <v>14</v>
    </oc>
    <nc r="L49"/>
  </rcc>
  <rcc rId="6515" sId="3">
    <oc r="M49" t="inlineStr">
      <is>
        <t>no</t>
      </is>
    </oc>
    <nc r="M49"/>
  </rcc>
  <rcc rId="6516" sId="3">
    <oc r="N49" t="inlineStr">
      <is>
        <t>no</t>
      </is>
    </oc>
    <nc r="N49"/>
  </rcc>
  <rcc rId="6517" sId="3">
    <oc r="O49">
      <v>6</v>
    </oc>
    <nc r="O49"/>
  </rcc>
  <rcc rId="6518" sId="3">
    <oc r="P49">
      <v>7</v>
    </oc>
    <nc r="P49"/>
  </rcc>
  <rcc rId="6519" sId="3">
    <oc r="Q49">
      <v>3</v>
    </oc>
    <nc r="Q49"/>
  </rcc>
  <rcc rId="6520" sId="3">
    <oc r="R49">
      <v>10</v>
    </oc>
    <nc r="R49"/>
  </rcc>
  <rcc rId="6521" sId="3">
    <oc r="S49">
      <v>2</v>
    </oc>
    <nc r="S49"/>
  </rcc>
  <rcc rId="6522" sId="3">
    <oc r="T49">
      <v>2</v>
    </oc>
    <nc r="T49"/>
  </rcc>
  <rcc rId="6523" sId="3">
    <oc r="U49" t="inlineStr">
      <is>
        <t>Xcode</t>
      </is>
    </oc>
    <nc r="U49"/>
  </rcc>
  <rcc rId="6524" sId="3">
    <oc r="V49" t="inlineStr">
      <is>
        <t>T1.10B9</t>
      </is>
    </oc>
    <nc r="V49"/>
  </rcc>
  <rcc rId="6525" sId="3">
    <oc r="W49" t="inlineStr">
      <is>
        <t>Pass</t>
      </is>
    </oc>
    <nc r="W49"/>
  </rcc>
  <rcc rId="6526" sId="3">
    <oc r="X49" t="inlineStr">
      <is>
        <t>Video buffer overflow on 4 due to video bit rate @30Mbps, known issue
VBI warnings on all units,  uplink setup known issue due to the delivery method at the source.</t>
      </is>
    </oc>
    <nc r="X49"/>
  </rcc>
  <rcc rId="6527" sId="3" numFmtId="19">
    <oc r="A50">
      <v>41655</v>
    </oc>
    <nc r="A50"/>
  </rcc>
  <rcc rId="6528" sId="3">
    <oc r="B50">
      <v>13</v>
    </oc>
    <nc r="B50"/>
  </rcc>
  <rcc rId="6529" sId="3">
    <oc r="C50">
      <v>17</v>
    </oc>
    <nc r="C50"/>
  </rcc>
  <rcc rId="6530" sId="3">
    <oc r="D50">
      <v>36</v>
    </oc>
    <nc r="D50"/>
  </rcc>
  <rcc rId="6531" sId="3">
    <oc r="E50">
      <v>20</v>
    </oc>
    <nc r="E50"/>
  </rcc>
  <rcc rId="6532" sId="3">
    <oc r="F50">
      <v>0</v>
    </oc>
    <nc r="F50"/>
  </rcc>
  <rcc rId="6533" sId="3">
    <oc r="G50">
      <v>3</v>
    </oc>
    <nc r="G50"/>
  </rcc>
  <rcc rId="6534" sId="3">
    <oc r="H50">
      <v>3</v>
    </oc>
    <nc r="H50"/>
  </rcc>
  <rcc rId="6535" sId="3">
    <oc r="I50">
      <v>3</v>
    </oc>
    <nc r="I50"/>
  </rcc>
  <rcc rId="6536" sId="3">
    <oc r="J50">
      <v>3</v>
    </oc>
    <nc r="J50"/>
  </rcc>
  <rcc rId="6537" sId="3">
    <oc r="K50">
      <v>7</v>
    </oc>
    <nc r="K50"/>
  </rcc>
  <rcc rId="6538" sId="3">
    <oc r="L50">
      <v>7</v>
    </oc>
    <nc r="L50"/>
  </rcc>
  <rcc rId="6539" sId="3">
    <oc r="M50" t="inlineStr">
      <is>
        <t>no</t>
      </is>
    </oc>
    <nc r="M50"/>
  </rcc>
  <rcc rId="6540" sId="3">
    <oc r="N50" t="inlineStr">
      <is>
        <t>no</t>
      </is>
    </oc>
    <nc r="N50"/>
  </rcc>
  <rcc rId="6541" sId="3">
    <oc r="O50">
      <v>4</v>
    </oc>
    <nc r="O50"/>
  </rcc>
  <rcc rId="6542" sId="3">
    <oc r="P50">
      <v>0</v>
    </oc>
    <nc r="P50"/>
  </rcc>
  <rcc rId="6543" sId="3">
    <oc r="Q50">
      <v>3</v>
    </oc>
    <nc r="Q50"/>
  </rcc>
  <rcc rId="6544" sId="3">
    <oc r="R50">
      <v>1</v>
    </oc>
    <nc r="R50"/>
  </rcc>
  <rcc rId="6545" sId="3">
    <oc r="S50">
      <v>2</v>
    </oc>
    <nc r="S50"/>
  </rcc>
  <rcc rId="6546" sId="3">
    <oc r="T50">
      <v>2</v>
    </oc>
    <nc r="T50"/>
  </rcc>
  <rcc rId="6547" sId="3">
    <oc r="U50" t="inlineStr">
      <is>
        <t>Xcode</t>
      </is>
    </oc>
    <nc r="U50"/>
  </rcc>
  <rcc rId="6548" sId="3">
    <oc r="V50" t="inlineStr">
      <is>
        <t>T1.10B9</t>
      </is>
    </oc>
    <nc r="V50"/>
  </rcc>
  <rcc rId="6549" sId="3">
    <oc r="W50" t="inlineStr">
      <is>
        <t>Pass</t>
      </is>
    </oc>
    <nc r="W50"/>
  </rcc>
  <rcc rId="6550" sId="3">
    <oc r="X50" t="inlineStr">
      <is>
        <t>VID: single warning on .120, video bit rate @ 25Mbps
CSCum55502: FE warning/assert on .123(e-build), no more empty msg.
MPE warnings on some units, uplink system known issue</t>
      </is>
    </oc>
    <nc r="X50"/>
  </rcc>
  <rcc rId="6551" sId="3" numFmtId="19">
    <oc r="A51">
      <v>41656</v>
    </oc>
    <nc r="A51"/>
  </rcc>
  <rcc rId="6552" sId="3">
    <oc r="B51">
      <v>12</v>
    </oc>
    <nc r="B51"/>
  </rcc>
  <rcc rId="6553" sId="3">
    <oc r="C51">
      <v>17</v>
    </oc>
    <nc r="C51"/>
  </rcc>
  <rcc rId="6554" sId="3">
    <oc r="D51">
      <v>23</v>
    </oc>
    <nc r="D51"/>
  </rcc>
  <rcc rId="6555" sId="3">
    <oc r="E51">
      <v>8</v>
    </oc>
    <nc r="E51"/>
  </rcc>
  <rcc rId="6556" sId="3">
    <oc r="F51">
      <v>0</v>
    </oc>
    <nc r="F51"/>
  </rcc>
  <rcc rId="6557" sId="3">
    <oc r="G51">
      <v>15</v>
    </oc>
    <nc r="G51"/>
  </rcc>
  <rcc rId="6558" sId="3">
    <oc r="H51">
      <v>15</v>
    </oc>
    <nc r="H51"/>
  </rcc>
  <rcc rId="6559" sId="3">
    <oc r="I51">
      <v>15</v>
    </oc>
    <nc r="I51"/>
  </rcc>
  <rcc rId="6560" sId="3">
    <oc r="J51">
      <v>15</v>
    </oc>
    <nc r="J51"/>
  </rcc>
  <rcc rId="6561" sId="3">
    <oc r="K51">
      <v>19</v>
    </oc>
    <nc r="K51"/>
  </rcc>
  <rcc rId="6562" sId="3">
    <oc r="L51">
      <v>19</v>
    </oc>
    <nc r="L51"/>
  </rcc>
  <rcc rId="6563" sId="3">
    <oc r="M51" t="inlineStr">
      <is>
        <t>no</t>
      </is>
    </oc>
    <nc r="M51"/>
  </rcc>
  <rcc rId="6564" sId="3">
    <oc r="N51" t="inlineStr">
      <is>
        <t>no</t>
      </is>
    </oc>
    <nc r="N51"/>
  </rcc>
  <rcc rId="6565" sId="3">
    <oc r="O51">
      <v>8</v>
    </oc>
    <nc r="O51"/>
  </rcc>
  <rcc rId="6566" sId="3">
    <oc r="P51">
      <v>0</v>
    </oc>
    <nc r="P51"/>
  </rcc>
  <rcc rId="6567" sId="3">
    <oc r="Q51">
      <v>3</v>
    </oc>
    <nc r="Q51"/>
  </rcc>
  <rcc rId="6568" sId="3">
    <oc r="R51">
      <v>12</v>
    </oc>
    <nc r="R51"/>
  </rcc>
  <rcc rId="6569" sId="3">
    <oc r="S51">
      <v>2</v>
    </oc>
    <nc r="S51"/>
  </rcc>
  <rcc rId="6570" sId="3">
    <oc r="T51">
      <v>2</v>
    </oc>
    <nc r="T51"/>
  </rcc>
  <rcc rId="6571" sId="3">
    <oc r="U51" t="inlineStr">
      <is>
        <t>Xcode</t>
      </is>
    </oc>
    <nc r="U51"/>
  </rcc>
  <rcc rId="6572" sId="3">
    <oc r="V51" t="inlineStr">
      <is>
        <t>T1.10B9</t>
      </is>
    </oc>
    <nc r="V51"/>
  </rcc>
  <rcc rId="6573" sId="3">
    <oc r="W51" t="inlineStr">
      <is>
        <t>Pass</t>
      </is>
    </oc>
    <nc r="W51"/>
  </rcc>
  <rcc rId="6574" sId="3">
    <oc r="X51" t="inlineStr">
      <is>
        <t>TX buffer overflow on VID PID 300 co-timed with video hits on unit .104/106 due to known issue(video bit rate @ 30Mbps)
TX CC errors on SUBT PID 1010 and MPE 4003 co-timed on all units, uplink issue
MPE warnings on all units, uplink system known issue
CSCum55502: Empty ASSERTS/WARNS seen on logger on 3(plat bseline)
CSCum55502: Empty ASSERTS/WARNS seen on logger on 1(e-build), it might resolve this issue</t>
      </is>
    </oc>
    <nc r="X51"/>
  </rcc>
  <rcc rId="6575" sId="3" numFmtId="19">
    <oc r="A52">
      <v>41659</v>
    </oc>
    <nc r="A52"/>
  </rcc>
  <rcc rId="6576" sId="3">
    <oc r="B52">
      <v>12</v>
    </oc>
    <nc r="B52"/>
  </rcc>
  <rcc rId="6577" sId="3">
    <oc r="C52">
      <v>17</v>
    </oc>
    <nc r="C52"/>
  </rcc>
  <rcc rId="6578" sId="3">
    <oc r="D52">
      <v>23</v>
    </oc>
    <nc r="D52"/>
  </rcc>
  <rcc rId="6579" sId="3">
    <oc r="E52">
      <v>8</v>
    </oc>
    <nc r="E52"/>
  </rcc>
  <rcc rId="6580" sId="3">
    <oc r="F52">
      <v>0</v>
    </oc>
    <nc r="F52"/>
  </rcc>
  <rcc rId="6581" sId="3">
    <oc r="G52">
      <v>15</v>
    </oc>
    <nc r="G52"/>
  </rcc>
  <rcc rId="6582" sId="3">
    <oc r="H52">
      <v>15</v>
    </oc>
    <nc r="H52"/>
  </rcc>
  <rcc rId="6583" sId="3">
    <oc r="I52">
      <v>15</v>
    </oc>
    <nc r="I52"/>
  </rcc>
  <rcc rId="6584" sId="3">
    <oc r="J52">
      <v>15</v>
    </oc>
    <nc r="J52"/>
  </rcc>
  <rcc rId="6585" sId="3">
    <oc r="K52">
      <v>19</v>
    </oc>
    <nc r="K52"/>
  </rcc>
  <rcc rId="6586" sId="3">
    <oc r="L52">
      <v>19</v>
    </oc>
    <nc r="L52"/>
  </rcc>
  <rcc rId="6587" sId="3">
    <oc r="M52" t="inlineStr">
      <is>
        <t>no</t>
      </is>
    </oc>
    <nc r="M52"/>
  </rcc>
  <rcc rId="6588" sId="3">
    <oc r="N52" t="inlineStr">
      <is>
        <t>no</t>
      </is>
    </oc>
    <nc r="N52"/>
  </rcc>
  <rcc rId="6589" sId="3">
    <oc r="O52">
      <v>8</v>
    </oc>
    <nc r="O52"/>
  </rcc>
  <rcc rId="6590" sId="3">
    <oc r="P52">
      <v>0</v>
    </oc>
    <nc r="P52"/>
  </rcc>
  <rcc rId="6591" sId="3">
    <oc r="Q52">
      <v>3</v>
    </oc>
    <nc r="Q52"/>
  </rcc>
  <rcc rId="6592" sId="3">
    <oc r="R52">
      <v>12</v>
    </oc>
    <nc r="R52"/>
  </rcc>
  <rcc rId="6593" sId="3">
    <oc r="S52">
      <v>2</v>
    </oc>
    <nc r="S52"/>
  </rcc>
  <rcc rId="6594" sId="3">
    <oc r="T52">
      <v>2</v>
    </oc>
    <nc r="T52"/>
  </rcc>
  <rcc rId="6595" sId="3">
    <oc r="U52" t="inlineStr">
      <is>
        <t>Xcode</t>
      </is>
    </oc>
    <nc r="U52"/>
  </rcc>
  <rcc rId="6596" sId="3">
    <oc r="V52" t="inlineStr">
      <is>
        <t>T1.10B9</t>
      </is>
    </oc>
    <nc r="V52"/>
  </rcc>
  <rcc rId="6597" sId="3">
    <oc r="W52" t="inlineStr">
      <is>
        <t>Pass</t>
      </is>
    </oc>
    <nc r="W52"/>
  </rcc>
  <rcc rId="6598" sId="3">
    <oc r="X52" t="inlineStr">
      <is>
        <t xml:space="preserve">MPE warnings on all units, uplink system known issue
</t>
      </is>
    </oc>
    <nc r="X52"/>
  </rcc>
  <rcc rId="6599" sId="3" numFmtId="19">
    <oc r="A53">
      <v>41660</v>
    </oc>
    <nc r="A53"/>
  </rcc>
  <rcc rId="6600" sId="3">
    <oc r="B53">
      <v>12</v>
    </oc>
    <nc r="B53"/>
  </rcc>
  <rcc rId="6601" sId="3">
    <oc r="C53">
      <v>17</v>
    </oc>
    <nc r="C53"/>
  </rcc>
  <rcc rId="6602" sId="3">
    <oc r="D53">
      <v>23</v>
    </oc>
    <nc r="D53"/>
  </rcc>
  <rcc rId="6603" sId="3">
    <oc r="E53">
      <v>8</v>
    </oc>
    <nc r="E53"/>
  </rcc>
  <rcc rId="6604" sId="3">
    <oc r="F53">
      <v>0</v>
    </oc>
    <nc r="F53"/>
  </rcc>
  <rcc rId="6605" sId="3">
    <oc r="G53">
      <v>15</v>
    </oc>
    <nc r="G53"/>
  </rcc>
  <rcc rId="6606" sId="3">
    <oc r="H53">
      <v>15</v>
    </oc>
    <nc r="H53"/>
  </rcc>
  <rcc rId="6607" sId="3">
    <oc r="I53">
      <v>15</v>
    </oc>
    <nc r="I53"/>
  </rcc>
  <rcc rId="6608" sId="3">
    <oc r="J53">
      <v>15</v>
    </oc>
    <nc r="J53"/>
  </rcc>
  <rcc rId="6609" sId="3">
    <oc r="K53">
      <v>19</v>
    </oc>
    <nc r="K53"/>
  </rcc>
  <rcc rId="6610" sId="3">
    <oc r="L53">
      <v>19</v>
    </oc>
    <nc r="L53"/>
  </rcc>
  <rcc rId="6611" sId="3">
    <oc r="M53" t="inlineStr">
      <is>
        <t>no</t>
      </is>
    </oc>
    <nc r="M53"/>
  </rcc>
  <rcc rId="6612" sId="3">
    <oc r="N53" t="inlineStr">
      <is>
        <t>no</t>
      </is>
    </oc>
    <nc r="N53"/>
  </rcc>
  <rcc rId="6613" sId="3">
    <oc r="O53">
      <v>8</v>
    </oc>
    <nc r="O53"/>
  </rcc>
  <rcc rId="6614" sId="3">
    <oc r="P53">
      <v>0</v>
    </oc>
    <nc r="P53"/>
  </rcc>
  <rcc rId="6615" sId="3">
    <oc r="Q53">
      <v>3</v>
    </oc>
    <nc r="Q53"/>
  </rcc>
  <rcc rId="6616" sId="3">
    <oc r="R53">
      <v>12</v>
    </oc>
    <nc r="R53"/>
  </rcc>
  <rcc rId="6617" sId="3">
    <oc r="S53">
      <v>2</v>
    </oc>
    <nc r="S53"/>
  </rcc>
  <rcc rId="6618" sId="3">
    <oc r="T53">
      <v>2</v>
    </oc>
    <nc r="T53"/>
  </rcc>
  <rcc rId="6619" sId="3">
    <oc r="U53" t="inlineStr">
      <is>
        <t>Xcode</t>
      </is>
    </oc>
    <nc r="U53"/>
  </rcc>
  <rcc rId="6620" sId="3">
    <oc r="V53" t="inlineStr">
      <is>
        <t>T1.10B9</t>
      </is>
    </oc>
    <nc r="V53"/>
  </rcc>
  <rcc rId="6621" sId="3">
    <oc r="W53" t="inlineStr">
      <is>
        <t>Pass</t>
      </is>
    </oc>
    <nc r="W53"/>
  </rcc>
  <rcc rId="6622" sId="3">
    <oc r="X53" t="inlineStr">
      <is>
        <t>MPE warnings on all units, uplink system known issue
CSCum55502: empty assert on .104</t>
      </is>
    </oc>
    <nc r="X53"/>
  </rcc>
  <rcc rId="6623" sId="3" numFmtId="19">
    <oc r="A54">
      <v>41661</v>
    </oc>
    <nc r="A54"/>
  </rcc>
  <rcc rId="6624" sId="3">
    <oc r="B54">
      <v>14</v>
    </oc>
    <nc r="B54"/>
  </rcc>
  <rcc rId="6625" sId="3">
    <oc r="C54">
      <v>2</v>
    </oc>
    <nc r="C54"/>
  </rcc>
  <rcc rId="6626" sId="3">
    <oc r="D54">
      <v>9</v>
    </oc>
    <nc r="D54"/>
  </rcc>
  <rcc rId="6627" sId="3">
    <oc r="E54">
      <v>14</v>
    </oc>
    <nc r="E54"/>
  </rcc>
  <rcc rId="6628" sId="3">
    <oc r="F54">
      <v>10</v>
    </oc>
    <nc r="F54"/>
  </rcc>
  <rcc rId="6629" sId="3">
    <oc r="G54">
      <v>24</v>
    </oc>
    <nc r="G54"/>
  </rcc>
  <rcc rId="6630" sId="3">
    <oc r="H54">
      <v>24</v>
    </oc>
    <nc r="H54"/>
  </rcc>
  <rcc rId="6631" sId="3">
    <oc r="I54">
      <v>24</v>
    </oc>
    <nc r="I54"/>
  </rcc>
  <rcc rId="6632" sId="3">
    <oc r="J54">
      <v>24</v>
    </oc>
    <nc r="J54"/>
  </rcc>
  <rcc rId="6633" sId="3">
    <oc r="K54">
      <v>24</v>
    </oc>
    <nc r="K54"/>
  </rcc>
  <rcc rId="6634" sId="3">
    <oc r="L54">
      <v>24</v>
    </oc>
    <nc r="L54"/>
  </rcc>
  <rcc rId="6635" sId="3">
    <oc r="M54">
      <v>24</v>
    </oc>
    <nc r="M54"/>
  </rcc>
  <rcc rId="6636" sId="3">
    <oc r="N54">
      <v>24</v>
    </oc>
    <nc r="N54"/>
  </rcc>
  <rcc rId="6637" sId="3">
    <oc r="O54">
      <v>3</v>
    </oc>
    <nc r="O54"/>
  </rcc>
  <rcc rId="6638" sId="3">
    <oc r="P54">
      <v>2</v>
    </oc>
    <nc r="P54"/>
  </rcc>
  <rcc rId="6639" sId="3">
    <oc r="Q54">
      <v>1</v>
    </oc>
    <nc r="Q54"/>
  </rcc>
  <rcc rId="6640" sId="3">
    <oc r="R54">
      <v>5</v>
    </oc>
    <nc r="R54"/>
  </rcc>
  <rcc rId="6641" sId="3">
    <oc r="S54">
      <v>1</v>
    </oc>
    <nc r="S54"/>
  </rcc>
  <rcc rId="6642" sId="3">
    <oc r="T54">
      <v>2</v>
    </oc>
    <nc r="T54"/>
  </rcc>
  <rcc rId="6643" sId="3">
    <oc r="U54" t="inlineStr">
      <is>
        <t>Xcode</t>
      </is>
    </oc>
    <nc r="U54"/>
  </rcc>
  <rcc rId="6644" sId="3">
    <oc r="V54" t="inlineStr">
      <is>
        <t>T1.10B9</t>
      </is>
    </oc>
    <nc r="V54"/>
  </rcc>
  <rcc rId="6645" sId="3">
    <oc r="W54" t="inlineStr">
      <is>
        <t>Pass</t>
      </is>
    </oc>
    <nc r="W54"/>
  </rcc>
  <rcc rId="6646" sId="3">
    <oc r="X54" t="inlineStr">
      <is>
        <r>
          <t xml:space="preserve">VBI warnings on all, known issue
MPE warnings on all units, uplink system known issue
</t>
        </r>
        <r>
          <rPr>
            <sz val="9"/>
            <color rgb="FFFF0000"/>
            <rFont val="Calibri"/>
            <family val="2"/>
          </rPr>
          <t xml:space="preserve">TXC reset on .104 due to Transcoder heartbeat message timeout exceeded </t>
        </r>
        <r>
          <rPr>
            <sz val="9"/>
            <rFont val="Calibri"/>
            <family val="2"/>
          </rPr>
          <t xml:space="preserve">
CSCuh25081:AUD2 warnings on all
</t>
        </r>
      </is>
    </oc>
    <nc r="X54"/>
  </rcc>
  <rcc rId="6647" sId="3" numFmtId="19">
    <oc r="A55">
      <v>41662</v>
    </oc>
    <nc r="A55"/>
  </rcc>
  <rcc rId="6648" sId="3">
    <oc r="B55">
      <v>14</v>
    </oc>
    <nc r="B55"/>
  </rcc>
  <rcc rId="6649" sId="3">
    <oc r="C55">
      <v>2</v>
    </oc>
    <nc r="C55"/>
  </rcc>
  <rcc rId="6650" sId="3">
    <oc r="D55">
      <v>8</v>
    </oc>
    <nc r="D55"/>
  </rcc>
  <rcc rId="6651" sId="3">
    <oc r="E55">
      <v>3</v>
    </oc>
    <nc r="E55"/>
  </rcc>
  <rcc rId="6652" sId="3">
    <oc r="F55">
      <v>12</v>
    </oc>
    <nc r="F55"/>
  </rcc>
  <rcc rId="6653" sId="3">
    <oc r="G55">
      <v>24</v>
    </oc>
    <nc r="G55"/>
  </rcc>
  <rcc rId="6654" sId="3">
    <oc r="H55">
      <v>24</v>
    </oc>
    <nc r="H55"/>
  </rcc>
  <rcc rId="6655" sId="3">
    <oc r="I55">
      <v>24</v>
    </oc>
    <nc r="I55"/>
  </rcc>
  <rcc rId="6656" sId="3">
    <oc r="J55">
      <v>24</v>
    </oc>
    <nc r="J55"/>
  </rcc>
  <rcc rId="6657" sId="3">
    <oc r="K55">
      <v>24</v>
    </oc>
    <nc r="K55"/>
  </rcc>
  <rcc rId="6658" sId="3">
    <oc r="L55">
      <v>24</v>
    </oc>
    <nc r="L55"/>
  </rcc>
  <rcc rId="6659" sId="3">
    <oc r="M55">
      <v>24</v>
    </oc>
    <nc r="M55"/>
  </rcc>
  <rcc rId="6660" sId="3">
    <oc r="N55">
      <v>24</v>
    </oc>
    <nc r="N55"/>
  </rcc>
  <rcc rId="6661" sId="3">
    <oc r="O55">
      <v>3</v>
    </oc>
    <nc r="O55"/>
  </rcc>
  <rcc rId="6662" sId="3">
    <oc r="P55">
      <v>2</v>
    </oc>
    <nc r="P55"/>
  </rcc>
  <rcc rId="6663" sId="3">
    <oc r="Q55">
      <v>2</v>
    </oc>
    <nc r="Q55"/>
  </rcc>
  <rcc rId="6664" sId="3">
    <oc r="R55">
      <v>1</v>
    </oc>
    <nc r="R55"/>
  </rcc>
  <rcc rId="6665" sId="3">
    <oc r="S55">
      <v>1</v>
    </oc>
    <nc r="S55"/>
  </rcc>
  <rcc rId="6666" sId="3">
    <oc r="T55">
      <v>2</v>
    </oc>
    <nc r="T55"/>
  </rcc>
  <rcc rId="6667" sId="3">
    <oc r="U55" t="inlineStr">
      <is>
        <t>Xcode</t>
      </is>
    </oc>
    <nc r="U55"/>
  </rcc>
  <rcc rId="6668" sId="3">
    <oc r="V55" t="inlineStr">
      <is>
        <t>T1.10B9</t>
      </is>
    </oc>
    <nc r="V55"/>
  </rcc>
  <rcc rId="6669" sId="3">
    <oc r="W55" t="inlineStr">
      <is>
        <t>Pass</t>
      </is>
    </oc>
    <nc r="W55"/>
  </rcc>
  <rcc rId="6670" sId="3">
    <oc r="X55" t="inlineStr">
      <is>
        <t xml:space="preserve">VBI warnings on all, known issue
MPE warnings on all units, uplink system known issue
CSCuh25081:AUD2 warnings on 7
</t>
      </is>
    </oc>
    <nc r="X55"/>
  </rcc>
  <rcc rId="6671" sId="3" numFmtId="19">
    <oc r="A56">
      <v>41663</v>
    </oc>
    <nc r="A56"/>
  </rcc>
  <rcc rId="6672" sId="3">
    <oc r="B56">
      <v>3</v>
    </oc>
    <nc r="B56"/>
  </rcc>
  <rcc rId="6673" sId="3">
    <oc r="C56">
      <v>3</v>
    </oc>
    <nc r="C56"/>
  </rcc>
  <rcc rId="6674" sId="3">
    <oc r="D56">
      <v>14</v>
    </oc>
    <nc r="D56"/>
  </rcc>
  <rcc rId="6675" sId="3">
    <oc r="E56">
      <v>10</v>
    </oc>
    <nc r="E56"/>
  </rcc>
  <rcc rId="6676" sId="3">
    <oc r="F56">
      <v>8</v>
    </oc>
    <nc r="F56"/>
  </rcc>
  <rcc rId="6677" sId="3">
    <oc r="G56">
      <v>12</v>
    </oc>
    <nc r="G56"/>
  </rcc>
  <rcc rId="6678" sId="3">
    <oc r="H56">
      <v>12</v>
    </oc>
    <nc r="H56"/>
  </rcc>
  <rcc rId="6679" sId="3">
    <oc r="I56">
      <v>12</v>
    </oc>
    <nc r="I56"/>
  </rcc>
  <rcc rId="6680" sId="3">
    <oc r="J56">
      <v>12</v>
    </oc>
    <nc r="J56"/>
  </rcc>
  <rcc rId="6681" sId="3">
    <oc r="K56">
      <v>12</v>
    </oc>
    <nc r="K56"/>
  </rcc>
  <rcc rId="6682" sId="3">
    <oc r="L56">
      <v>12</v>
    </oc>
    <nc r="L56"/>
  </rcc>
  <rcc rId="6683" sId="3">
    <oc r="M56">
      <v>12</v>
    </oc>
    <nc r="M56"/>
  </rcc>
  <rcc rId="6684" sId="3">
    <oc r="N56">
      <v>12</v>
    </oc>
    <nc r="N56"/>
  </rcc>
  <rcc rId="6685" sId="3">
    <oc r="O56">
      <v>3</v>
    </oc>
    <nc r="O56"/>
  </rcc>
  <rcc rId="6686" sId="3">
    <oc r="P56">
      <v>1</v>
    </oc>
    <nc r="P56"/>
  </rcc>
  <rcc rId="6687" sId="3">
    <oc r="Q56">
      <v>2</v>
    </oc>
    <nc r="Q56"/>
  </rcc>
  <rcc rId="6688" sId="3">
    <oc r="R56">
      <v>1</v>
    </oc>
    <nc r="R56"/>
  </rcc>
  <rcc rId="6689" sId="3">
    <oc r="S56">
      <v>1</v>
    </oc>
    <nc r="S56"/>
  </rcc>
  <rcc rId="6690" sId="3">
    <oc r="T56">
      <v>2</v>
    </oc>
    <nc r="T56"/>
  </rcc>
  <rcc rId="6691" sId="3">
    <oc r="U56" t="inlineStr">
      <is>
        <t>Xcode</t>
      </is>
    </oc>
    <nc r="U56"/>
  </rcc>
  <rcc rId="6692" sId="3">
    <oc r="V56" t="inlineStr">
      <is>
        <t>T1.10B9</t>
      </is>
    </oc>
    <nc r="V56"/>
  </rcc>
  <rcc rId="6693" sId="3">
    <oc r="W56" t="inlineStr">
      <is>
        <t>Pass</t>
      </is>
    </oc>
    <nc r="W56"/>
  </rcc>
  <rcc rId="6694" sId="3">
    <oc r="X56" t="inlineStr">
      <is>
        <t>CSCuh25081: AUD2
CSCuh25144: VID on .120
MPE warnings on all units, uplink system known issue.
TX CC errors on VBI PID 4150 co-timed on all units, uplink issue</t>
      </is>
    </oc>
    <nc r="X56"/>
  </rcc>
  <rcc rId="6695" sId="3" numFmtId="19">
    <oc r="A57">
      <v>41666</v>
    </oc>
    <nc r="A57"/>
  </rcc>
  <rcc rId="6696" sId="3">
    <oc r="B57">
      <v>9</v>
    </oc>
    <nc r="B57"/>
  </rcc>
  <rcc rId="6697" sId="3">
    <oc r="C57">
      <v>3</v>
    </oc>
    <nc r="C57"/>
  </rcc>
  <rcc rId="6698" sId="3">
    <oc r="D57">
      <v>6</v>
    </oc>
    <nc r="D57"/>
  </rcc>
  <rcc rId="6699" sId="3">
    <oc r="E57">
      <v>38</v>
    </oc>
    <nc r="E57"/>
  </rcc>
  <rcc rId="6700" sId="3">
    <oc r="F57">
      <v>0</v>
    </oc>
    <nc r="F57"/>
  </rcc>
  <rcc rId="6701" sId="3">
    <oc r="G57">
      <v>22</v>
    </oc>
    <nc r="G57"/>
  </rcc>
  <rcc rId="6702" sId="3">
    <oc r="H57">
      <v>22</v>
    </oc>
    <nc r="H57"/>
  </rcc>
  <rcc rId="6703" sId="3">
    <oc r="I57">
      <v>22</v>
    </oc>
    <nc r="I57"/>
  </rcc>
  <rcc rId="6704" sId="3">
    <oc r="J57">
      <v>22</v>
    </oc>
    <nc r="J57"/>
  </rcc>
  <rcc rId="6705" sId="3">
    <oc r="K57">
      <v>22</v>
    </oc>
    <nc r="K57"/>
  </rcc>
  <rcc rId="6706" sId="3">
    <oc r="L57">
      <v>22</v>
    </oc>
    <nc r="L57"/>
  </rcc>
  <rcc rId="6707" sId="3">
    <oc r="M57">
      <v>22</v>
    </oc>
    <nc r="M57"/>
  </rcc>
  <rcc rId="6708" sId="3">
    <oc r="N57">
      <v>22</v>
    </oc>
    <nc r="N57"/>
  </rcc>
  <rcc rId="6709" sId="3">
    <oc r="O57">
      <v>4</v>
    </oc>
    <nc r="O57"/>
  </rcc>
  <rcc rId="6710" sId="3">
    <oc r="P57">
      <v>5</v>
    </oc>
    <nc r="P57"/>
  </rcc>
  <rcc rId="6711" sId="3">
    <oc r="Q57">
      <v>3</v>
    </oc>
    <nc r="Q57"/>
  </rcc>
  <rcc rId="6712" sId="3">
    <oc r="R57">
      <v>2</v>
    </oc>
    <nc r="R57"/>
  </rcc>
  <rcc rId="6713" sId="3">
    <oc r="S57">
      <v>1</v>
    </oc>
    <nc r="S57"/>
  </rcc>
  <rcc rId="6714" sId="3">
    <oc r="T57">
      <v>2</v>
    </oc>
    <nc r="T57"/>
  </rcc>
  <rcc rId="6715" sId="3">
    <oc r="U57">
      <v>5</v>
    </oc>
    <nc r="U57"/>
  </rcc>
  <rcc rId="6716" sId="3">
    <oc r="V57" t="inlineStr">
      <is>
        <t>T1.10B9</t>
      </is>
    </oc>
    <nc r="V57"/>
  </rcc>
  <rcc rId="6717" sId="3">
    <oc r="W57" t="inlineStr">
      <is>
        <t>Pass</t>
      </is>
    </oc>
    <nc r="W57"/>
  </rcc>
  <rcc rId="6718" sId="3">
    <oc r="X57" t="inlineStr">
      <is>
        <r>
          <t xml:space="preserve">TX buffer overflow on MPE PID 4001 co-timed with AW warning on 9 units due to MPE rate @ 10Mbps.
CSCuh09994:IPAL assert on 3 units, known issue 
TX CC errors on VBI PID 206 co-timed on all units, uplink issue. 
MPE warnings on all units, uplink system known issue.
</t>
        </r>
        <r>
          <rPr>
            <sz val="9"/>
            <color rgb="FFFF0000"/>
            <rFont val="Calibri"/>
            <family val="2"/>
          </rPr>
          <t xml:space="preserve">TXC reset on .104 due to Transcoder heartbeat message timeout exceeded </t>
        </r>
        <r>
          <rPr>
            <sz val="9"/>
            <rFont val="Calibri"/>
            <family val="2"/>
          </rPr>
          <t xml:space="preserve">
</t>
        </r>
      </is>
    </oc>
    <nc r="X57"/>
  </rcc>
  <rcc rId="6719" sId="3" numFmtId="19">
    <oc r="A58">
      <v>41667</v>
    </oc>
    <nc r="A58"/>
  </rcc>
  <rcc rId="6720" sId="3">
    <oc r="B58">
      <v>14</v>
    </oc>
    <nc r="B58"/>
  </rcc>
  <rcc rId="6721" sId="3">
    <oc r="C58">
      <v>7</v>
    </oc>
    <nc r="C58"/>
  </rcc>
  <rcc rId="6722" sId="3">
    <oc r="D58">
      <v>17</v>
    </oc>
    <nc r="D58"/>
  </rcc>
  <rcc rId="6723" sId="3">
    <oc r="E58">
      <v>34</v>
    </oc>
    <nc r="E58"/>
  </rcc>
  <rcc rId="6724" sId="3">
    <oc r="F58">
      <v>14</v>
    </oc>
    <nc r="F58"/>
  </rcc>
  <rcc rId="6725" sId="3">
    <oc r="G58">
      <v>31</v>
    </oc>
    <nc r="G58"/>
  </rcc>
  <rcc rId="6726" sId="3">
    <oc r="H58">
      <v>31</v>
    </oc>
    <nc r="H58"/>
  </rcc>
  <rcc rId="6727" sId="3">
    <oc r="I58">
      <v>31</v>
    </oc>
    <nc r="I58"/>
  </rcc>
  <rcc rId="6728" sId="3">
    <oc r="J58">
      <v>31</v>
    </oc>
    <nc r="J58"/>
  </rcc>
  <rcc rId="6729" sId="3">
    <oc r="K58">
      <v>33</v>
    </oc>
    <nc r="K58"/>
  </rcc>
  <rcc rId="6730" sId="3">
    <oc r="L58">
      <v>33</v>
    </oc>
    <nc r="L58"/>
  </rcc>
  <rcc rId="6731" sId="3">
    <oc r="M58" t="inlineStr">
      <is>
        <t>NO</t>
      </is>
    </oc>
    <nc r="M58"/>
  </rcc>
  <rcc rId="6732" sId="3">
    <oc r="N58" t="inlineStr">
      <is>
        <t>NO</t>
      </is>
    </oc>
    <nc r="N58"/>
  </rcc>
  <rcc rId="6733" sId="3">
    <oc r="O58">
      <v>6</v>
    </oc>
    <nc r="O58"/>
  </rcc>
  <rcc rId="6734" sId="3">
    <oc r="P58">
      <v>5</v>
    </oc>
    <nc r="P58"/>
  </rcc>
  <rcc rId="6735" sId="3">
    <oc r="Q58">
      <v>1</v>
    </oc>
    <nc r="Q58"/>
  </rcc>
  <rcc rId="6736" sId="3">
    <oc r="R58">
      <v>5</v>
    </oc>
    <nc r="R58"/>
  </rcc>
  <rcc rId="6737" sId="3">
    <oc r="S58">
      <v>1</v>
    </oc>
    <nc r="S58"/>
  </rcc>
  <rcc rId="6738" sId="3">
    <oc r="T58">
      <v>2</v>
    </oc>
    <nc r="T58"/>
  </rcc>
  <rcc rId="6739" sId="3">
    <oc r="U58">
      <v>6</v>
    </oc>
    <nc r="U58"/>
  </rcc>
  <rcc rId="6740" sId="3">
    <oc r="V58" t="inlineStr">
      <is>
        <t>T1.10B9</t>
      </is>
    </oc>
    <nc r="V58"/>
  </rcc>
  <rcc rId="6741" sId="3">
    <oc r="W58" t="inlineStr">
      <is>
        <t>Pass</t>
      </is>
    </oc>
    <nc r="W58"/>
  </rcc>
  <rcc rId="6742" sId="3">
    <oc r="X58" t="inlineStr">
      <is>
        <r>
          <t xml:space="preserve">TX buffer overflow on VID PID 100 co-timed with video hits on 4 units due to higher video bit rate @ 30Mbps, known issue.
CSCuh25081: AUD2 on some units
TX CC errors on VBI PID 107 co-timed on all units, uplink issue.
TX CC errors on MPE PID 4005 co-timed on all units, uplink issue.
MPE warnings on all units, uplink system known issue.
</t>
        </r>
        <r>
          <rPr>
            <sz val="9"/>
            <color rgb="FFFF0000"/>
            <rFont val="Calibri"/>
            <family val="2"/>
          </rPr>
          <t>No video on PE 6 on unit .222(particular transcoder did not get initialized)</t>
        </r>
        <r>
          <rPr>
            <sz val="9"/>
            <rFont val="Calibri"/>
            <family val="2"/>
          </rPr>
          <t xml:space="preserve">
</t>
        </r>
      </is>
    </oc>
    <nc r="X58"/>
  </rcc>
  <rcc rId="6743" sId="3" numFmtId="19">
    <oc r="A59">
      <v>41668</v>
    </oc>
    <nc r="A59"/>
  </rcc>
  <rcc rId="6744" sId="3">
    <oc r="B59">
      <v>14</v>
    </oc>
    <nc r="B59"/>
  </rcc>
  <rcc rId="6745" sId="3">
    <oc r="C59">
      <v>17</v>
    </oc>
    <nc r="C59"/>
  </rcc>
  <rcc rId="6746" sId="3">
    <oc r="D59">
      <v>17</v>
    </oc>
    <nc r="D59"/>
  </rcc>
  <rcc rId="6747" sId="3">
    <oc r="E59">
      <v>34</v>
    </oc>
    <nc r="E59"/>
  </rcc>
  <rcc rId="6748" sId="3">
    <oc r="F59">
      <v>4</v>
    </oc>
    <nc r="F59"/>
  </rcc>
  <rcc rId="6749" sId="3">
    <oc r="G59">
      <v>14</v>
    </oc>
    <nc r="G59"/>
  </rcc>
  <rcc rId="6750" sId="3">
    <oc r="H59">
      <v>14</v>
    </oc>
    <nc r="H59"/>
  </rcc>
  <rcc rId="6751" sId="3">
    <oc r="I59">
      <v>14</v>
    </oc>
    <nc r="I59"/>
  </rcc>
  <rcc rId="6752" sId="3">
    <oc r="J59">
      <v>14</v>
    </oc>
    <nc r="J59"/>
  </rcc>
  <rcc rId="6753" sId="3">
    <oc r="K59">
      <v>13</v>
    </oc>
    <nc r="K59"/>
  </rcc>
  <rcc rId="6754" sId="3">
    <oc r="L59">
      <v>13</v>
    </oc>
    <nc r="L59"/>
  </rcc>
  <rcc rId="6755" sId="3">
    <oc r="M59" t="inlineStr">
      <is>
        <t>NO</t>
      </is>
    </oc>
    <nc r="M59"/>
  </rcc>
  <rcc rId="6756" sId="3">
    <oc r="N59" t="inlineStr">
      <is>
        <t>NO</t>
      </is>
    </oc>
    <nc r="N59"/>
  </rcc>
  <rcc rId="6757" sId="3">
    <oc r="O59">
      <v>8</v>
    </oc>
    <nc r="O59"/>
  </rcc>
  <rcc rId="6758" sId="3">
    <oc r="P59">
      <v>5</v>
    </oc>
    <nc r="P59"/>
  </rcc>
  <rcc rId="6759" sId="3">
    <oc r="Q59">
      <v>1</v>
    </oc>
    <nc r="Q59"/>
  </rcc>
  <rcc rId="6760" sId="3">
    <oc r="R59">
      <v>5</v>
    </oc>
    <nc r="R59"/>
  </rcc>
  <rcc rId="6761" sId="3">
    <oc r="S59">
      <v>1</v>
    </oc>
    <nc r="S59"/>
  </rcc>
  <rcc rId="6762" sId="3">
    <oc r="T59">
      <v>2</v>
    </oc>
    <nc r="T59"/>
  </rcc>
  <rcc rId="6763" sId="3">
    <oc r="U59">
      <v>6</v>
    </oc>
    <nc r="U59"/>
  </rcc>
  <rcc rId="6764" sId="3">
    <oc r="V59" t="inlineStr">
      <is>
        <t>T1.10B9</t>
      </is>
    </oc>
    <nc r="V59"/>
  </rcc>
  <rcc rId="6765" sId="3">
    <oc r="W59" t="inlineStr">
      <is>
        <t>Pass</t>
      </is>
    </oc>
    <nc r="W59"/>
  </rcc>
  <rcc rId="6766" sId="3">
    <oc r="X59" t="inlineStr">
      <is>
        <t>TX buffer overflow on VID PID 100 co-timed with video hits on 2 units due to higher video bit rate @ 30Mbps, known issue.
CSCuh25081: AUD2 on some units
MPE warnings on all units, uplink system known issue.</t>
      </is>
    </oc>
    <nc r="X59"/>
  </rcc>
  <rcc rId="6767" sId="3" numFmtId="19">
    <oc r="A60">
      <v>41669</v>
    </oc>
    <nc r="A60"/>
  </rcc>
  <rcc rId="6768" sId="3">
    <oc r="B60">
      <v>19</v>
    </oc>
    <nc r="B60"/>
  </rcc>
  <rcc rId="6769" sId="3">
    <oc r="C60">
      <v>18</v>
    </oc>
    <nc r="C60"/>
  </rcc>
  <rcc rId="6770" sId="3">
    <oc r="D60">
      <v>29</v>
    </oc>
    <nc r="D60"/>
  </rcc>
  <rcc rId="6771" sId="3">
    <oc r="E60">
      <v>30</v>
    </oc>
    <nc r="E60"/>
  </rcc>
  <rcc rId="6772" sId="3">
    <oc r="F60">
      <v>6</v>
    </oc>
    <nc r="F60"/>
  </rcc>
  <rcc rId="6773" sId="3">
    <oc r="G60">
      <v>25</v>
    </oc>
    <nc r="G60"/>
  </rcc>
  <rcc rId="6774" sId="3">
    <oc r="H60">
      <v>25</v>
    </oc>
    <nc r="H60"/>
  </rcc>
  <rcc rId="6775" sId="3">
    <oc r="I60">
      <v>25</v>
    </oc>
    <nc r="I60"/>
  </rcc>
  <rcc rId="6776" sId="3">
    <oc r="J60">
      <v>25</v>
    </oc>
    <nc r="J60"/>
  </rcc>
  <rcc rId="6777" sId="3">
    <oc r="K60">
      <v>27</v>
    </oc>
    <nc r="K60"/>
  </rcc>
  <rcc rId="6778" sId="3">
    <oc r="L60">
      <v>27</v>
    </oc>
    <nc r="L60"/>
  </rcc>
  <rcc rId="6779" sId="3">
    <oc r="M60">
      <v>27</v>
    </oc>
    <nc r="M60"/>
  </rcc>
  <rcc rId="6780" sId="3">
    <oc r="N60">
      <v>27</v>
    </oc>
    <nc r="N60"/>
  </rcc>
  <rcc rId="6781" sId="3">
    <oc r="O60">
      <v>6</v>
    </oc>
    <nc r="O60"/>
  </rcc>
  <rcc rId="6782" sId="3">
    <oc r="P60">
      <v>6</v>
    </oc>
    <nc r="P60"/>
  </rcc>
  <rcc rId="6783" sId="3">
    <oc r="Q60">
      <v>1</v>
    </oc>
    <nc r="Q60"/>
  </rcc>
  <rcc rId="6784" sId="3">
    <oc r="R60">
      <v>5</v>
    </oc>
    <nc r="R60"/>
  </rcc>
  <rcc rId="6785" sId="3">
    <oc r="S60">
      <v>1</v>
    </oc>
    <nc r="S60"/>
  </rcc>
  <rcc rId="6786" sId="3">
    <oc r="T60">
      <v>2</v>
    </oc>
    <nc r="T60"/>
  </rcc>
  <rcc rId="6787" sId="3">
    <oc r="U60">
      <v>6</v>
    </oc>
    <nc r="U60"/>
  </rcc>
  <rcc rId="6788" sId="3">
    <oc r="V60" t="inlineStr">
      <is>
        <t>T1.10B9</t>
      </is>
    </oc>
    <nc r="V60"/>
  </rcc>
  <rcc rId="6789" sId="3">
    <oc r="W60" t="inlineStr">
      <is>
        <t>Pass</t>
      </is>
    </oc>
    <nc r="W60"/>
  </rcc>
  <rcc rId="6790" sId="3">
    <oc r="X60" t="inlineStr">
      <is>
        <t xml:space="preserve">CSCuh25144: VID warnings on unit .120
TX CC errors on VBI PID 106 co-timed on all units, uplink issue.
MPE warnings on all, uplink system known issue. 
</t>
      </is>
    </oc>
    <nc r="X60"/>
  </rcc>
  <rcc rId="6791" sId="3" numFmtId="19">
    <oc r="A61">
      <v>41670</v>
    </oc>
    <nc r="A61"/>
  </rcc>
  <rcc rId="6792" sId="3">
    <oc r="B61">
      <v>14</v>
    </oc>
    <nc r="B61"/>
  </rcc>
  <rcc rId="6793" sId="3">
    <oc r="C61">
      <v>18</v>
    </oc>
    <nc r="C61"/>
  </rcc>
  <rcc rId="6794" sId="3">
    <oc r="D61">
      <v>23</v>
    </oc>
    <nc r="D61"/>
  </rcc>
  <rcc rId="6795" sId="3">
    <oc r="E61">
      <v>48</v>
    </oc>
    <nc r="E61"/>
  </rcc>
  <rcc rId="6796" sId="3">
    <oc r="F61">
      <v>10</v>
    </oc>
    <nc r="F61"/>
  </rcc>
  <rcc rId="6797" sId="3">
    <oc r="G61">
      <v>15</v>
    </oc>
    <nc r="G61"/>
  </rcc>
  <rcc rId="6798" sId="3">
    <oc r="H61">
      <v>15</v>
    </oc>
    <nc r="H61"/>
  </rcc>
  <rcc rId="6799" sId="3">
    <oc r="I61">
      <v>15</v>
    </oc>
    <nc r="I61"/>
  </rcc>
  <rcc rId="6800" sId="3">
    <oc r="J61">
      <v>15</v>
    </oc>
    <nc r="J61"/>
  </rcc>
  <rcc rId="6801" sId="3">
    <oc r="K61">
      <v>19</v>
    </oc>
    <nc r="K61"/>
  </rcc>
  <rcc rId="6802" sId="3">
    <oc r="L61">
      <v>19</v>
    </oc>
    <nc r="L61"/>
  </rcc>
  <rcc rId="6803" sId="3">
    <oc r="M61" t="inlineStr">
      <is>
        <t>NO</t>
      </is>
    </oc>
    <nc r="M61"/>
  </rcc>
  <rcc rId="6804" sId="3">
    <oc r="N61" t="inlineStr">
      <is>
        <t>NO</t>
      </is>
    </oc>
    <nc r="N61"/>
  </rcc>
  <rcc rId="6805" sId="3">
    <oc r="O61">
      <v>8</v>
    </oc>
    <nc r="O61"/>
  </rcc>
  <rcc rId="6806" sId="3">
    <oc r="P61">
      <v>5</v>
    </oc>
    <nc r="P61"/>
  </rcc>
  <rcc rId="6807" sId="3">
    <oc r="Q61">
      <v>1</v>
    </oc>
    <nc r="Q61"/>
  </rcc>
  <rcc rId="6808" sId="3">
    <oc r="R61">
      <v>5</v>
    </oc>
    <nc r="R61"/>
  </rcc>
  <rcc rId="6809" sId="3">
    <oc r="S61">
      <v>1</v>
    </oc>
    <nc r="S61"/>
  </rcc>
  <rcc rId="6810" sId="3">
    <oc r="T61">
      <v>2</v>
    </oc>
    <nc r="T61"/>
  </rcc>
  <rcc rId="6811" sId="3">
    <oc r="U61">
      <v>7</v>
    </oc>
    <nc r="U61"/>
  </rcc>
  <rcc rId="6812" sId="3">
    <oc r="V61" t="inlineStr">
      <is>
        <t>T1.10B9</t>
      </is>
    </oc>
    <nc r="V61"/>
  </rcc>
  <rcc rId="6813" sId="3">
    <oc r="W61" t="inlineStr">
      <is>
        <t>C. Pass</t>
      </is>
    </oc>
    <nc r="W61"/>
  </rcc>
  <rcc rId="6814" sId="3">
    <oc r="X61" t="inlineStr">
      <is>
        <r>
          <rPr>
            <sz val="9"/>
            <color rgb="FFFF0000"/>
            <rFont val="Calibri"/>
            <family val="2"/>
          </rPr>
          <t xml:space="preserve">Reset: .131
Continuou rebooting on 231/232
Empty msg on 113
</t>
        </r>
        <r>
          <rPr>
            <sz val="9"/>
            <rFont val="Calibri"/>
            <family val="2"/>
          </rPr>
          <t>TX CC errors on VBI PID 107 co-timed on all units, uplink issue. 
TX CC errors on SUBT PID 1010 co-timed on all units, uplink issue. 
TX CC errors on MPE PID 4001-05 co-timed on all units, uplink issue. 
TX buffer overflow on VID PID 100 on 7 units due to high video bit rate @ 30Mbps, known issue. 
CSCuh25081.: AUD2 warnings on some units 
MPE warnings on all units, uplink system known issue.</t>
        </r>
        <r>
          <rPr>
            <sz val="9"/>
            <color rgb="FFFF0000"/>
            <rFont val="Calibri"/>
            <family val="2"/>
          </rPr>
          <t xml:space="preserve">
</t>
        </r>
      </is>
    </oc>
    <nc r="X61"/>
  </rcc>
  <rcc rId="6815" sId="3" numFmtId="19">
    <oc r="A62">
      <v>41673</v>
    </oc>
    <nc r="A62"/>
  </rcc>
  <rcc rId="6816" sId="3">
    <oc r="B62">
      <v>14</v>
    </oc>
    <nc r="B62"/>
  </rcc>
  <rcc rId="6817" sId="3">
    <oc r="C62">
      <v>15</v>
    </oc>
    <nc r="C62"/>
  </rcc>
  <rcc rId="6818" sId="3">
    <oc r="D62">
      <v>24</v>
    </oc>
    <nc r="D62"/>
  </rcc>
  <rcc rId="6819" sId="3">
    <oc r="E62">
      <v>52</v>
    </oc>
    <nc r="E62"/>
  </rcc>
  <rcc rId="6820" sId="3">
    <oc r="F62">
      <v>11</v>
    </oc>
    <nc r="F62"/>
  </rcc>
  <rcc rId="6821" sId="3">
    <oc r="G62">
      <v>32</v>
    </oc>
    <nc r="G62"/>
  </rcc>
  <rcc rId="6822" sId="3">
    <oc r="H62">
      <v>32</v>
    </oc>
    <nc r="H62"/>
  </rcc>
  <rcc rId="6823" sId="3">
    <oc r="I62">
      <v>32</v>
    </oc>
    <nc r="I62"/>
  </rcc>
  <rcc rId="6824" sId="3">
    <oc r="J62">
      <v>32</v>
    </oc>
    <nc r="J62"/>
  </rcc>
  <rcc rId="6825" sId="3">
    <oc r="K62">
      <v>34</v>
    </oc>
    <nc r="K62"/>
  </rcc>
  <rcc rId="6826" sId="3">
    <oc r="L62">
      <v>34</v>
    </oc>
    <nc r="L62"/>
  </rcc>
  <rcc rId="6827" sId="3">
    <oc r="M62">
      <v>34</v>
    </oc>
    <nc r="M62"/>
  </rcc>
  <rcc rId="6828" sId="3">
    <oc r="N62">
      <v>34</v>
    </oc>
    <nc r="N62"/>
  </rcc>
  <rcc rId="6829" sId="3">
    <oc r="O62">
      <v>6</v>
    </oc>
    <nc r="O62"/>
  </rcc>
  <rcc rId="6830" sId="3">
    <oc r="P62">
      <v>6</v>
    </oc>
    <nc r="P62"/>
  </rcc>
  <rcc rId="6831" sId="3">
    <oc r="Q62">
      <v>1</v>
    </oc>
    <nc r="Q62"/>
  </rcc>
  <rcc rId="6832" sId="3">
    <oc r="R62">
      <v>5</v>
    </oc>
    <nc r="R62"/>
  </rcc>
  <rcc rId="6833" sId="3">
    <oc r="S62">
      <v>1</v>
    </oc>
    <nc r="S62"/>
  </rcc>
  <rcc rId="6834" sId="3">
    <oc r="T62">
      <v>2</v>
    </oc>
    <nc r="T62"/>
  </rcc>
  <rcc rId="6835" sId="3">
    <oc r="U62">
      <v>7</v>
    </oc>
    <nc r="U62"/>
  </rcc>
  <rcc rId="6836" sId="3">
    <oc r="V62" t="inlineStr">
      <is>
        <t>T1.10B9</t>
      </is>
    </oc>
    <nc r="V62"/>
  </rcc>
  <rcc rId="6837" sId="3">
    <oc r="W62" t="inlineStr">
      <is>
        <t>Pass</t>
      </is>
    </oc>
    <nc r="W62"/>
  </rcc>
  <rcc rId="6838" sId="3">
    <oc r="X62" t="inlineStr">
      <is>
        <r>
          <t>TX CC errors on VBI PID 106 co-timed on all units, uplink issue. 
CSCuh25081.: AUD2 warnings on some units 
MPE warnings on all units, uplink system known issue.</t>
        </r>
        <r>
          <rPr>
            <sz val="9"/>
            <color rgb="FFFF0000"/>
            <rFont val="Calibri"/>
            <family val="2"/>
          </rPr>
          <t xml:space="preserve">
</t>
        </r>
      </is>
    </oc>
    <nc r="X62"/>
  </rcc>
  <rcc rId="6839" sId="3" numFmtId="19">
    <oc r="A63">
      <v>41674</v>
    </oc>
    <nc r="A63"/>
  </rcc>
  <rcc rId="6840" sId="3">
    <oc r="B63">
      <v>13</v>
    </oc>
    <nc r="B63"/>
  </rcc>
  <rcc rId="6841" sId="3">
    <oc r="C63">
      <v>16</v>
    </oc>
    <nc r="C63"/>
  </rcc>
  <rcc rId="6842" sId="3">
    <oc r="D63">
      <v>36</v>
    </oc>
    <nc r="D63"/>
  </rcc>
  <rcc rId="6843" sId="3">
    <oc r="E63">
      <v>51</v>
    </oc>
    <nc r="E63"/>
  </rcc>
  <rcc rId="6844" sId="3">
    <oc r="F63">
      <v>13</v>
    </oc>
    <nc r="F63"/>
  </rcc>
  <rcc rId="6845" sId="3">
    <oc r="G63">
      <v>3</v>
    </oc>
    <nc r="G63"/>
  </rcc>
  <rcc rId="6846" sId="3">
    <oc r="H63">
      <v>3</v>
    </oc>
    <nc r="H63"/>
  </rcc>
  <rcc rId="6847" sId="3">
    <oc r="I63">
      <v>3</v>
    </oc>
    <nc r="I63"/>
  </rcc>
  <rcc rId="6848" sId="3">
    <oc r="J63">
      <v>3</v>
    </oc>
    <nc r="J63"/>
  </rcc>
  <rcc rId="6849" sId="3">
    <oc r="K63">
      <v>7</v>
    </oc>
    <nc r="K63"/>
  </rcc>
  <rcc rId="6850" sId="3">
    <oc r="L63">
      <v>7</v>
    </oc>
    <nc r="L63"/>
  </rcc>
  <rcc rId="6851" sId="3">
    <oc r="M63" t="inlineStr">
      <is>
        <t>NO</t>
      </is>
    </oc>
    <nc r="M63"/>
  </rcc>
  <rcc rId="6852" sId="3">
    <oc r="N63" t="inlineStr">
      <is>
        <t>NO</t>
      </is>
    </oc>
    <nc r="N63"/>
  </rcc>
  <rcc rId="6853" sId="3">
    <oc r="O63">
      <v>8</v>
    </oc>
    <nc r="O63"/>
  </rcc>
  <rcc rId="6854" sId="3">
    <oc r="P63">
      <v>5</v>
    </oc>
    <nc r="P63"/>
  </rcc>
  <rcc rId="6855" sId="3">
    <oc r="Q63">
      <v>1</v>
    </oc>
    <nc r="Q63"/>
  </rcc>
  <rcc rId="6856" sId="3">
    <oc r="R63">
      <v>5</v>
    </oc>
    <nc r="R63"/>
  </rcc>
  <rcc rId="6857" sId="3">
    <oc r="S63">
      <v>1</v>
    </oc>
    <nc r="S63"/>
  </rcc>
  <rcc rId="6858" sId="3">
    <oc r="T63">
      <v>2</v>
    </oc>
    <nc r="T63"/>
  </rcc>
  <rcc rId="6859" sId="3">
    <oc r="U63">
      <v>7</v>
    </oc>
    <nc r="U63"/>
  </rcc>
  <rcc rId="6860" sId="3">
    <oc r="V63" t="inlineStr">
      <is>
        <t>T1.10B9</t>
      </is>
    </oc>
    <nc r="V63"/>
  </rcc>
  <rcc rId="6861" sId="3">
    <oc r="W63" t="inlineStr">
      <is>
        <t>Pass</t>
      </is>
    </oc>
    <nc r="W63"/>
  </rcc>
  <rcc rId="6862" sId="3">
    <oc r="X63" t="inlineStr">
      <is>
        <t>TX buffer overflow on VID PID 300 only on unit .123 co-timed with video hits due to high video bit rate @ 25Mbps, known issue.
CSCuh25144: VID warning only on unit .120
CSCuh25081: AUD2 warnings on some units</t>
      </is>
    </oc>
    <nc r="X63"/>
  </rcc>
  <rcc rId="6863" sId="3" numFmtId="19">
    <oc r="A64">
      <v>41675</v>
    </oc>
    <nc r="A64"/>
  </rcc>
  <rcc rId="6864" sId="3">
    <oc r="B64">
      <v>14</v>
    </oc>
    <nc r="B64"/>
  </rcc>
  <rcc rId="6865" sId="3">
    <oc r="C64">
      <v>16</v>
    </oc>
    <nc r="C64"/>
  </rcc>
  <rcc rId="6866" sId="3">
    <oc r="D64">
      <v>35</v>
    </oc>
    <nc r="D64"/>
  </rcc>
  <rcc rId="6867" sId="3">
    <oc r="E64">
      <v>18</v>
    </oc>
    <nc r="E64"/>
  </rcc>
  <rcc rId="6868" sId="3">
    <oc r="F64">
      <v>14</v>
    </oc>
    <nc r="F64"/>
  </rcc>
  <rcc rId="6869" sId="3">
    <oc r="G64">
      <v>26</v>
    </oc>
    <nc r="G64"/>
  </rcc>
  <rcc rId="6870" sId="3">
    <oc r="H64">
      <v>26</v>
    </oc>
    <nc r="H64"/>
  </rcc>
  <rcc rId="6871" sId="3">
    <oc r="I64">
      <v>26</v>
    </oc>
    <nc r="I64"/>
  </rcc>
  <rcc rId="6872" sId="3">
    <oc r="J64">
      <v>26</v>
    </oc>
    <nc r="J64"/>
  </rcc>
  <rcc rId="6873" sId="3">
    <oc r="K64">
      <v>28</v>
    </oc>
    <nc r="K64"/>
  </rcc>
  <rcc rId="6874" sId="3">
    <oc r="L64">
      <v>28</v>
    </oc>
    <nc r="L64"/>
  </rcc>
  <rcc rId="6875" sId="3">
    <oc r="M64" t="inlineStr">
      <is>
        <t>NO</t>
      </is>
    </oc>
    <nc r="M64"/>
  </rcc>
  <rcc rId="6876" sId="3">
    <oc r="N64" t="inlineStr">
      <is>
        <t>NO</t>
      </is>
    </oc>
    <nc r="N64"/>
  </rcc>
  <rcc rId="6877" sId="3">
    <oc r="O64">
      <v>6</v>
    </oc>
    <nc r="O64"/>
  </rcc>
  <rcc rId="6878" sId="3">
    <oc r="P64">
      <v>5</v>
    </oc>
    <nc r="P64"/>
  </rcc>
  <rcc rId="6879" sId="3">
    <oc r="Q64">
      <v>3</v>
    </oc>
    <nc r="Q64"/>
  </rcc>
  <rcc rId="6880" sId="3">
    <oc r="R64">
      <v>2</v>
    </oc>
    <nc r="R64"/>
  </rcc>
  <rcc rId="6881" sId="3">
    <oc r="S64">
      <v>1</v>
    </oc>
    <nc r="S64"/>
  </rcc>
  <rcc rId="6882" sId="3">
    <oc r="T64">
      <v>2</v>
    </oc>
    <nc r="T64"/>
  </rcc>
  <rcc rId="6883" sId="3">
    <oc r="U64">
      <v>5</v>
    </oc>
    <nc r="U64"/>
  </rcc>
  <rcc rId="6884" sId="3">
    <oc r="V64" t="inlineStr">
      <is>
        <t>T1.10B9</t>
      </is>
    </oc>
    <nc r="V64"/>
  </rcc>
  <rcc rId="6885" sId="3">
    <oc r="W64" t="inlineStr">
      <is>
        <t>Pass</t>
      </is>
    </oc>
    <nc r="W64"/>
  </rcc>
  <rcc rId="6886" sId="3">
    <oc r="X64" t="inlineStr">
      <is>
        <t>Throttling fault co-timed on most units as well as co-timed with video hits on downstream units
CSCuh25144: VID warning only on unit .120
MPE warnings on unit .108, system issue</t>
      </is>
    </oc>
    <nc r="X64"/>
  </rcc>
  <rcc rId="6887" sId="3" numFmtId="19">
    <oc r="A65">
      <v>41676</v>
    </oc>
    <nc r="A65"/>
  </rcc>
  <rcc rId="6888" sId="3">
    <oc r="B65">
      <v>11</v>
    </oc>
    <nc r="B65"/>
  </rcc>
  <rcc rId="6889" sId="3">
    <oc r="C65">
      <v>16</v>
    </oc>
    <nc r="C65"/>
  </rcc>
  <rcc rId="6890" sId="3">
    <oc r="D65">
      <v>11</v>
    </oc>
    <nc r="D65"/>
  </rcc>
  <rcc rId="6891" sId="3">
    <oc r="E65">
      <v>17</v>
    </oc>
    <nc r="E65"/>
  </rcc>
  <rcc rId="6892" sId="3">
    <oc r="F65">
      <v>5</v>
    </oc>
    <nc r="F65"/>
  </rcc>
  <rcc rId="6893" sId="3">
    <oc r="G65">
      <v>9</v>
    </oc>
    <nc r="G65"/>
  </rcc>
  <rcc rId="6894" sId="3">
    <oc r="H65">
      <v>9</v>
    </oc>
    <nc r="H65"/>
  </rcc>
  <rcc rId="6895" sId="3">
    <oc r="I65">
      <v>9</v>
    </oc>
    <nc r="I65"/>
  </rcc>
  <rcc rId="6896" sId="3">
    <oc r="J65">
      <v>9</v>
    </oc>
    <nc r="J65"/>
  </rcc>
  <rcc rId="6897" sId="3">
    <oc r="K65">
      <v>10</v>
    </oc>
    <nc r="K65"/>
  </rcc>
  <rcc rId="6898" sId="3">
    <oc r="L65">
      <v>10</v>
    </oc>
    <nc r="L65"/>
  </rcc>
  <rcc rId="6899" sId="3">
    <oc r="M65">
      <v>10</v>
    </oc>
    <nc r="M65"/>
  </rcc>
  <rcc rId="6900" sId="3">
    <oc r="N65">
      <v>10</v>
    </oc>
    <nc r="N65"/>
  </rcc>
  <rcc rId="6901" sId="3">
    <oc r="O65">
      <v>4</v>
    </oc>
    <nc r="O65"/>
  </rcc>
  <rcc rId="6902" sId="3">
    <oc r="P65">
      <v>6</v>
    </oc>
    <nc r="P65"/>
  </rcc>
  <rcc rId="6903" sId="3">
    <oc r="Q65">
      <v>3</v>
    </oc>
    <nc r="Q65"/>
  </rcc>
  <rcc rId="6904" sId="3">
    <oc r="R65">
      <v>9</v>
    </oc>
    <nc r="R65"/>
  </rcc>
  <rcc rId="6905" sId="3">
    <oc r="S65">
      <v>2</v>
    </oc>
    <nc r="S65"/>
  </rcc>
  <rcc rId="6906" sId="3">
    <oc r="T65">
      <v>2</v>
    </oc>
    <nc r="T65"/>
  </rcc>
  <rcc rId="6907" sId="3">
    <oc r="U65">
      <v>5</v>
    </oc>
    <nc r="U65"/>
  </rcc>
  <rcc rId="6908" sId="3">
    <oc r="V65" t="inlineStr">
      <is>
        <t>T1.10B9</t>
      </is>
    </oc>
    <nc r="V65"/>
  </rcc>
  <rcc rId="6909" sId="3">
    <oc r="W65" t="inlineStr">
      <is>
        <t>Fail</t>
      </is>
    </oc>
    <nc r="W65"/>
  </rcc>
  <rcc rId="6910" sId="3">
    <oc r="X65" t="inlineStr">
      <is>
        <t xml:space="preserve">Reboot detected on unit .131(e-build) due to Watchdog 'Secondary WD' expired.
TX CC errors on SUBT PID 1010 co-timed on some, uplink issue.
VBI warnings on all due to known setup issue.
MPE warnings on all units, system issue.
</t>
      </is>
    </oc>
    <nc r="X65"/>
  </rcc>
  <rcc rId="6911" sId="3" numFmtId="19">
    <oc r="A66">
      <v>41677</v>
    </oc>
    <nc r="A66"/>
  </rcc>
  <rcc rId="6912" sId="3">
    <oc r="B66">
      <v>12</v>
    </oc>
    <nc r="B66"/>
  </rcc>
  <rcc rId="6913" sId="3">
    <oc r="C66">
      <v>6</v>
    </oc>
    <nc r="C66"/>
  </rcc>
  <rcc rId="6914" sId="3">
    <oc r="D66">
      <v>12</v>
    </oc>
    <nc r="D66"/>
  </rcc>
  <rcc rId="6915" sId="3">
    <oc r="E66">
      <v>23</v>
    </oc>
    <nc r="E66"/>
  </rcc>
  <rcc rId="6916" sId="3">
    <oc r="F66">
      <v>1</v>
    </oc>
    <nc r="F66"/>
  </rcc>
  <rcc rId="6917" sId="3">
    <oc r="G66">
      <v>29</v>
    </oc>
    <nc r="G66"/>
  </rcc>
  <rcc rId="6918" sId="3">
    <oc r="H66">
      <v>29</v>
    </oc>
    <nc r="H66"/>
  </rcc>
  <rcc rId="6919" sId="3">
    <oc r="I66">
      <v>29</v>
    </oc>
    <nc r="I66"/>
  </rcc>
  <rcc rId="6920" sId="3">
    <oc r="J66">
      <v>29</v>
    </oc>
    <nc r="J66"/>
  </rcc>
  <rcc rId="6921" sId="3">
    <oc r="K66">
      <v>30</v>
    </oc>
    <nc r="K66"/>
  </rcc>
  <rcc rId="6922" sId="3">
    <oc r="L66">
      <v>30</v>
    </oc>
    <nc r="L66"/>
  </rcc>
  <rcc rId="6923" sId="3">
    <oc r="M66">
      <v>30</v>
    </oc>
    <nc r="M66"/>
  </rcc>
  <rcc rId="6924" sId="3">
    <oc r="N66">
      <v>30</v>
    </oc>
    <nc r="N66"/>
  </rcc>
  <rcc rId="6925" sId="3">
    <oc r="O66">
      <v>4</v>
    </oc>
    <nc r="O66"/>
  </rcc>
  <rcc rId="6926" sId="3">
    <oc r="P66">
      <v>5</v>
    </oc>
    <nc r="P66"/>
  </rcc>
  <rcc rId="6927" sId="3">
    <oc r="Q66">
      <v>3</v>
    </oc>
    <nc r="Q66"/>
  </rcc>
  <rcc rId="6928" sId="3">
    <oc r="R66">
      <v>9</v>
    </oc>
    <nc r="R66"/>
  </rcc>
  <rcc rId="6929" sId="3">
    <oc r="S66">
      <v>1</v>
    </oc>
    <nc r="S66"/>
  </rcc>
  <rcc rId="6930" sId="3">
    <oc r="T66">
      <v>2</v>
    </oc>
    <nc r="T66"/>
  </rcc>
  <rcc rId="6931" sId="3">
    <oc r="U66">
      <v>5</v>
    </oc>
    <nc r="U66"/>
  </rcc>
  <rcc rId="6932" sId="3">
    <oc r="V66" t="inlineStr">
      <is>
        <t xml:space="preserve">T1.05B10 </t>
      </is>
    </oc>
    <nc r="V66"/>
  </rcc>
  <rcc rId="6933" sId="3">
    <oc r="W66" t="inlineStr">
      <is>
        <t>Pass</t>
      </is>
    </oc>
    <nc r="W66"/>
  </rcc>
  <rcc rId="6934" sId="3">
    <oc r="X66" t="inlineStr">
      <is>
        <r>
          <rPr>
            <sz val="9"/>
            <color rgb="FFFF0000"/>
            <rFont val="Calibri"/>
            <family val="2"/>
          </rPr>
          <t xml:space="preserve">TXC reset on .104 due to Transcoder heartbeat message timeout exceeded </t>
        </r>
        <r>
          <rPr>
            <sz val="9"/>
            <rFont val="Calibri"/>
            <family val="2"/>
          </rPr>
          <t xml:space="preserve">
MPE warnings on all units, system issue.
</t>
        </r>
      </is>
    </oc>
    <nc r="X66"/>
  </rcc>
  <rcc rId="6935" sId="3" numFmtId="19">
    <oc r="A67">
      <v>41680</v>
    </oc>
    <nc r="A67"/>
  </rcc>
  <rcc rId="6936" sId="3">
    <oc r="B67">
      <v>13</v>
    </oc>
    <nc r="B67"/>
  </rcc>
  <rcc rId="6937" sId="3">
    <oc r="C67">
      <v>7</v>
    </oc>
    <nc r="C67"/>
  </rcc>
  <rcc rId="6938" sId="3">
    <oc r="D67">
      <v>20</v>
    </oc>
    <nc r="D67"/>
  </rcc>
  <rcc rId="6939" sId="3">
    <oc r="E67">
      <v>28</v>
    </oc>
    <nc r="E67"/>
  </rcc>
  <rcc rId="6940" sId="3">
    <oc r="F67">
      <v>2</v>
    </oc>
    <nc r="F67"/>
  </rcc>
  <rcc rId="6941" sId="3">
    <oc r="G67">
      <v>14</v>
    </oc>
    <nc r="G67"/>
  </rcc>
  <rcc rId="6942" sId="3">
    <oc r="H67">
      <v>14</v>
    </oc>
    <nc r="H67"/>
  </rcc>
  <rcc rId="6943" sId="3">
    <oc r="I67">
      <v>14</v>
    </oc>
    <nc r="I67"/>
  </rcc>
  <rcc rId="6944" sId="3">
    <oc r="J67">
      <v>14</v>
    </oc>
    <nc r="J67"/>
  </rcc>
  <rcc rId="6945" sId="3">
    <oc r="K67">
      <v>18</v>
    </oc>
    <nc r="K67"/>
  </rcc>
  <rcc rId="6946" sId="3">
    <oc r="L67">
      <v>18</v>
    </oc>
    <nc r="L67"/>
  </rcc>
  <rcc rId="6947" sId="3">
    <oc r="M67" t="inlineStr">
      <is>
        <t>no</t>
      </is>
    </oc>
    <nc r="M67"/>
  </rcc>
  <rcc rId="6948" sId="3">
    <oc r="N67" t="inlineStr">
      <is>
        <t>no</t>
      </is>
    </oc>
    <nc r="N67"/>
  </rcc>
  <rcc rId="6949" sId="3">
    <oc r="O67">
      <v>5</v>
    </oc>
    <nc r="O67"/>
  </rcc>
  <rcc rId="6950" sId="3">
    <oc r="P67">
      <v>7</v>
    </oc>
    <nc r="P67"/>
  </rcc>
  <rcc rId="6951" sId="3">
    <oc r="Q67">
      <v>3</v>
    </oc>
    <nc r="Q67"/>
  </rcc>
  <rcc rId="6952" sId="3">
    <oc r="R67">
      <v>10</v>
    </oc>
    <nc r="R67"/>
  </rcc>
  <rcc rId="6953" sId="3">
    <oc r="S67">
      <v>1</v>
    </oc>
    <nc r="S67"/>
  </rcc>
  <rcc rId="6954" sId="3">
    <oc r="T67">
      <v>2</v>
    </oc>
    <nc r="T67"/>
  </rcc>
  <rcc rId="6955" sId="3">
    <oc r="U67">
      <v>5</v>
    </oc>
    <nc r="U67"/>
  </rcc>
  <rcc rId="6956" sId="3">
    <oc r="V67" t="inlineStr">
      <is>
        <t xml:space="preserve">T1.05B10 </t>
      </is>
    </oc>
    <nc r="V67"/>
  </rcc>
  <rcc rId="6957" sId="3">
    <oc r="W67" t="inlineStr">
      <is>
        <t>Pass</t>
      </is>
    </oc>
    <nc r="W67"/>
  </rcc>
  <rcc rId="6958" sId="3">
    <oc r="X67" t="inlineStr">
      <is>
        <r>
          <rPr>
            <sz val="9"/>
            <color rgb="FFFF0000"/>
            <rFont val="Calibri"/>
            <family val="2"/>
          </rPr>
          <t>TXC reset on .104 due to Transcoder heartbeat message timeout exceeded 
Continuou rebooting on 231/232</t>
        </r>
        <r>
          <rPr>
            <sz val="9"/>
            <rFont val="Calibri"/>
            <family val="2"/>
          </rPr>
          <t xml:space="preserve">
MPE warnings on all units, system issue.
TX CC errors on VBI PID 106 co-timed on all, uplink issue.
TX buffer overflow on VID PID 200 co-timed with video hits due to high video bit rate @ 30Mbps.
CSCuh25081.: AUD2 on 1
VBI warnings on all due to known setup issue.
</t>
        </r>
      </is>
    </oc>
    <nc r="X67"/>
  </rcc>
  <rcc rId="6959" sId="3" numFmtId="19">
    <oc r="A68">
      <v>41681</v>
    </oc>
    <nc r="A68"/>
  </rcc>
  <rcc rId="6960" sId="3">
    <oc r="B68">
      <v>16</v>
    </oc>
    <nc r="B68"/>
  </rcc>
  <rcc rId="6961" sId="3">
    <oc r="C68">
      <v>15</v>
    </oc>
    <nc r="C68"/>
  </rcc>
  <rcc rId="6962" sId="3">
    <oc r="D68">
      <v>32</v>
    </oc>
    <nc r="D68"/>
  </rcc>
  <rcc rId="6963" sId="3">
    <oc r="E68">
      <v>32</v>
    </oc>
    <nc r="E68"/>
  </rcc>
  <rcc rId="6964" sId="3">
    <oc r="F68">
      <v>5</v>
    </oc>
    <nc r="F68"/>
  </rcc>
  <rcc rId="6965" sId="3">
    <oc r="G68">
      <v>2</v>
    </oc>
    <nc r="G68"/>
  </rcc>
  <rcc rId="6966" sId="3">
    <oc r="H68">
      <v>2</v>
    </oc>
    <nc r="H68"/>
  </rcc>
  <rcc rId="6967" sId="3">
    <oc r="I68">
      <v>2</v>
    </oc>
    <nc r="I68"/>
  </rcc>
  <rcc rId="6968" sId="3">
    <oc r="J68">
      <v>2</v>
    </oc>
    <nc r="J68"/>
  </rcc>
  <rcc rId="6969" sId="3">
    <oc r="K68">
      <v>6</v>
    </oc>
    <nc r="K68"/>
  </rcc>
  <rcc rId="6970" sId="3">
    <oc r="L68">
      <v>6</v>
    </oc>
    <nc r="L68"/>
  </rcc>
  <rcc rId="6971" sId="3">
    <oc r="M68">
      <v>6</v>
    </oc>
    <nc r="M68"/>
  </rcc>
  <rcc rId="6972" sId="3">
    <oc r="N68">
      <v>6</v>
    </oc>
    <nc r="N68"/>
  </rcc>
  <rcc rId="6973" sId="3">
    <oc r="O68">
      <v>7</v>
    </oc>
    <nc r="O68"/>
  </rcc>
  <rcc rId="6974" sId="3">
    <oc r="P68">
      <v>7</v>
    </oc>
    <nc r="P68"/>
  </rcc>
  <rcc rId="6975" sId="3">
    <oc r="Q68">
      <v>3</v>
    </oc>
    <nc r="Q68"/>
  </rcc>
  <rcc rId="6976" sId="3">
    <oc r="R68">
      <v>10</v>
    </oc>
    <nc r="R68"/>
  </rcc>
  <rcc rId="6977" sId="3">
    <oc r="S68">
      <v>1</v>
    </oc>
    <nc r="S68"/>
  </rcc>
  <rcc rId="6978" sId="3">
    <oc r="T68">
      <v>2</v>
    </oc>
    <nc r="T68"/>
  </rcc>
  <rcc rId="6979" sId="3">
    <oc r="U68">
      <v>6</v>
    </oc>
    <nc r="U68"/>
  </rcc>
  <rcc rId="6980" sId="3">
    <oc r="V68" t="inlineStr">
      <is>
        <t xml:space="preserve">T1.05B10 </t>
      </is>
    </oc>
    <nc r="V68"/>
  </rcc>
  <rcc rId="6981" sId="3">
    <oc r="W68" t="inlineStr">
      <is>
        <t>Pass</t>
      </is>
    </oc>
    <nc r="W68"/>
  </rcc>
  <rcc rId="6982" sId="3">
    <oc r="X68" t="inlineStr">
      <is>
        <t xml:space="preserve">TX CC errors on VBI PID 104 on all units, uplink issue.
VBI warnings on all unit due to known uplink setup issue.  
MPE warnings on all units, system issue. 
</t>
      </is>
    </oc>
    <nc r="X68"/>
  </rcc>
  <rcc rId="6983" sId="3" numFmtId="19">
    <oc r="A69">
      <v>41682</v>
    </oc>
    <nc r="A69"/>
  </rcc>
  <rcc rId="6984" sId="3">
    <oc r="B69">
      <v>14</v>
    </oc>
    <nc r="B69"/>
  </rcc>
  <rcc rId="6985" sId="3">
    <oc r="C69">
      <v>17</v>
    </oc>
    <nc r="C69"/>
  </rcc>
  <rcc rId="6986" sId="3">
    <oc r="D69">
      <v>27</v>
    </oc>
    <nc r="D69"/>
  </rcc>
  <rcc rId="6987" sId="3">
    <oc r="E69">
      <v>39</v>
    </oc>
    <nc r="E69"/>
  </rcc>
  <rcc rId="6988" sId="3">
    <oc r="F69">
      <v>7</v>
    </oc>
    <nc r="F69"/>
  </rcc>
  <rcc rId="6989" sId="3">
    <oc r="G69">
      <v>16</v>
    </oc>
    <nc r="G69"/>
  </rcc>
  <rcc rId="6990" sId="3">
    <oc r="H69">
      <v>16</v>
    </oc>
    <nc r="H69"/>
  </rcc>
  <rcc rId="6991" sId="3">
    <oc r="I69">
      <v>16</v>
    </oc>
    <nc r="I69"/>
  </rcc>
  <rcc rId="6992" sId="3">
    <oc r="J69">
      <v>16</v>
    </oc>
    <nc r="J69"/>
  </rcc>
  <rcc rId="6993" sId="3">
    <oc r="K69">
      <v>20</v>
    </oc>
    <nc r="K69"/>
  </rcc>
  <rcc rId="6994" sId="3">
    <oc r="L69">
      <v>20</v>
    </oc>
    <nc r="L69"/>
  </rcc>
  <rcc rId="6995" sId="3">
    <oc r="M69">
      <v>20</v>
    </oc>
    <nc r="M69"/>
  </rcc>
  <rcc rId="6996" sId="3">
    <oc r="N69">
      <v>20</v>
    </oc>
    <nc r="N69"/>
  </rcc>
  <rcc rId="6997" sId="3">
    <oc r="O69">
      <v>5</v>
    </oc>
    <nc r="O69"/>
  </rcc>
  <rcc rId="6998" sId="3">
    <oc r="P69">
      <v>7</v>
    </oc>
    <nc r="P69"/>
  </rcc>
  <rcc rId="6999" sId="3">
    <oc r="Q69">
      <v>2</v>
    </oc>
    <nc r="Q69"/>
  </rcc>
  <rcc rId="7000" sId="3">
    <oc r="R69">
      <v>10</v>
    </oc>
    <nc r="R69"/>
  </rcc>
  <rcc rId="7001" sId="3">
    <oc r="S69">
      <v>1</v>
    </oc>
    <nc r="S69"/>
  </rcc>
  <rcc rId="7002" sId="3">
    <oc r="T69">
      <v>2</v>
    </oc>
    <nc r="T69"/>
  </rcc>
  <rcc rId="7003" sId="3">
    <oc r="U69">
      <v>6</v>
    </oc>
    <nc r="U69"/>
  </rcc>
  <rcc rId="7004" sId="3">
    <oc r="V69" t="inlineStr">
      <is>
        <t xml:space="preserve">T1.05B10 </t>
      </is>
    </oc>
    <nc r="V69"/>
  </rcc>
  <rcc rId="7005" sId="3">
    <oc r="W69" t="inlineStr">
      <is>
        <t>Pass</t>
      </is>
    </oc>
    <nc r="W69"/>
  </rcc>
  <rcc rId="7006" sId="3">
    <oc r="X69" t="inlineStr">
      <is>
        <t xml:space="preserve">TX CC errors on MPE PID 4001 on all units, uplink issue.
VBI warnings on all unit due to known uplink setup issue.  
MPE warnings on all units, system issue. 
CSCue55282: FE/MC on .126, not issue
CSCuh25081: AUD2 warnings on most units
CSCuh09994: IPAL assert on 1
</t>
      </is>
    </oc>
    <nc r="X69"/>
  </rcc>
  <rcc rId="7007" sId="3" numFmtId="19">
    <oc r="A70">
      <v>41683</v>
    </oc>
    <nc r="A70"/>
  </rcc>
  <rcc rId="7008" sId="3">
    <oc r="B70">
      <v>13</v>
    </oc>
    <nc r="B70"/>
  </rcc>
  <rcc rId="7009" sId="3">
    <oc r="C70">
      <v>17</v>
    </oc>
    <nc r="C70"/>
  </rcc>
  <rcc rId="7010" sId="3">
    <oc r="D70">
      <v>39</v>
    </oc>
    <nc r="D70"/>
  </rcc>
  <rcc rId="7011" sId="3">
    <oc r="E70">
      <v>43</v>
    </oc>
    <nc r="E70"/>
  </rcc>
  <rcc rId="7012" sId="3">
    <oc r="F70">
      <v>8</v>
    </oc>
    <nc r="F70"/>
  </rcc>
  <rcc rId="7013" sId="3">
    <oc r="G70">
      <v>4</v>
    </oc>
    <nc r="G70"/>
  </rcc>
  <rcc rId="7014" sId="3">
    <oc r="H70">
      <v>4</v>
    </oc>
    <nc r="H70"/>
  </rcc>
  <rcc rId="7015" sId="3">
    <oc r="I70">
      <v>4</v>
    </oc>
    <nc r="I70"/>
  </rcc>
  <rcc rId="7016" sId="3">
    <oc r="J70">
      <v>4</v>
    </oc>
    <nc r="J70"/>
  </rcc>
  <rcc rId="7017" sId="3">
    <oc r="K70">
      <v>8</v>
    </oc>
    <nc r="K70"/>
  </rcc>
  <rcc rId="7018" sId="3">
    <oc r="L70">
      <v>8</v>
    </oc>
    <nc r="L70"/>
  </rcc>
  <rcc rId="7019" sId="3">
    <oc r="M70" t="inlineStr">
      <is>
        <t>no</t>
      </is>
    </oc>
    <nc r="M70"/>
  </rcc>
  <rcc rId="7020" sId="3">
    <oc r="N70" t="inlineStr">
      <is>
        <t>no</t>
      </is>
    </oc>
    <nc r="N70"/>
  </rcc>
  <rcc rId="7021" sId="3">
    <oc r="O70">
      <v>7</v>
    </oc>
    <nc r="O70"/>
  </rcc>
  <rcc rId="7022" sId="3">
    <oc r="P70">
      <v>4</v>
    </oc>
    <nc r="P70"/>
  </rcc>
  <rcc rId="7023" sId="3">
    <oc r="Q70">
      <v>2</v>
    </oc>
    <nc r="Q70"/>
  </rcc>
  <rcc rId="7024" sId="3">
    <oc r="R70">
      <v>11</v>
    </oc>
    <nc r="R70"/>
  </rcc>
  <rcc rId="7025" sId="3">
    <oc r="S70">
      <v>1</v>
    </oc>
    <nc r="S70"/>
  </rcc>
  <rcc rId="7026" sId="3">
    <oc r="T70">
      <v>2</v>
    </oc>
    <nc r="T70"/>
  </rcc>
  <rcc rId="7027" sId="3">
    <oc r="U70">
      <v>7</v>
    </oc>
    <nc r="U70"/>
  </rcc>
  <rcc rId="7028" sId="3">
    <oc r="V70" t="inlineStr">
      <is>
        <t xml:space="preserve">T1.05B10 </t>
      </is>
    </oc>
    <nc r="V70"/>
  </rcc>
  <rcc rId="7029" sId="3">
    <oc r="W70" t="inlineStr">
      <is>
        <t>Pass</t>
      </is>
    </oc>
    <nc r="W70"/>
  </rcc>
  <rcc rId="7030" sId="3">
    <oc r="X70" t="inlineStr">
      <is>
        <t xml:space="preserve">TX buffer overflow co-timed with video hits on unit .107 due to high video bit rate @ 25Mbps.
CSCuh25081: AUD2 warnings on most units
</t>
      </is>
    </oc>
    <nc r="X70"/>
  </rcc>
  <rfmt sheetId="3" sqref="A7:X146">
    <dxf>
      <fill>
        <patternFill>
          <bgColor theme="0"/>
        </patternFill>
      </fill>
    </dxf>
  </rfmt>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93" sId="3">
    <oc r="I12">
      <v>26</v>
    </oc>
    <nc r="I12">
      <v>28</v>
    </nc>
  </rcc>
  <rcc rId="8794" sId="3">
    <oc r="J12">
      <v>26</v>
    </oc>
    <nc r="J12">
      <v>0</v>
    </nc>
  </rcc>
  <rcc rId="8795" sId="3">
    <oc r="K12">
      <v>28</v>
    </oc>
    <nc r="K12">
      <v>0</v>
    </nc>
  </rcc>
  <rcc rId="8796" sId="3">
    <oc r="L12">
      <v>28</v>
    </oc>
    <nc r="L12">
      <v>0</v>
    </nc>
  </rcc>
  <rcc rId="8797" sId="3">
    <oc r="M12">
      <v>28</v>
    </oc>
    <nc r="M12">
      <v>0</v>
    </nc>
  </rcc>
  <rcc rId="8798" sId="3">
    <oc r="N12">
      <v>28</v>
    </oc>
    <nc r="N12">
      <v>0</v>
    </nc>
  </rcc>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99" sId="3">
    <oc r="H11">
      <v>3</v>
    </oc>
    <nc r="H11">
      <v>7</v>
    </nc>
  </rcc>
  <rcc rId="8800" sId="3">
    <oc r="I11">
      <v>3</v>
    </oc>
    <nc r="I11">
      <v>0</v>
    </nc>
  </rcc>
  <rcc rId="8801" sId="3">
    <oc r="J11">
      <v>3</v>
    </oc>
    <nc r="J11">
      <v>0</v>
    </nc>
  </rcc>
  <rcc rId="8802" sId="3">
    <oc r="K11">
      <v>7</v>
    </oc>
    <nc r="K11">
      <v>0</v>
    </nc>
  </rcc>
  <rcc rId="8803" sId="3">
    <oc r="L11">
      <v>7</v>
    </oc>
    <nc r="L11">
      <v>0</v>
    </nc>
  </rcc>
  <rcc rId="8804" sId="3">
    <oc r="M11">
      <v>7</v>
    </oc>
    <nc r="M11">
      <v>0</v>
    </nc>
  </rcc>
  <rcc rId="8805" sId="3">
    <oc r="N11">
      <v>7</v>
    </oc>
    <nc r="N11">
      <v>0</v>
    </nc>
  </rcc>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06" sId="3">
    <oc r="I10">
      <v>32</v>
    </oc>
    <nc r="I10">
      <v>34</v>
    </nc>
  </rcc>
  <rcc rId="8807" sId="3">
    <oc r="J10">
      <v>32</v>
    </oc>
    <nc r="J10">
      <v>0</v>
    </nc>
  </rcc>
  <rcc rId="8808" sId="3">
    <oc r="K10">
      <v>34</v>
    </oc>
    <nc r="K10">
      <v>0</v>
    </nc>
  </rcc>
  <rcc rId="8809" sId="3">
    <oc r="L10">
      <v>34</v>
    </oc>
    <nc r="L10">
      <v>0</v>
    </nc>
  </rcc>
  <rcc rId="8810" sId="3">
    <oc r="M10">
      <v>34</v>
    </oc>
    <nc r="M10">
      <v>0</v>
    </nc>
  </rcc>
  <rcc rId="8811" sId="3">
    <oc r="N10">
      <v>34</v>
    </oc>
    <nc r="N10">
      <v>0</v>
    </nc>
  </rcc>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12" sId="3">
    <oc r="J9">
      <v>9</v>
    </oc>
    <nc r="J9">
      <v>10</v>
    </nc>
  </rcc>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13" sId="3">
    <oc r="M9">
      <v>10</v>
    </oc>
    <nc r="M9">
      <v>0</v>
    </nc>
  </rcc>
  <rcc rId="8814" sId="3">
    <oc r="N9">
      <v>10</v>
    </oc>
    <nc r="N9">
      <v>0</v>
    </nc>
  </rcc>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15" sId="3">
    <oc r="I8">
      <v>4</v>
    </oc>
    <nc r="I8">
      <v>0</v>
    </nc>
  </rcc>
  <rcc rId="8816" sId="3">
    <oc r="J8">
      <v>4</v>
    </oc>
    <nc r="J8">
      <v>0</v>
    </nc>
  </rcc>
  <rcc rId="8817" sId="3">
    <oc r="K8">
      <v>8</v>
    </oc>
    <nc r="K8">
      <v>0</v>
    </nc>
  </rcc>
  <rcc rId="8818" sId="3">
    <oc r="L8">
      <v>8</v>
    </oc>
    <nc r="L8">
      <v>0</v>
    </nc>
  </rcc>
  <rcc rId="8819" sId="3">
    <oc r="M8">
      <v>8</v>
    </oc>
    <nc r="M8">
      <v>0</v>
    </nc>
  </rcc>
  <rcc rId="8820" sId="3">
    <oc r="N8">
      <v>8</v>
    </oc>
    <nc r="N8">
      <v>0</v>
    </nc>
  </rcc>
  <rcc rId="8821" sId="3">
    <oc r="H8">
      <v>4</v>
    </oc>
    <nc r="H8">
      <v>8</v>
    </nc>
  </rcc>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8822" sId="3">
    <oc r="H5" t="inlineStr">
      <is>
        <t>7, 10, 12, 27, 28, 37, 30, 19, 18, 20, 22, 24, 33, 34, 36</t>
      </is>
    </oc>
    <nc r="H5" t="inlineStr">
      <is>
        <t>1, 4, 10, 12, 27, 28, 30, 18, 20, 15, 14, 22, 24, 33, 34, 36</t>
      </is>
    </nc>
  </rcc>
  <rcc rId="8823" sId="3" numFmtId="13">
    <oc r="H4">
      <v>0.59459459459459463</v>
    </oc>
    <nc r="H4">
      <v>0.56756756756756754</v>
    </nc>
  </rcc>
  <rcc rId="8824" sId="3" numFmtId="13">
    <oc r="H3">
      <v>0.59459459459459463</v>
    </oc>
    <nc r="H3">
      <v>0.56756756756756754</v>
    </nc>
  </rcc>
  <rcc rId="8825" sId="3">
    <oc r="I5" t="inlineStr">
      <is>
        <t>7, 10, 12, 27, 28, 37, 30, 19, 18, 20, 22, 24, 33, 34, 36</t>
      </is>
    </oc>
    <nc r="I5" t="inlineStr">
      <is>
        <t>8, 1, 2, 4, 10, 12, 25, 26, 37, 30, 19, 18, 13, 15, 14, 16, 22, 33, 32, 35</t>
      </is>
    </nc>
  </rcc>
  <rcc rId="8826" sId="3" numFmtId="13">
    <oc r="I4">
      <v>0.59459459459459463</v>
    </oc>
    <nc r="I4">
      <v>0.45945945945945948</v>
    </nc>
  </rcc>
  <rcc rId="8827" sId="3" numFmtId="13">
    <oc r="I3">
      <v>0.59459459459459463</v>
    </oc>
    <nc r="I3">
      <v>0.45945945945945948</v>
    </nc>
  </rcc>
  <rcc rId="8828" sId="3">
    <oc r="J5" t="inlineStr">
      <is>
        <t>7, 10, 12, 27, 28, 37, 30, 19, 18, 20, 22, 24, 33, 34, 36</t>
      </is>
    </oc>
    <nc r="J5" t="inlineStr">
      <is>
        <t>7, 6, 8, 1, 3, 2, 4, 9, 12, 27, 28, 25, 37, 30, 19, 18, 13, 15, 14, 16, 22, 33, 34, 32, 35</t>
      </is>
    </nc>
  </rcc>
  <rcc rId="8829" sId="3" numFmtId="13">
    <oc r="J4">
      <v>0.59459459459459463</v>
    </oc>
    <nc r="J4">
      <v>0.32432432432432434</v>
    </nc>
  </rcc>
  <rcc rId="8830" sId="3" numFmtId="13">
    <oc r="J3">
      <v>0.59459459459459463</v>
    </oc>
    <nc r="J3">
      <v>0.32432432432432434</v>
    </nc>
  </rcc>
  <rcc rId="8831" sId="3">
    <oc r="K5" t="inlineStr">
      <is>
        <t>1, 3, 4, 9, 11, 29, 17, 15, 14, 16, 21, 23, 31, 32, 35</t>
      </is>
    </oc>
    <nc r="K5" t="inlineStr">
      <is>
        <t>7, 6, 8, 1, 3, 2, 4, 9, 11, 27, 28, 25, 37, 29, 17, 19, 20, 13, 15, 14, 16, 21, 23, 34, 31, 32, 35, 36</t>
      </is>
    </nc>
  </rcc>
  <rcc rId="8832" sId="3" numFmtId="13">
    <oc r="K4">
      <v>0.59459459459459463</v>
    </oc>
    <nc r="K4">
      <v>0.24324324324324326</v>
    </nc>
  </rcc>
  <rcc rId="8833" sId="3" numFmtId="13">
    <oc r="K3">
      <v>0.59459459459459463</v>
    </oc>
    <nc r="K3">
      <v>0.24324324324324326</v>
    </nc>
  </rcc>
  <rcc rId="8834" sId="3">
    <oc r="L5" t="inlineStr">
      <is>
        <t>1, 3, 4, 9, 11, 29, 17, 15, 14, 16, 21, 23, 31, 32, 35</t>
      </is>
    </oc>
    <nc r="L5" t="inlineStr">
      <is>
        <t>7, 6, 8, 1, 3, 2, 4, 9, 11, 27, 28, 25, 37, 29, 17, 19, 20, 13, 15, 14, 16, 21, 23, 34, 31, 32, 35, 36</t>
      </is>
    </nc>
  </rcc>
  <rcc rId="8835" sId="3" numFmtId="13">
    <oc r="L4">
      <v>0.59459459459459463</v>
    </oc>
    <nc r="L4">
      <v>0.24324324324324326</v>
    </nc>
  </rcc>
  <rcc rId="8836" sId="3" numFmtId="13">
    <oc r="L3">
      <v>0.59459459459459463</v>
    </oc>
    <nc r="L3">
      <v>0.24324324324324326</v>
    </nc>
  </rcc>
  <rcc rId="8837" sId="3">
    <oc r="M5" t="inlineStr">
      <is>
        <t>1, 3, 4, 9, 11, 29, 17, 15, 14, 16, 21, 23, 31, 32, 35</t>
      </is>
    </oc>
    <nc r="M5" t="inlineStr">
      <is>
        <t>5, 7, 6, 8, 1, 3, 2, 4, 9, 10, 11, 27, 28, 25, 26, 37, 29, 17, 19, 20, 13, 15, 14, 16, 21, 23, 34, 31, 32, 35, 36</t>
      </is>
    </nc>
  </rcc>
  <rcc rId="8838" sId="3" numFmtId="13">
    <oc r="M4">
      <v>0.59459459459459463</v>
    </oc>
    <nc r="M4">
      <v>0.16216216216216217</v>
    </nc>
  </rcc>
  <rcc rId="8839" sId="3" numFmtId="13">
    <oc r="M3">
      <v>0.59459459459459463</v>
    </oc>
    <nc r="M3">
      <v>0.16216216216216217</v>
    </nc>
  </rcc>
  <rcc rId="8840" sId="3">
    <oc r="N5" t="inlineStr">
      <is>
        <t>1, 3, 4, 9, 11, 29, 17, 15, 14, 16, 21, 23, 31, 32, 35</t>
      </is>
    </oc>
    <nc r="N5" t="inlineStr">
      <is>
        <t>5, 7, 6, 8, 1, 3, 2, 4, 9, 10, 11, 27, 28, 25, 26, 37, 29, 17, 19, 20, 13, 15, 14, 16, 21, 23, 34, 31, 32, 35, 36</t>
      </is>
    </nc>
  </rcc>
  <rcc rId="8841" sId="3" numFmtId="13">
    <oc r="N4">
      <v>0.59459459459459463</v>
    </oc>
    <nc r="N4">
      <v>0.16216216216216217</v>
    </nc>
  </rcc>
  <rcc rId="8842" sId="3" numFmtId="13">
    <oc r="N3">
      <v>0.59459459459459463</v>
    </oc>
    <nc r="N3">
      <v>0.16216216216216217</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36" start="0" length="0">
    <dxf>
      <font>
        <color rgb="FF000000"/>
        <name val="Calibri"/>
        <scheme val="minor"/>
      </font>
      <border outline="0">
        <left style="thin">
          <color indexed="64"/>
        </left>
        <top style="thin">
          <color indexed="64"/>
        </top>
      </border>
    </dxf>
  </rfmt>
  <rfmt sheetId="3" sqref="B36" start="0" length="0">
    <dxf>
      <font>
        <sz val="9"/>
        <color indexed="8"/>
        <name val="Calibri"/>
        <scheme val="minor"/>
      </font>
      <fill>
        <patternFill>
          <bgColor rgb="FFCCFFCC"/>
        </patternFill>
      </fill>
    </dxf>
  </rfmt>
  <rfmt sheetId="3" sqref="C36" start="0" length="0">
    <dxf>
      <font>
        <sz val="9"/>
        <color indexed="8"/>
        <name val="Calibri"/>
        <scheme val="minor"/>
      </font>
      <fill>
        <patternFill>
          <bgColor rgb="FFCCFFCC"/>
        </patternFill>
      </fill>
    </dxf>
  </rfmt>
  <rfmt sheetId="3" sqref="D36" start="0" length="0">
    <dxf>
      <font>
        <sz val="9"/>
        <color indexed="8"/>
        <name val="Calibri"/>
        <scheme val="minor"/>
      </font>
      <fill>
        <patternFill>
          <bgColor rgb="FFCCFFCC"/>
        </patternFill>
      </fill>
    </dxf>
  </rfmt>
  <rfmt sheetId="3" sqref="E36" start="0" length="0">
    <dxf>
      <font>
        <sz val="9"/>
        <color indexed="8"/>
        <name val="Calibri"/>
        <scheme val="minor"/>
      </font>
      <fill>
        <patternFill>
          <bgColor rgb="FFCCFFCC"/>
        </patternFill>
      </fill>
    </dxf>
  </rfmt>
  <rfmt sheetId="3" s="1" sqref="F36" start="0" length="0">
    <dxf>
      <font>
        <sz val="10"/>
        <color indexed="8"/>
        <name val="Calibri"/>
        <scheme val="minor"/>
      </font>
      <fill>
        <patternFill>
          <bgColor rgb="FFCCFFCC"/>
        </patternFill>
      </fill>
      <alignment wrapText="1" readingOrder="0"/>
    </dxf>
  </rfmt>
  <rfmt sheetId="3" sqref="G36" start="0" length="0">
    <dxf>
      <font>
        <sz val="9"/>
        <color indexed="8"/>
        <name val="Calibri"/>
        <scheme val="minor"/>
      </font>
      <fill>
        <patternFill>
          <bgColor rgb="FFCCFFCC"/>
        </patternFill>
      </fill>
    </dxf>
  </rfmt>
  <rfmt sheetId="3" sqref="H36" start="0" length="0">
    <dxf>
      <font>
        <sz val="9"/>
        <color indexed="8"/>
        <name val="Calibri"/>
        <scheme val="minor"/>
      </font>
      <fill>
        <patternFill>
          <bgColor rgb="FFCCFFCC"/>
        </patternFill>
      </fill>
    </dxf>
  </rfmt>
  <rfmt sheetId="3" sqref="I36" start="0" length="0">
    <dxf>
      <font>
        <sz val="9"/>
        <color indexed="8"/>
        <name val="Calibri"/>
        <scheme val="minor"/>
      </font>
      <fill>
        <patternFill>
          <bgColor rgb="FFCCFFCC"/>
        </patternFill>
      </fill>
    </dxf>
  </rfmt>
  <rfmt sheetId="3" sqref="J36" start="0" length="0">
    <dxf>
      <font>
        <sz val="9"/>
        <color indexed="8"/>
        <name val="Calibri"/>
        <scheme val="minor"/>
      </font>
      <fill>
        <patternFill>
          <bgColor rgb="FFCCFFCC"/>
        </patternFill>
      </fill>
    </dxf>
  </rfmt>
  <rcc rId="8843" sId="3" odxf="1" dxf="1">
    <nc r="K36">
      <v>0</v>
    </nc>
    <odxf>
      <font>
        <sz val="9"/>
        <color indexed="8"/>
        <name val="Calibri"/>
        <scheme val="none"/>
      </font>
      <fill>
        <patternFill>
          <bgColor theme="0"/>
        </patternFill>
      </fill>
    </odxf>
    <ndxf>
      <font>
        <sz val="9"/>
        <color indexed="8"/>
        <name val="Calibri"/>
        <scheme val="minor"/>
      </font>
      <fill>
        <patternFill>
          <bgColor rgb="FFCCFFCC"/>
        </patternFill>
      </fill>
    </ndxf>
  </rcc>
  <rcc rId="8844" sId="3" odxf="1" dxf="1">
    <nc r="L36">
      <v>0</v>
    </nc>
    <odxf>
      <font>
        <sz val="9"/>
        <color indexed="8"/>
        <name val="Calibri"/>
        <scheme val="none"/>
      </font>
      <fill>
        <patternFill>
          <bgColor theme="0"/>
        </patternFill>
      </fill>
    </odxf>
    <ndxf>
      <font>
        <sz val="9"/>
        <color indexed="8"/>
        <name val="Calibri"/>
        <scheme val="minor"/>
      </font>
      <fill>
        <patternFill>
          <bgColor rgb="FFCCFFCC"/>
        </patternFill>
      </fill>
    </ndxf>
  </rcc>
  <rcc rId="8845" sId="3" odxf="1" dxf="1">
    <nc r="M36">
      <v>0</v>
    </nc>
    <odxf>
      <font>
        <sz val="9"/>
        <color indexed="8"/>
        <name val="Calibri"/>
        <scheme val="none"/>
      </font>
      <fill>
        <patternFill>
          <bgColor theme="0"/>
        </patternFill>
      </fill>
    </odxf>
    <ndxf>
      <font>
        <sz val="9"/>
        <color indexed="8"/>
        <name val="Calibri"/>
        <scheme val="minor"/>
      </font>
      <fill>
        <patternFill>
          <bgColor rgb="FFCCFFCC"/>
        </patternFill>
      </fill>
    </ndxf>
  </rcc>
  <rcc rId="8846" sId="3" odxf="1" dxf="1">
    <nc r="N36">
      <v>0</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O36" start="0" length="0">
    <dxf>
      <font>
        <sz val="9"/>
        <color indexed="8"/>
        <name val="Calibri"/>
        <scheme val="minor"/>
      </font>
      <fill>
        <patternFill>
          <bgColor rgb="FFCCFFCC"/>
        </patternFill>
      </fill>
    </dxf>
  </rfmt>
  <rfmt sheetId="3" sqref="P36" start="0" length="0">
    <dxf>
      <font>
        <sz val="9"/>
        <color indexed="8"/>
        <name val="Calibri"/>
        <scheme val="minor"/>
      </font>
      <fill>
        <patternFill>
          <bgColor rgb="FFCCFFCC"/>
        </patternFill>
      </fill>
    </dxf>
  </rfmt>
  <rfmt sheetId="3" sqref="Q36" start="0" length="0">
    <dxf>
      <font>
        <sz val="9"/>
        <color indexed="8"/>
        <name val="Calibri"/>
        <scheme val="minor"/>
      </font>
      <fill>
        <patternFill>
          <bgColor rgb="FFCCFFCC"/>
        </patternFill>
      </fill>
    </dxf>
  </rfmt>
  <rfmt sheetId="3" sqref="R36" start="0" length="0">
    <dxf>
      <font>
        <sz val="9"/>
        <color indexed="8"/>
        <name val="Calibri"/>
        <scheme val="minor"/>
      </font>
      <fill>
        <patternFill>
          <bgColor rgb="FFCCFFCC"/>
        </patternFill>
      </fill>
    </dxf>
  </rfmt>
  <rfmt sheetId="3" sqref="S36" start="0" length="0">
    <dxf>
      <font>
        <sz val="9"/>
        <color indexed="8"/>
        <name val="Calibri"/>
        <scheme val="minor"/>
      </font>
      <fill>
        <patternFill>
          <bgColor rgb="FFCCFFCC"/>
        </patternFill>
      </fill>
    </dxf>
  </rfmt>
  <rcc rId="8847" sId="3" odxf="1" dxf="1">
    <nc r="T36">
      <v>2</v>
    </nc>
    <odxf>
      <font>
        <sz val="9"/>
        <color indexed="8"/>
        <name val="Calibri"/>
        <scheme val="none"/>
      </font>
      <fill>
        <patternFill>
          <bgColor theme="0"/>
        </patternFill>
      </fill>
    </odxf>
    <ndxf>
      <font>
        <sz val="9"/>
        <color indexed="8"/>
        <name val="Calibri"/>
        <scheme val="minor"/>
      </font>
      <fill>
        <patternFill>
          <bgColor rgb="FFCCFFCC"/>
        </patternFill>
      </fill>
    </ndxf>
  </rcc>
  <rcc rId="8848" sId="3" odxf="1" dxf="1">
    <nc r="U36">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849" sId="3" odxf="1" dxf="1">
    <nc r="V36"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850" sId="3" odxf="1" s="1" dxf="1">
    <nc r="W36" t="inlineStr">
      <is>
        <t>Pass</t>
      </is>
    </nc>
    <odxf>
      <font>
        <b val="0"/>
        <i val="0"/>
        <strike val="0"/>
        <condense val="0"/>
        <extend val="0"/>
        <outline val="0"/>
        <shadow val="0"/>
        <u val="none"/>
        <vertAlign val="baseline"/>
        <sz val="9"/>
        <color indexed="8"/>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ndxf>
  </rcc>
  <rfmt sheetId="3" sqref="X36" start="0" length="0">
    <dxf>
      <font>
        <sz val="9"/>
        <color auto="1"/>
      </font>
    </dxf>
  </rfmt>
  <rcc rId="8851" sId="3" numFmtId="19">
    <nc r="A36">
      <v>41731</v>
    </nc>
  </rcc>
  <rcc rId="8852" sId="3">
    <nc r="B36">
      <v>13</v>
    </nc>
  </rcc>
  <rcc rId="8853" sId="3">
    <nc r="C36">
      <v>15</v>
    </nc>
  </rcc>
  <rcc rId="8854" sId="3">
    <nc r="D36">
      <v>19</v>
    </nc>
  </rcc>
  <rcc rId="8855" sId="3">
    <nc r="E36">
      <v>34</v>
    </nc>
  </rcc>
  <rcc rId="8856" sId="3">
    <nc r="F36">
      <v>11</v>
    </nc>
  </rcc>
  <rcc rId="8857" sId="3">
    <nc r="G36">
      <v>18</v>
    </nc>
  </rcc>
  <rcc rId="8858" sId="3">
    <nc r="H36">
      <v>18</v>
    </nc>
  </rcc>
  <rcc rId="8859" sId="3">
    <nc r="I36">
      <v>14</v>
    </nc>
  </rcc>
  <rcc rId="8860" sId="3">
    <nc r="J36">
      <v>14</v>
    </nc>
  </rcc>
  <rcc rId="8861" sId="3">
    <nc r="O36">
      <v>7</v>
    </nc>
  </rcc>
  <rcc rId="8862" sId="3">
    <nc r="P36">
      <v>7</v>
    </nc>
  </rcc>
  <rcc rId="8863" sId="3">
    <nc r="Q36">
      <v>1</v>
    </nc>
  </rcc>
  <rcc rId="8864" sId="3">
    <nc r="R36">
      <v>6</v>
    </nc>
  </rcc>
  <rcc rId="8865" sId="3">
    <nc r="S36">
      <v>1</v>
    </nc>
  </rcc>
  <rcc rId="8866" sId="3">
    <nc r="X36" t="inlineStr">
      <is>
        <t>All units have valid video and audio output.
TX CC error on PID 2901 on all units.
AUD2 warnings on some units.
VBI warnings on all unit due to known uplink setup issue.  
TXB_ECC1 TXB_TMG1 warnings on unit.124(appeared every night on this unit recently)
IPAL asserts on unit 110.
IPAL: Treck warning: tfSocketIncomingPacket, UDP socket ID 8 buffer full</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cc rId="8867" sId="4" numFmtId="19">
    <oc r="I2">
      <v>41730</v>
    </oc>
    <nc r="I2">
      <v>41731</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cc rId="8868" sId="3">
    <oc r="D5" t="inlineStr">
      <is>
        <t>1, 19, 22, 25, 2, 20, 26, 3, 6, 9, 21, 13, 31, 37, 15, 30, 40, 41, 42, 43, 44, 45, 48, 49</t>
      </is>
    </oc>
    <nc r="D5" t="inlineStr">
      <is>
        <t>1, 22, 25, 2, 20, 26, 3, 6, 9, 21, 13, 31, 37, 15, 30, 40, 41, 42, 43, 44, 45, 48, 49</t>
      </is>
    </nc>
  </rcc>
  <rcc rId="8869" sId="3" numFmtId="13">
    <oc r="D4">
      <v>0.51020408163265307</v>
    </oc>
    <nc r="D4">
      <v>0.53061224489795922</v>
    </nc>
  </rcc>
  <rcc rId="8870" sId="3" numFmtId="13">
    <oc r="D3">
      <v>0.51020408163265307</v>
    </oc>
    <nc r="D3">
      <v>0.53061224489795922</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8871" sId="3">
    <oc r="G5" t="inlineStr">
      <is>
        <t>7, 10, 12, 27, 28, 37, 30, 19, 18, 20, 22, 24, 33, 34, 36</t>
      </is>
    </oc>
    <nc r="G5" t="inlineStr">
      <is>
        <t>7, 10, 12, 27, 28, 37, 30, 19, 20, 22, 24, 33, 34, 36</t>
      </is>
    </nc>
  </rcc>
  <rcc rId="8872" sId="3" numFmtId="13">
    <oc r="G4">
      <v>0.59459459459459463</v>
    </oc>
    <nc r="G4">
      <v>0.6216216216216216</v>
    </nc>
  </rcc>
  <rcc rId="8873" sId="3" numFmtId="13">
    <oc r="G3">
      <v>0.59459459459459463</v>
    </oc>
    <nc r="G3">
      <v>0.6216216216216216</v>
    </nc>
  </rcc>
  <rcc rId="8874" sId="3">
    <oc r="H5" t="inlineStr">
      <is>
        <t>1, 4, 10, 12, 27, 28, 30, 18, 20, 15, 14, 22, 24, 33, 34, 36</t>
      </is>
    </oc>
    <nc r="H5" t="inlineStr">
      <is>
        <t>1, 4, 10, 12, 27, 28, 30, 20, 15, 14, 22, 24, 33, 34, 36</t>
      </is>
    </nc>
  </rcc>
  <rcc rId="8875" sId="3" numFmtId="13">
    <oc r="H4">
      <v>0.56756756756756754</v>
    </oc>
    <nc r="H4">
      <v>0.59459459459459463</v>
    </nc>
  </rcc>
  <rcc rId="8876" sId="3" numFmtId="13">
    <oc r="H3">
      <v>0.56756756756756754</v>
    </oc>
    <nc r="H3">
      <v>0.59459459459459463</v>
    </nc>
  </rcc>
  <rcc rId="8877" sId="3">
    <oc r="I5" t="inlineStr">
      <is>
        <t>8, 1, 2, 4, 10, 12, 25, 26, 37, 30, 19, 18, 13, 15, 14, 16, 22, 33, 32, 35</t>
      </is>
    </oc>
    <nc r="I5" t="inlineStr">
      <is>
        <t>8, 1, 2, 4, 10, 12, 25, 26, 37, 30, 19, 18, 13, 15, 16, 22, 33, 32, 35</t>
      </is>
    </nc>
  </rcc>
  <rcc rId="8878" sId="3" numFmtId="13">
    <oc r="I4">
      <v>0.45945945945945948</v>
    </oc>
    <nc r="I4">
      <v>0.48648648648648651</v>
    </nc>
  </rcc>
  <rcc rId="8879" sId="3" numFmtId="13">
    <oc r="I3">
      <v>0.45945945945945948</v>
    </oc>
    <nc r="I3">
      <v>0.48648648648648651</v>
    </nc>
  </rcc>
  <rcc rId="8880" sId="3">
    <oc r="J5" t="inlineStr">
      <is>
        <t>7, 6, 8, 1, 3, 2, 4, 9, 12, 27, 28, 25, 37, 30, 19, 18, 13, 15, 14, 16, 22, 33, 34, 32, 35</t>
      </is>
    </oc>
    <nc r="J5" t="inlineStr">
      <is>
        <t>7, 6, 8, 1, 3, 2, 4, 9, 12, 27, 28, 25, 37, 30, 19, 18, 13, 15, 16, 22, 33, 34, 32, 35</t>
      </is>
    </nc>
  </rcc>
  <rcc rId="8881" sId="3" numFmtId="13">
    <oc r="J4">
      <v>0.32432432432432434</v>
    </oc>
    <nc r="J4">
      <v>0.35135135135135137</v>
    </nc>
  </rcc>
  <rcc rId="8882" sId="3" numFmtId="13">
    <oc r="J3">
      <v>0.32432432432432434</v>
    </oc>
    <nc r="J3">
      <v>0.35135135135135137</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37" start="0" length="0">
    <dxf>
      <font>
        <color rgb="FF000000"/>
        <name val="Calibri"/>
        <scheme val="minor"/>
      </font>
      <border outline="0">
        <left style="thin">
          <color indexed="64"/>
        </left>
        <top style="thin">
          <color indexed="64"/>
        </top>
      </border>
    </dxf>
  </rfmt>
  <rfmt sheetId="3" sqref="B37" start="0" length="0">
    <dxf>
      <font>
        <sz val="9"/>
        <color indexed="8"/>
        <name val="Calibri"/>
        <scheme val="minor"/>
      </font>
      <fill>
        <patternFill>
          <bgColor rgb="FFCCFFCC"/>
        </patternFill>
      </fill>
    </dxf>
  </rfmt>
  <rfmt sheetId="3" sqref="C37" start="0" length="0">
    <dxf>
      <font>
        <sz val="9"/>
        <color indexed="8"/>
        <name val="Calibri"/>
        <scheme val="minor"/>
      </font>
      <fill>
        <patternFill>
          <bgColor rgb="FFCCFFCC"/>
        </patternFill>
      </fill>
    </dxf>
  </rfmt>
  <rfmt sheetId="3" sqref="D37" start="0" length="0">
    <dxf>
      <font>
        <sz val="9"/>
        <color indexed="8"/>
        <name val="Calibri"/>
        <scheme val="minor"/>
      </font>
      <fill>
        <patternFill>
          <bgColor rgb="FFCCFFCC"/>
        </patternFill>
      </fill>
    </dxf>
  </rfmt>
  <rfmt sheetId="3" sqref="E37" start="0" length="0">
    <dxf>
      <font>
        <sz val="9"/>
        <color indexed="8"/>
        <name val="Calibri"/>
        <scheme val="minor"/>
      </font>
      <fill>
        <patternFill>
          <bgColor rgb="FFCCFFCC"/>
        </patternFill>
      </fill>
    </dxf>
  </rfmt>
  <rfmt sheetId="3" s="1" sqref="F37" start="0" length="0">
    <dxf>
      <font>
        <sz val="10"/>
        <color indexed="8"/>
        <name val="Calibri"/>
        <scheme val="minor"/>
      </font>
      <fill>
        <patternFill>
          <bgColor rgb="FFCCFFCC"/>
        </patternFill>
      </fill>
      <alignment wrapText="1" readingOrder="0"/>
    </dxf>
  </rfmt>
  <rfmt sheetId="3" sqref="G37" start="0" length="0">
    <dxf>
      <font>
        <sz val="9"/>
        <color indexed="8"/>
        <name val="Calibri"/>
        <scheme val="minor"/>
      </font>
      <fill>
        <patternFill>
          <bgColor rgb="FFCCFFCC"/>
        </patternFill>
      </fill>
    </dxf>
  </rfmt>
  <rfmt sheetId="3" sqref="H37" start="0" length="0">
    <dxf>
      <font>
        <sz val="9"/>
        <color indexed="8"/>
        <name val="Calibri"/>
        <scheme val="minor"/>
      </font>
      <fill>
        <patternFill>
          <bgColor rgb="FFCCFFCC"/>
        </patternFill>
      </fill>
    </dxf>
  </rfmt>
  <rfmt sheetId="3" sqref="I37" start="0" length="0">
    <dxf>
      <font>
        <sz val="9"/>
        <color indexed="8"/>
        <name val="Calibri"/>
        <scheme val="minor"/>
      </font>
      <fill>
        <patternFill>
          <bgColor rgb="FFCCFFCC"/>
        </patternFill>
      </fill>
    </dxf>
  </rfmt>
  <rfmt sheetId="3" sqref="J37" start="0" length="0">
    <dxf>
      <font>
        <sz val="9"/>
        <color indexed="8"/>
        <name val="Calibri"/>
        <scheme val="minor"/>
      </font>
      <fill>
        <patternFill>
          <bgColor rgb="FFCCFFCC"/>
        </patternFill>
      </fill>
    </dxf>
  </rfmt>
  <rcc rId="8883" sId="3" odxf="1" dxf="1">
    <nc r="K37">
      <v>0</v>
    </nc>
    <odxf>
      <font>
        <sz val="9"/>
        <color indexed="8"/>
        <name val="Calibri"/>
        <scheme val="none"/>
      </font>
      <fill>
        <patternFill>
          <bgColor theme="0"/>
        </patternFill>
      </fill>
    </odxf>
    <ndxf>
      <font>
        <sz val="9"/>
        <color indexed="8"/>
        <name val="Calibri"/>
        <scheme val="minor"/>
      </font>
      <fill>
        <patternFill>
          <bgColor rgb="FFCCFFCC"/>
        </patternFill>
      </fill>
    </ndxf>
  </rcc>
  <rcc rId="8884" sId="3" odxf="1" dxf="1">
    <nc r="L37">
      <v>0</v>
    </nc>
    <odxf>
      <font>
        <sz val="9"/>
        <color indexed="8"/>
        <name val="Calibri"/>
        <scheme val="none"/>
      </font>
      <fill>
        <patternFill>
          <bgColor theme="0"/>
        </patternFill>
      </fill>
    </odxf>
    <ndxf>
      <font>
        <sz val="9"/>
        <color indexed="8"/>
        <name val="Calibri"/>
        <scheme val="minor"/>
      </font>
      <fill>
        <patternFill>
          <bgColor rgb="FFCCFFCC"/>
        </patternFill>
      </fill>
    </ndxf>
  </rcc>
  <rcc rId="8885" sId="3" odxf="1" dxf="1">
    <nc r="M37">
      <v>0</v>
    </nc>
    <odxf>
      <font>
        <sz val="9"/>
        <color indexed="8"/>
        <name val="Calibri"/>
        <scheme val="none"/>
      </font>
      <fill>
        <patternFill>
          <bgColor theme="0"/>
        </patternFill>
      </fill>
    </odxf>
    <ndxf>
      <font>
        <sz val="9"/>
        <color indexed="8"/>
        <name val="Calibri"/>
        <scheme val="minor"/>
      </font>
      <fill>
        <patternFill>
          <bgColor rgb="FFCCFFCC"/>
        </patternFill>
      </fill>
    </ndxf>
  </rcc>
  <rcc rId="8886" sId="3" odxf="1" dxf="1">
    <nc r="N37">
      <v>0</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O37" start="0" length="0">
    <dxf>
      <font>
        <sz val="9"/>
        <color indexed="8"/>
        <name val="Calibri"/>
        <scheme val="minor"/>
      </font>
      <fill>
        <patternFill>
          <bgColor rgb="FFCCFFCC"/>
        </patternFill>
      </fill>
    </dxf>
  </rfmt>
  <rcc rId="8887" sId="3" odxf="1" dxf="1">
    <nc r="P37">
      <v>7</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Q37" start="0" length="0">
    <dxf>
      <font>
        <sz val="9"/>
        <color indexed="8"/>
        <name val="Calibri"/>
        <scheme val="minor"/>
      </font>
      <fill>
        <patternFill>
          <bgColor rgb="FFCCFFCC"/>
        </patternFill>
      </fill>
    </dxf>
  </rfmt>
  <rfmt sheetId="3" sqref="R37" start="0" length="0">
    <dxf>
      <font>
        <sz val="9"/>
        <color indexed="8"/>
        <name val="Calibri"/>
        <scheme val="minor"/>
      </font>
      <fill>
        <patternFill>
          <bgColor rgb="FFCCFFCC"/>
        </patternFill>
      </fill>
    </dxf>
  </rfmt>
  <rfmt sheetId="3" sqref="S37" start="0" length="0">
    <dxf>
      <font>
        <sz val="9"/>
        <color indexed="8"/>
        <name val="Calibri"/>
        <scheme val="minor"/>
      </font>
      <fill>
        <patternFill>
          <bgColor rgb="FFCCFFCC"/>
        </patternFill>
      </fill>
    </dxf>
  </rfmt>
  <rcc rId="8888" sId="3" odxf="1" dxf="1">
    <nc r="T37">
      <v>2</v>
    </nc>
    <odxf>
      <font>
        <sz val="9"/>
        <color indexed="8"/>
        <name val="Calibri"/>
        <scheme val="none"/>
      </font>
      <fill>
        <patternFill>
          <bgColor theme="0"/>
        </patternFill>
      </fill>
    </odxf>
    <ndxf>
      <font>
        <sz val="9"/>
        <color indexed="8"/>
        <name val="Calibri"/>
        <scheme val="minor"/>
      </font>
      <fill>
        <patternFill>
          <bgColor rgb="FFCCFFCC"/>
        </patternFill>
      </fill>
    </ndxf>
  </rcc>
  <rcc rId="8889" sId="3" odxf="1" dxf="1">
    <nc r="U37">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890" sId="3" odxf="1" dxf="1">
    <nc r="V37"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891" sId="3" odxf="1" dxf="1">
    <nc r="W37"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fmt sheetId="3" sqref="X37" start="0" length="0">
    <dxf>
      <font>
        <sz val="9"/>
        <color auto="1"/>
      </font>
    </dxf>
  </rfmt>
  <rcc rId="8892" sId="3" numFmtId="19">
    <nc r="A37">
      <v>41732</v>
    </nc>
  </rcc>
  <rcc rId="8893" sId="3">
    <nc r="B37">
      <v>14</v>
    </nc>
  </rcc>
  <rcc rId="8894" sId="3">
    <nc r="C37">
      <v>18</v>
    </nc>
  </rcc>
  <rcc rId="8895" sId="3">
    <nc r="D37">
      <v>33</v>
    </nc>
  </rcc>
  <rcc rId="8896" sId="3">
    <nc r="E37">
      <v>29</v>
    </nc>
  </rcc>
  <rcc rId="8897" sId="3">
    <nc r="F37">
      <v>8</v>
    </nc>
  </rcc>
  <rcc rId="8898" sId="3">
    <nc r="G37">
      <v>6</v>
    </nc>
  </rcc>
  <rcc rId="8899" sId="3">
    <nc r="H37">
      <v>2</v>
    </nc>
  </rcc>
  <rcc rId="8900" sId="3">
    <nc r="I37">
      <v>0</v>
    </nc>
  </rcc>
  <rcc rId="8901" sId="3">
    <nc r="J37">
      <v>0</v>
    </nc>
  </rcc>
  <rcc rId="8902" sId="3">
    <nc r="O37">
      <v>5</v>
    </nc>
  </rcc>
  <rcc rId="8903" sId="3">
    <nc r="Q37">
      <v>2</v>
    </nc>
  </rcc>
  <rcc rId="8904" sId="3">
    <nc r="R37">
      <v>9</v>
    </nc>
  </rcc>
  <rcc rId="8905" sId="3">
    <nc r="S37">
      <v>2</v>
    </nc>
  </rcc>
  <rcc rId="8906" sId="3">
    <nc r="X37" t="inlineStr">
      <is>
        <t>All units have valid video and audio output.
AUD2 warnings on some units.
VBI warnings on all unit due to known uplink setup issue.  
TXB_ECC1 TXB_TMG1 warnings on unit.124(appeared every night on this unit recently)</t>
      </is>
    </nc>
  </rcc>
  <rcc rId="8907" sId="4" numFmtId="19">
    <oc r="I2">
      <v>41731</v>
    </oc>
    <nc r="I2">
      <v>41732</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38" start="0" length="0">
    <dxf>
      <font>
        <color rgb="FF000000"/>
        <name val="Calibri"/>
        <scheme val="minor"/>
      </font>
      <border outline="0">
        <left style="thin">
          <color indexed="64"/>
        </left>
        <top style="thin">
          <color indexed="64"/>
        </top>
      </border>
    </dxf>
  </rfmt>
  <rcc rId="8908" sId="3" odxf="1" dxf="1">
    <nc r="B38">
      <v>14</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C38" start="0" length="0">
    <dxf>
      <font>
        <sz val="9"/>
        <color indexed="8"/>
        <name val="Calibri"/>
        <scheme val="minor"/>
      </font>
      <fill>
        <patternFill>
          <bgColor rgb="FFCCFFCC"/>
        </patternFill>
      </fill>
    </dxf>
  </rfmt>
  <rfmt sheetId="3" sqref="D38" start="0" length="0">
    <dxf>
      <font>
        <sz val="9"/>
        <color indexed="8"/>
        <name val="Calibri"/>
        <scheme val="minor"/>
      </font>
      <fill>
        <patternFill>
          <bgColor rgb="FFCCFFCC"/>
        </patternFill>
      </fill>
    </dxf>
  </rfmt>
  <rfmt sheetId="3" sqref="E38" start="0" length="0">
    <dxf>
      <font>
        <sz val="9"/>
        <color indexed="8"/>
        <name val="Calibri"/>
        <scheme val="minor"/>
      </font>
      <fill>
        <patternFill>
          <bgColor rgb="FFCCFFCC"/>
        </patternFill>
      </fill>
    </dxf>
  </rfmt>
  <rfmt sheetId="3" sqref="F38" start="0" length="0">
    <dxf>
      <font>
        <sz val="9"/>
        <color indexed="8"/>
        <name val="Calibri"/>
        <scheme val="minor"/>
      </font>
      <fill>
        <patternFill>
          <bgColor rgb="FFCCFFCC"/>
        </patternFill>
      </fill>
    </dxf>
  </rfmt>
  <rfmt sheetId="3" sqref="G38" start="0" length="0">
    <dxf>
      <font>
        <sz val="9"/>
        <color indexed="8"/>
        <name val="Calibri"/>
        <scheme val="minor"/>
      </font>
      <fill>
        <patternFill>
          <bgColor rgb="FFCCFFCC"/>
        </patternFill>
      </fill>
    </dxf>
  </rfmt>
  <rfmt sheetId="3" sqref="H38" start="0" length="0">
    <dxf>
      <font>
        <sz val="9"/>
        <color indexed="8"/>
        <name val="Calibri"/>
        <scheme val="minor"/>
      </font>
      <fill>
        <patternFill>
          <bgColor rgb="FFCCFFCC"/>
        </patternFill>
      </fill>
    </dxf>
  </rfmt>
  <rcc rId="8909" sId="3" odxf="1" dxf="1">
    <nc r="I38">
      <v>0</v>
    </nc>
    <odxf>
      <font>
        <sz val="9"/>
        <color indexed="8"/>
        <name val="Calibri"/>
        <scheme val="none"/>
      </font>
      <fill>
        <patternFill>
          <bgColor theme="0"/>
        </patternFill>
      </fill>
    </odxf>
    <ndxf>
      <font>
        <sz val="9"/>
        <color indexed="8"/>
        <name val="Calibri"/>
        <scheme val="minor"/>
      </font>
      <fill>
        <patternFill>
          <bgColor rgb="FFCCFFCC"/>
        </patternFill>
      </fill>
    </ndxf>
  </rcc>
  <rcc rId="8910" sId="3" odxf="1" dxf="1">
    <nc r="J38">
      <v>0</v>
    </nc>
    <odxf>
      <font>
        <sz val="9"/>
        <color indexed="8"/>
        <name val="Calibri"/>
        <scheme val="none"/>
      </font>
      <fill>
        <patternFill>
          <bgColor theme="0"/>
        </patternFill>
      </fill>
    </odxf>
    <ndxf>
      <font>
        <sz val="9"/>
        <color indexed="8"/>
        <name val="Calibri"/>
        <scheme val="minor"/>
      </font>
      <fill>
        <patternFill>
          <bgColor rgb="FFCCFFCC"/>
        </patternFill>
      </fill>
    </ndxf>
  </rcc>
  <rcc rId="8911" sId="3" odxf="1" dxf="1">
    <nc r="K38">
      <v>0</v>
    </nc>
    <odxf>
      <font>
        <sz val="9"/>
        <color indexed="8"/>
        <name val="Calibri"/>
        <scheme val="none"/>
      </font>
      <fill>
        <patternFill>
          <bgColor theme="0"/>
        </patternFill>
      </fill>
    </odxf>
    <ndxf>
      <font>
        <sz val="9"/>
        <color indexed="8"/>
        <name val="Calibri"/>
        <scheme val="minor"/>
      </font>
      <fill>
        <patternFill>
          <bgColor rgb="FFCCFFCC"/>
        </patternFill>
      </fill>
    </ndxf>
  </rcc>
  <rcc rId="8912" sId="3" odxf="1" dxf="1">
    <nc r="L38">
      <v>0</v>
    </nc>
    <odxf>
      <font>
        <sz val="9"/>
        <color indexed="8"/>
        <name val="Calibri"/>
        <scheme val="none"/>
      </font>
      <fill>
        <patternFill>
          <bgColor theme="0"/>
        </patternFill>
      </fill>
    </odxf>
    <ndxf>
      <font>
        <sz val="9"/>
        <color indexed="8"/>
        <name val="Calibri"/>
        <scheme val="minor"/>
      </font>
      <fill>
        <patternFill>
          <bgColor rgb="FFCCFFCC"/>
        </patternFill>
      </fill>
    </ndxf>
  </rcc>
  <rcc rId="8913" sId="3" odxf="1" dxf="1">
    <nc r="M38">
      <v>0</v>
    </nc>
    <odxf>
      <font>
        <sz val="9"/>
        <color indexed="8"/>
        <name val="Calibri"/>
        <scheme val="none"/>
      </font>
      <fill>
        <patternFill>
          <bgColor theme="0"/>
        </patternFill>
      </fill>
    </odxf>
    <ndxf>
      <font>
        <sz val="9"/>
        <color indexed="8"/>
        <name val="Calibri"/>
        <scheme val="minor"/>
      </font>
      <fill>
        <patternFill>
          <bgColor rgb="FFCCFFCC"/>
        </patternFill>
      </fill>
    </ndxf>
  </rcc>
  <rcc rId="8914" sId="3" odxf="1" dxf="1">
    <nc r="N38">
      <v>0</v>
    </nc>
    <odxf>
      <font>
        <sz val="9"/>
        <color indexed="8"/>
        <name val="Calibri"/>
        <scheme val="none"/>
      </font>
      <fill>
        <patternFill>
          <bgColor theme="0"/>
        </patternFill>
      </fill>
    </odxf>
    <ndxf>
      <font>
        <sz val="9"/>
        <color indexed="8"/>
        <name val="Calibri"/>
        <scheme val="minor"/>
      </font>
      <fill>
        <patternFill>
          <bgColor rgb="FFCCFFCC"/>
        </patternFill>
      </fill>
    </ndxf>
  </rcc>
  <rfmt sheetId="3" s="1" sqref="O38" start="0" length="0">
    <dxf>
      <font>
        <sz val="10"/>
        <color indexed="8"/>
        <name val="Calibri"/>
        <scheme val="minor"/>
      </font>
      <fill>
        <patternFill>
          <bgColor rgb="FFCCFFCC"/>
        </patternFill>
      </fill>
      <alignment wrapText="1" readingOrder="0"/>
    </dxf>
  </rfmt>
  <rfmt sheetId="3" sqref="P38" start="0" length="0">
    <dxf>
      <font>
        <sz val="9"/>
        <color indexed="8"/>
        <name val="Calibri"/>
        <scheme val="minor"/>
      </font>
      <fill>
        <patternFill>
          <bgColor rgb="FFCCFFCC"/>
        </patternFill>
      </fill>
    </dxf>
  </rfmt>
  <rfmt sheetId="3" sqref="Q38" start="0" length="0">
    <dxf>
      <font>
        <sz val="9"/>
        <color indexed="8"/>
        <name val="Calibri"/>
        <scheme val="minor"/>
      </font>
      <fill>
        <patternFill>
          <bgColor rgb="FFCCFFCC"/>
        </patternFill>
      </fill>
    </dxf>
  </rfmt>
  <rfmt sheetId="3" sqref="R38" start="0" length="0">
    <dxf>
      <font>
        <sz val="9"/>
        <color indexed="8"/>
        <name val="Calibri"/>
        <scheme val="minor"/>
      </font>
      <fill>
        <patternFill>
          <bgColor rgb="FFCCFFCC"/>
        </patternFill>
      </fill>
    </dxf>
  </rfmt>
  <rcc rId="8915" sId="3" odxf="1" dxf="1">
    <nc r="S38">
      <v>2</v>
    </nc>
    <odxf>
      <font>
        <sz val="9"/>
        <color indexed="8"/>
        <name val="Calibri"/>
        <scheme val="none"/>
      </font>
      <fill>
        <patternFill>
          <bgColor theme="0"/>
        </patternFill>
      </fill>
    </odxf>
    <ndxf>
      <font>
        <sz val="9"/>
        <color indexed="8"/>
        <name val="Calibri"/>
        <scheme val="minor"/>
      </font>
      <fill>
        <patternFill>
          <bgColor rgb="FFCCFFCC"/>
        </patternFill>
      </fill>
    </ndxf>
  </rcc>
  <rcc rId="8916" sId="3" odxf="1" dxf="1">
    <nc r="T38">
      <v>2</v>
    </nc>
    <odxf>
      <font>
        <sz val="9"/>
        <color indexed="8"/>
        <name val="Calibri"/>
        <scheme val="none"/>
      </font>
      <fill>
        <patternFill>
          <bgColor theme="0"/>
        </patternFill>
      </fill>
    </odxf>
    <ndxf>
      <font>
        <sz val="9"/>
        <color indexed="8"/>
        <name val="Calibri"/>
        <scheme val="minor"/>
      </font>
      <fill>
        <patternFill>
          <bgColor rgb="FFCCFFCC"/>
        </patternFill>
      </fill>
    </ndxf>
  </rcc>
  <rcc rId="8917" sId="3" odxf="1" dxf="1">
    <nc r="U38">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918" sId="3" odxf="1" dxf="1">
    <nc r="V38"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919" sId="3" odxf="1" s="1" dxf="1">
    <nc r="W38" t="inlineStr">
      <is>
        <t>Pass</t>
      </is>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qref="X38" start="0" length="0">
    <dxf>
      <font>
        <sz val="9"/>
        <color auto="1"/>
      </font>
    </dxf>
  </rfmt>
  <rcc rId="8920" sId="3" numFmtId="19">
    <nc r="A38">
      <v>41733</v>
    </nc>
  </rcc>
  <rcc rId="8921" sId="3">
    <nc r="C38">
      <v>6</v>
    </nc>
  </rcc>
  <rcc rId="8922" sId="3">
    <nc r="D38">
      <v>46</v>
    </nc>
  </rcc>
  <rcc rId="8923" sId="3">
    <nc r="E38">
      <v>33</v>
    </nc>
  </rcc>
  <rcc rId="8924" sId="3">
    <nc r="F38">
      <v>7</v>
    </nc>
  </rcc>
  <rcc rId="8925" sId="3">
    <nc r="G38">
      <v>1</v>
    </nc>
  </rcc>
  <rcc rId="8926" sId="3">
    <nc r="H38">
      <v>25</v>
    </nc>
  </rcc>
  <rcc rId="8927" sId="3">
    <nc r="O38">
      <v>6</v>
    </nc>
  </rcc>
  <rcc rId="8928" sId="3">
    <nc r="P38">
      <v>0</v>
    </nc>
  </rcc>
  <rcc rId="8929" sId="3">
    <nc r="Q38">
      <v>3</v>
    </nc>
  </rcc>
  <rcc rId="8930" sId="3">
    <nc r="R38">
      <v>10</v>
    </nc>
  </rcc>
  <rcc rId="8931" sId="3">
    <oc r="U37">
      <v>6</v>
    </oc>
    <nc r="U37">
      <v>7</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cc rId="8932" sId="3">
    <nc r="X38" t="inlineStr">
      <is>
        <t>All units have valid video and audio output.
FE asserts on unit.110.
TXB_ECC1 TXB_TMG1 warnings on unit.124.
AUD2 warnings on some units, known issue CSCuh25081.
MPE warnings only on unit.125.
VID warnings on unit.120 and 104</t>
      </is>
    </nc>
  </rcc>
  <rcc rId="8933" sId="4" numFmtId="19">
    <oc r="I2">
      <v>41732</v>
    </oc>
    <nc r="I2">
      <v>41733</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dn rId="0" localSheetId="3" customView="1" name="Z_F5461B2D_C44D_459F_8141_3B434D52A3D6_.wvu.FilterData" hidden="1" oldHidden="1">
    <formula>'D9859 Grid'!$A$2:$Y$58</formula>
  </rdn>
  <rdn rId="0" localSheetId="14" customView="1" name="Z_F5461B2D_C44D_459F_8141_3B434D52A3D6_.wvu.FilterData" hidden="1" oldHidden="1">
    <formula>'Transcode Test Cases'!$A$9:$P$46</formula>
  </rdn>
  <rcv guid="{F5461B2D-C44D-459F-8141-3B434D52A3D6}"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39" start="0" length="0">
    <dxf>
      <font>
        <color rgb="FF000000"/>
        <name val="Calibri"/>
        <scheme val="minor"/>
      </font>
      <border outline="0">
        <left style="thin">
          <color indexed="64"/>
        </left>
        <top style="thin">
          <color indexed="64"/>
        </top>
      </border>
    </dxf>
  </rfmt>
  <rfmt sheetId="3" s="1" sqref="B39" start="0" length="0">
    <dxf>
      <font>
        <sz val="10"/>
        <color indexed="8"/>
        <name val="Calibri"/>
        <scheme val="minor"/>
      </font>
      <fill>
        <patternFill>
          <bgColor rgb="FFCCFFCC"/>
        </patternFill>
      </fill>
      <alignment wrapText="1" readingOrder="0"/>
    </dxf>
  </rfmt>
  <rfmt sheetId="3" s="1" sqref="C39" start="0" length="0">
    <dxf>
      <font>
        <sz val="10"/>
        <color indexed="8"/>
        <name val="Calibri"/>
        <scheme val="minor"/>
      </font>
      <fill>
        <patternFill>
          <bgColor rgb="FFCCFFCC"/>
        </patternFill>
      </fill>
      <alignment wrapText="1" readingOrder="0"/>
    </dxf>
  </rfmt>
  <rfmt sheetId="3" s="1" sqref="D39" start="0" length="0">
    <dxf>
      <font>
        <sz val="10"/>
        <color indexed="8"/>
        <name val="Calibri"/>
        <scheme val="minor"/>
      </font>
      <fill>
        <patternFill>
          <bgColor rgb="FFCCFFCC"/>
        </patternFill>
      </fill>
      <alignment wrapText="1" readingOrder="0"/>
    </dxf>
  </rfmt>
  <rfmt sheetId="3" s="1" sqref="E39" start="0" length="0">
    <dxf>
      <font>
        <sz val="10"/>
        <color indexed="8"/>
        <name val="Calibri"/>
        <scheme val="minor"/>
      </font>
      <fill>
        <patternFill>
          <bgColor rgb="FFCCFFCC"/>
        </patternFill>
      </fill>
      <alignment wrapText="1" readingOrder="0"/>
    </dxf>
  </rfmt>
  <rfmt sheetId="3" s="1" sqref="F39" start="0" length="0">
    <dxf>
      <font>
        <sz val="10"/>
        <color indexed="8"/>
        <name val="Calibri"/>
        <scheme val="minor"/>
      </font>
      <fill>
        <patternFill>
          <bgColor rgb="FFCCFFCC"/>
        </patternFill>
      </fill>
      <alignment wrapText="1" readingOrder="0"/>
    </dxf>
  </rfmt>
  <rfmt sheetId="3" s="1" sqref="G39" start="0" length="0">
    <dxf>
      <font>
        <sz val="10"/>
        <color indexed="8"/>
        <name val="Calibri"/>
        <scheme val="minor"/>
      </font>
      <fill>
        <patternFill>
          <bgColor rgb="FFCCFFCC"/>
        </patternFill>
      </fill>
      <alignment wrapText="1" readingOrder="0"/>
    </dxf>
  </rfmt>
  <rfmt sheetId="3" s="1" sqref="H39" start="0" length="0">
    <dxf>
      <font>
        <sz val="10"/>
        <color indexed="8"/>
        <name val="Calibri"/>
        <scheme val="minor"/>
      </font>
      <fill>
        <patternFill>
          <bgColor rgb="FFCCFFCC"/>
        </patternFill>
      </fill>
      <alignment wrapText="1" readingOrder="0"/>
    </dxf>
  </rfmt>
  <rfmt sheetId="3" s="1" sqref="I39" start="0" length="0">
    <dxf>
      <font>
        <sz val="10"/>
        <color indexed="8"/>
        <name val="Calibri"/>
        <scheme val="minor"/>
      </font>
      <fill>
        <patternFill>
          <bgColor rgb="FFCCFFCC"/>
        </patternFill>
      </fill>
      <alignment wrapText="1" readingOrder="0"/>
    </dxf>
  </rfmt>
  <rfmt sheetId="3" s="1" sqref="J39" start="0" length="0">
    <dxf>
      <font>
        <sz val="10"/>
        <color indexed="8"/>
        <name val="Calibri"/>
        <scheme val="minor"/>
      </font>
      <fill>
        <patternFill>
          <bgColor rgb="FFCCFFCC"/>
        </patternFill>
      </fill>
      <alignment wrapText="1" readingOrder="0"/>
    </dxf>
  </rfmt>
  <rcc rId="8936" sId="3" odxf="1" s="1" dxf="1">
    <nc r="K39">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937" sId="3" odxf="1" s="1" dxf="1">
    <nc r="L39">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938" sId="3" odxf="1" s="1" dxf="1">
    <nc r="M39">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939" sId="3" odxf="1" s="1" dxf="1">
    <nc r="N39">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940" sId="3" odxf="1" s="1" dxf="1">
    <nc r="O39">
      <v>6</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qref="P39" start="0" length="0">
    <dxf>
      <font>
        <sz val="9"/>
        <color indexed="8"/>
        <name val="Calibri"/>
        <scheme val="minor"/>
      </font>
      <fill>
        <patternFill>
          <bgColor rgb="FFCCFFCC"/>
        </patternFill>
      </fill>
    </dxf>
  </rfmt>
  <rfmt sheetId="3" s="1" sqref="Q39" start="0" length="0">
    <dxf>
      <font>
        <sz val="10"/>
        <color indexed="8"/>
        <name val="Calibri"/>
        <scheme val="minor"/>
      </font>
      <fill>
        <patternFill>
          <bgColor rgb="FFCCFFCC"/>
        </patternFill>
      </fill>
      <alignment wrapText="1" readingOrder="0"/>
    </dxf>
  </rfmt>
  <rfmt sheetId="3" s="1" sqref="R39" start="0" length="0">
    <dxf>
      <font>
        <sz val="10"/>
        <color indexed="8"/>
        <name val="Calibri"/>
        <scheme val="minor"/>
      </font>
      <fill>
        <patternFill>
          <bgColor rgb="FFCCFFCC"/>
        </patternFill>
      </fill>
      <alignment wrapText="1" readingOrder="0"/>
    </dxf>
  </rfmt>
  <rfmt sheetId="3" s="1" sqref="S39" start="0" length="0">
    <dxf>
      <font>
        <sz val="10"/>
        <color indexed="8"/>
        <name val="Calibri"/>
        <scheme val="minor"/>
      </font>
      <fill>
        <patternFill>
          <bgColor rgb="FFCCFFCC"/>
        </patternFill>
      </fill>
      <alignment wrapText="1" readingOrder="0"/>
    </dxf>
  </rfmt>
  <rcc rId="8941" sId="3" odxf="1" s="1" dxf="1">
    <nc r="T39">
      <v>2</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942" sId="3" odxf="1" dxf="1">
    <nc r="U39">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943" sId="3" odxf="1" dxf="1">
    <nc r="V39"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944" sId="3" odxf="1" s="1" dxf="1">
    <nc r="W39" t="inlineStr">
      <is>
        <t>Pass</t>
      </is>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945" sId="3" numFmtId="19">
    <nc r="A39">
      <v>41736</v>
    </nc>
  </rcc>
  <rcc rId="8946" sId="3">
    <nc r="B39">
      <v>15</v>
    </nc>
  </rcc>
  <rcc rId="8947" sId="3">
    <nc r="C39">
      <v>17</v>
    </nc>
  </rcc>
  <rcc rId="8948" sId="3">
    <nc r="D39">
      <v>18</v>
    </nc>
  </rcc>
  <rcc rId="8949" sId="3">
    <nc r="E39">
      <v>34</v>
    </nc>
  </rcc>
  <rcc rId="8950" sId="3">
    <nc r="F39">
      <v>4</v>
    </nc>
  </rcc>
  <rcc rId="8951" sId="3">
    <nc r="G39">
      <v>31</v>
    </nc>
  </rcc>
  <rcc rId="8952" sId="3">
    <nc r="H39">
      <v>31</v>
    </nc>
  </rcc>
  <rcc rId="8953" sId="3">
    <nc r="I39">
      <v>33</v>
    </nc>
  </rcc>
  <rcc rId="8954" sId="3">
    <nc r="J39">
      <v>33</v>
    </nc>
  </rcc>
  <rcc rId="8955" sId="3">
    <nc r="P39">
      <v>5</v>
    </nc>
  </rcc>
  <rcc rId="8956" sId="3">
    <nc r="Q39">
      <v>1</v>
    </nc>
  </rcc>
  <rcc rId="8957" sId="3">
    <nc r="R39">
      <v>5</v>
    </nc>
  </rcc>
  <rcc rId="8958" sId="3">
    <nc r="S39">
      <v>1</v>
    </nc>
  </rcc>
  <rcc rId="8959" sId="3">
    <nc r="X39" t="inlineStr">
      <is>
        <t>All units have valid video and audio output.
TXB_TMG1 warnings on unit.125.
AUD2 warnings  on unit.107/113/127/132
MPE warnings only on unit.125/124.</t>
      </is>
    </nc>
  </rcc>
  <rcc rId="8960" sId="4" numFmtId="19">
    <oc r="I2">
      <v>41733</v>
    </oc>
    <nc r="I2">
      <v>41736</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8961" sId="3">
    <oc r="I5" t="inlineStr">
      <is>
        <t>8, 1, 2, 4, 10, 12, 25, 26, 37, 30, 19, 18, 13, 15, 16, 22, 33, 32, 35</t>
      </is>
    </oc>
    <nc r="I5" t="inlineStr">
      <is>
        <t>8, 1, 2, 4, 10, 12, 25, 26, 37, 30, 19, 18, 13, 15, 16, 22, 32, 35</t>
      </is>
    </nc>
  </rcc>
  <rcc rId="8962" sId="3" numFmtId="13">
    <oc r="I4">
      <v>0.48648648648648651</v>
    </oc>
    <nc r="I4">
      <v>0.51351351351351349</v>
    </nc>
  </rcc>
  <rcc rId="8963" sId="3" numFmtId="13">
    <oc r="I3">
      <v>0.48648648648648651</v>
    </oc>
    <nc r="I3">
      <v>0.51351351351351349</v>
    </nc>
  </rcc>
  <rcc rId="8964" sId="3">
    <oc r="J5" t="inlineStr">
      <is>
        <t>7, 6, 8, 1, 3, 2, 4, 9, 12, 27, 28, 25, 37, 30, 19, 18, 13, 15, 16, 22, 33, 34, 32, 35</t>
      </is>
    </oc>
    <nc r="J5" t="inlineStr">
      <is>
        <t>7, 6, 8, 1, 3, 2, 4, 9, 12, 27, 28, 25, 37, 30, 19, 18, 13, 15, 16, 22, 34, 32, 35</t>
      </is>
    </nc>
  </rcc>
  <rcc rId="8965" sId="3" numFmtId="13">
    <oc r="J4">
      <v>0.35135135135135137</v>
    </oc>
    <nc r="J4">
      <v>0.3783783783783784</v>
    </nc>
  </rcc>
  <rcc rId="8966" sId="3" numFmtId="13">
    <oc r="J3">
      <v>0.35135135135135137</v>
    </oc>
    <nc r="J3">
      <v>0.3783783783783784</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40" start="0" length="0">
    <dxf>
      <font>
        <color rgb="FF000000"/>
        <name val="Calibri"/>
        <scheme val="minor"/>
      </font>
      <border outline="0">
        <left style="thin">
          <color indexed="64"/>
        </left>
        <top style="thin">
          <color indexed="64"/>
        </top>
      </border>
    </dxf>
  </rfmt>
  <rfmt sheetId="3" sqref="B40" start="0" length="0">
    <dxf>
      <font>
        <sz val="9"/>
        <color indexed="8"/>
        <name val="Calibri"/>
        <scheme val="minor"/>
      </font>
      <fill>
        <patternFill>
          <bgColor rgb="FFCCFFCC"/>
        </patternFill>
      </fill>
    </dxf>
  </rfmt>
  <rcc rId="8967" sId="3" odxf="1" dxf="1">
    <nc r="C40">
      <v>17</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D40" start="0" length="0">
    <dxf>
      <font>
        <sz val="9"/>
        <color indexed="8"/>
        <name val="Calibri"/>
        <scheme val="minor"/>
      </font>
      <fill>
        <patternFill>
          <bgColor rgb="FFCCFFCC"/>
        </patternFill>
      </fill>
    </dxf>
  </rfmt>
  <rcc rId="8968" sId="3" odxf="1" dxf="1">
    <nc r="E40">
      <v>34</v>
    </nc>
    <odxf>
      <font>
        <sz val="9"/>
        <color indexed="8"/>
        <name val="Calibri"/>
        <scheme val="none"/>
      </font>
      <fill>
        <patternFill>
          <bgColor theme="0"/>
        </patternFill>
      </fill>
    </odxf>
    <ndxf>
      <font>
        <sz val="9"/>
        <color indexed="8"/>
        <name val="Calibri"/>
        <scheme val="minor"/>
      </font>
      <fill>
        <patternFill>
          <bgColor rgb="FFCCFFCC"/>
        </patternFill>
      </fill>
    </ndxf>
  </rcc>
  <rcc rId="8969" sId="3" odxf="1" s="1" dxf="1">
    <nc r="F40">
      <v>4</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qref="G40" start="0" length="0">
    <dxf>
      <font>
        <sz val="9"/>
        <color indexed="8"/>
        <name val="Calibri"/>
        <scheme val="minor"/>
      </font>
      <fill>
        <patternFill>
          <bgColor rgb="FFCCFFCC"/>
        </patternFill>
      </fill>
    </dxf>
  </rfmt>
  <rfmt sheetId="3" sqref="H40" start="0" length="0">
    <dxf>
      <font>
        <sz val="9"/>
        <color indexed="8"/>
        <name val="Calibri"/>
        <scheme val="minor"/>
      </font>
      <fill>
        <patternFill>
          <bgColor rgb="FFCCFFCC"/>
        </patternFill>
      </fill>
    </dxf>
  </rfmt>
  <rfmt sheetId="3" sqref="I40" start="0" length="0">
    <dxf>
      <font>
        <sz val="9"/>
        <color indexed="8"/>
        <name val="Calibri"/>
        <scheme val="minor"/>
      </font>
      <fill>
        <patternFill>
          <bgColor rgb="FFCCFFCC"/>
        </patternFill>
      </fill>
    </dxf>
  </rfmt>
  <rfmt sheetId="3" sqref="J40" start="0" length="0">
    <dxf>
      <font>
        <sz val="9"/>
        <color indexed="8"/>
        <name val="Calibri"/>
        <scheme val="minor"/>
      </font>
      <fill>
        <patternFill>
          <bgColor rgb="FFCCFFCC"/>
        </patternFill>
      </fill>
    </dxf>
  </rfmt>
  <rcc rId="8970" sId="3" odxf="1" dxf="1">
    <nc r="K40">
      <v>0</v>
    </nc>
    <odxf>
      <font>
        <sz val="9"/>
        <color indexed="8"/>
        <name val="Calibri"/>
        <scheme val="none"/>
      </font>
      <fill>
        <patternFill>
          <bgColor theme="0"/>
        </patternFill>
      </fill>
    </odxf>
    <ndxf>
      <font>
        <sz val="9"/>
        <color indexed="8"/>
        <name val="Calibri"/>
        <scheme val="minor"/>
      </font>
      <fill>
        <patternFill>
          <bgColor rgb="FFCCFFCC"/>
        </patternFill>
      </fill>
    </ndxf>
  </rcc>
  <rcc rId="8971" sId="3" odxf="1" dxf="1">
    <nc r="L40">
      <v>0</v>
    </nc>
    <odxf>
      <font>
        <sz val="9"/>
        <color indexed="8"/>
        <name val="Calibri"/>
        <scheme val="none"/>
      </font>
      <fill>
        <patternFill>
          <bgColor theme="0"/>
        </patternFill>
      </fill>
    </odxf>
    <ndxf>
      <font>
        <sz val="9"/>
        <color indexed="8"/>
        <name val="Calibri"/>
        <scheme val="minor"/>
      </font>
      <fill>
        <patternFill>
          <bgColor rgb="FFCCFFCC"/>
        </patternFill>
      </fill>
    </ndxf>
  </rcc>
  <rcc rId="8972" sId="3" odxf="1" dxf="1">
    <nc r="M40">
      <v>0</v>
    </nc>
    <odxf>
      <font>
        <sz val="9"/>
        <color indexed="8"/>
        <name val="Calibri"/>
        <scheme val="none"/>
      </font>
      <fill>
        <patternFill>
          <bgColor theme="0"/>
        </patternFill>
      </fill>
    </odxf>
    <ndxf>
      <font>
        <sz val="9"/>
        <color indexed="8"/>
        <name val="Calibri"/>
        <scheme val="minor"/>
      </font>
      <fill>
        <patternFill>
          <bgColor rgb="FFCCFFCC"/>
        </patternFill>
      </fill>
    </ndxf>
  </rcc>
  <rcc rId="8973" sId="3" odxf="1" dxf="1">
    <nc r="N40">
      <v>0</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O40" start="0" length="0">
    <dxf>
      <font>
        <sz val="9"/>
        <color indexed="8"/>
        <name val="Calibri"/>
        <scheme val="minor"/>
      </font>
      <fill>
        <patternFill>
          <bgColor rgb="FFCCFFCC"/>
        </patternFill>
      </fill>
    </dxf>
  </rfmt>
  <rcc rId="8974" sId="3" odxf="1" dxf="1">
    <nc r="P40">
      <v>5</v>
    </nc>
    <odxf>
      <font>
        <sz val="9"/>
        <color indexed="8"/>
        <name val="Calibri"/>
        <scheme val="none"/>
      </font>
      <fill>
        <patternFill>
          <bgColor theme="0"/>
        </patternFill>
      </fill>
    </odxf>
    <ndxf>
      <font>
        <sz val="9"/>
        <color indexed="8"/>
        <name val="Calibri"/>
        <scheme val="minor"/>
      </font>
      <fill>
        <patternFill>
          <bgColor rgb="FFCCFFCC"/>
        </patternFill>
      </fill>
    </ndxf>
  </rcc>
  <rcc rId="8975" sId="3" odxf="1" s="1" dxf="1">
    <nc r="Q40">
      <v>1</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976" sId="3" odxf="1" s="1" dxf="1">
    <nc r="R40">
      <v>5</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8977" sId="3" odxf="1" dxf="1">
    <nc r="S40">
      <v>1</v>
    </nc>
    <odxf>
      <font>
        <sz val="9"/>
        <color indexed="8"/>
        <name val="Calibri"/>
        <scheme val="none"/>
      </font>
      <fill>
        <patternFill>
          <bgColor theme="0"/>
        </patternFill>
      </fill>
    </odxf>
    <ndxf>
      <font>
        <sz val="9"/>
        <color indexed="8"/>
        <name val="Calibri"/>
        <scheme val="minor"/>
      </font>
      <fill>
        <patternFill>
          <bgColor rgb="FFCCFFCC"/>
        </patternFill>
      </fill>
    </ndxf>
  </rcc>
  <rcc rId="8978" sId="3" odxf="1" dxf="1">
    <nc r="T40">
      <v>2</v>
    </nc>
    <odxf>
      <font>
        <sz val="9"/>
        <color indexed="8"/>
        <name val="Calibri"/>
        <scheme val="none"/>
      </font>
      <fill>
        <patternFill>
          <bgColor theme="0"/>
        </patternFill>
      </fill>
    </odxf>
    <ndxf>
      <font>
        <sz val="9"/>
        <color indexed="8"/>
        <name val="Calibri"/>
        <scheme val="minor"/>
      </font>
      <fill>
        <patternFill>
          <bgColor rgb="FFCCFFCC"/>
        </patternFill>
      </fill>
    </ndxf>
  </rcc>
  <rcc rId="8979" sId="3" odxf="1" dxf="1">
    <nc r="U40">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8980" sId="3" odxf="1" dxf="1">
    <nc r="V40"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8981" sId="3" odxf="1" dxf="1">
    <nc r="W40" t="inlineStr">
      <is>
        <t>Pass</t>
      </is>
    </nc>
    <odxf>
      <fill>
        <patternFill>
          <bgColor theme="0"/>
        </patternFill>
      </fill>
    </odxf>
    <ndxf>
      <fill>
        <patternFill>
          <bgColor rgb="FFCCFFCC"/>
        </patternFill>
      </fill>
    </ndxf>
  </rcc>
  <rcc rId="8982" sId="3" numFmtId="19">
    <nc r="A40">
      <v>41737</v>
    </nc>
  </rcc>
  <rcc rId="8983" sId="3">
    <nc r="B40">
      <v>17</v>
    </nc>
  </rcc>
  <rcc rId="8984" sId="3">
    <nc r="D40">
      <v>17</v>
    </nc>
  </rcc>
  <rcc rId="8985" sId="3">
    <nc r="G40">
      <v>17</v>
    </nc>
  </rcc>
  <rcc rId="8986" sId="3">
    <nc r="H40">
      <v>13</v>
    </nc>
  </rcc>
  <rcc rId="8987" sId="3">
    <nc r="I40">
      <v>0</v>
    </nc>
  </rcc>
  <rcc rId="8988" sId="3">
    <nc r="J40">
      <v>0</v>
    </nc>
  </rcc>
  <rcc rId="8989" sId="3">
    <nc r="O40">
      <v>8</v>
    </nc>
  </rcc>
  <rcc rId="8990" sId="3">
    <nc r="X40" t="inlineStr">
      <is>
        <t>All units have valid video and audio output.
TX CC error on VBI PID 2904 co-timed on all units.
MPE warnings on several units.</t>
      </is>
    </nc>
  </rcc>
  <rcc rId="8991" sId="4" numFmtId="19">
    <oc r="I2">
      <v>41736</v>
    </oc>
    <nc r="I2">
      <v>41737</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41" start="0" length="0">
    <dxf>
      <font>
        <color rgb="FF000000"/>
        <name val="Calibri"/>
        <scheme val="minor"/>
      </font>
      <border outline="0">
        <left style="thin">
          <color indexed="64"/>
        </left>
        <top style="thin">
          <color indexed="64"/>
        </top>
      </border>
    </dxf>
  </rfmt>
  <rfmt sheetId="3" sqref="B41" start="0" length="0">
    <dxf>
      <font>
        <sz val="9"/>
        <color indexed="8"/>
        <name val="Calibri"/>
        <scheme val="minor"/>
      </font>
      <fill>
        <patternFill>
          <bgColor rgb="FFCCFFCC"/>
        </patternFill>
      </fill>
    </dxf>
  </rfmt>
  <rfmt sheetId="3" sqref="C41" start="0" length="0">
    <dxf>
      <font>
        <sz val="9"/>
        <color indexed="8"/>
        <name val="Calibri"/>
        <scheme val="minor"/>
      </font>
      <fill>
        <patternFill>
          <bgColor rgb="FFCCFFCC"/>
        </patternFill>
      </fill>
    </dxf>
  </rfmt>
  <rfmt sheetId="3" sqref="D41" start="0" length="0">
    <dxf>
      <font>
        <sz val="9"/>
        <color indexed="8"/>
        <name val="Calibri"/>
        <scheme val="minor"/>
      </font>
      <fill>
        <patternFill>
          <bgColor rgb="FFCCFFCC"/>
        </patternFill>
      </fill>
    </dxf>
  </rfmt>
  <rcc rId="8992" sId="3" odxf="1" dxf="1">
    <nc r="E41">
      <v>34</v>
    </nc>
    <odxf>
      <font>
        <sz val="9"/>
        <color indexed="8"/>
        <name val="Calibri"/>
        <scheme val="none"/>
      </font>
      <fill>
        <patternFill>
          <bgColor theme="0"/>
        </patternFill>
      </fill>
    </odxf>
    <ndxf>
      <font>
        <sz val="9"/>
        <color indexed="8"/>
        <name val="Calibri"/>
        <scheme val="minor"/>
      </font>
      <fill>
        <patternFill>
          <bgColor rgb="FFCCFFCC"/>
        </patternFill>
      </fill>
    </ndxf>
  </rcc>
  <rfmt sheetId="3" s="1" sqref="F41" start="0" length="0">
    <dxf>
      <font>
        <sz val="10"/>
        <color indexed="8"/>
        <name val="Calibri"/>
        <scheme val="minor"/>
      </font>
      <fill>
        <patternFill>
          <bgColor rgb="FFCCFFCC"/>
        </patternFill>
      </fill>
      <alignment wrapText="1" readingOrder="0"/>
    </dxf>
  </rfmt>
  <rfmt sheetId="3" sqref="G41" start="0" length="0">
    <dxf>
      <font>
        <sz val="9"/>
        <color indexed="8"/>
        <name val="Calibri"/>
        <scheme val="minor"/>
      </font>
      <fill>
        <patternFill>
          <bgColor rgb="FFCCFFCC"/>
        </patternFill>
      </fill>
    </dxf>
  </rfmt>
  <rfmt sheetId="3" sqref="H41" start="0" length="0">
    <dxf>
      <font>
        <sz val="9"/>
        <color indexed="8"/>
        <name val="Calibri"/>
        <scheme val="minor"/>
      </font>
      <fill>
        <patternFill>
          <bgColor rgb="FFCCFFCC"/>
        </patternFill>
      </fill>
    </dxf>
  </rfmt>
  <rcc rId="8993" sId="3" odxf="1" dxf="1">
    <nc r="I41">
      <v>0</v>
    </nc>
    <odxf>
      <font>
        <sz val="9"/>
        <color indexed="8"/>
        <name val="Calibri"/>
        <scheme val="none"/>
      </font>
      <fill>
        <patternFill>
          <bgColor theme="0"/>
        </patternFill>
      </fill>
    </odxf>
    <ndxf>
      <font>
        <sz val="9"/>
        <color indexed="8"/>
        <name val="Calibri"/>
        <scheme val="minor"/>
      </font>
      <fill>
        <patternFill>
          <bgColor rgb="FFCCFFCC"/>
        </patternFill>
      </fill>
    </ndxf>
  </rcc>
  <rcc rId="8994" sId="3" odxf="1" dxf="1">
    <nc r="J41">
      <v>0</v>
    </nc>
    <odxf>
      <font>
        <sz val="9"/>
        <color indexed="8"/>
        <name val="Calibri"/>
        <scheme val="none"/>
      </font>
      <fill>
        <patternFill>
          <bgColor theme="0"/>
        </patternFill>
      </fill>
    </odxf>
    <ndxf>
      <font>
        <sz val="9"/>
        <color indexed="8"/>
        <name val="Calibri"/>
        <scheme val="minor"/>
      </font>
      <fill>
        <patternFill>
          <bgColor rgb="FFCCFFCC"/>
        </patternFill>
      </fill>
    </ndxf>
  </rcc>
  <rcc rId="8995" sId="3" odxf="1" dxf="1">
    <nc r="K41">
      <v>0</v>
    </nc>
    <odxf>
      <font>
        <sz val="9"/>
        <color indexed="8"/>
        <name val="Calibri"/>
        <scheme val="none"/>
      </font>
      <fill>
        <patternFill>
          <bgColor theme="0"/>
        </patternFill>
      </fill>
    </odxf>
    <ndxf>
      <font>
        <sz val="9"/>
        <color indexed="8"/>
        <name val="Calibri"/>
        <scheme val="minor"/>
      </font>
      <fill>
        <patternFill>
          <bgColor rgb="FFCCFFCC"/>
        </patternFill>
      </fill>
    </ndxf>
  </rcc>
  <rcc rId="8996" sId="3" odxf="1" dxf="1">
    <nc r="L41">
      <v>0</v>
    </nc>
    <odxf>
      <font>
        <sz val="9"/>
        <color indexed="8"/>
        <name val="Calibri"/>
        <scheme val="none"/>
      </font>
      <fill>
        <patternFill>
          <bgColor theme="0"/>
        </patternFill>
      </fill>
    </odxf>
    <ndxf>
      <font>
        <sz val="9"/>
        <color indexed="8"/>
        <name val="Calibri"/>
        <scheme val="minor"/>
      </font>
      <fill>
        <patternFill>
          <bgColor rgb="FFCCFFCC"/>
        </patternFill>
      </fill>
    </ndxf>
  </rcc>
  <rcc rId="8997" sId="3" odxf="1" dxf="1">
    <nc r="M41">
      <v>0</v>
    </nc>
    <odxf>
      <font>
        <sz val="9"/>
        <color indexed="8"/>
        <name val="Calibri"/>
        <scheme val="none"/>
      </font>
      <fill>
        <patternFill>
          <bgColor theme="0"/>
        </patternFill>
      </fill>
    </odxf>
    <ndxf>
      <font>
        <sz val="9"/>
        <color indexed="8"/>
        <name val="Calibri"/>
        <scheme val="minor"/>
      </font>
      <fill>
        <patternFill>
          <bgColor rgb="FFCCFFCC"/>
        </patternFill>
      </fill>
    </ndxf>
  </rcc>
  <rcc rId="8998" sId="3" odxf="1" dxf="1">
    <nc r="N41">
      <v>0</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O41" start="0" length="0">
    <dxf>
      <font>
        <sz val="9"/>
        <color indexed="8"/>
        <name val="Calibri"/>
        <scheme val="minor"/>
      </font>
      <fill>
        <patternFill>
          <bgColor rgb="FFCCFFCC"/>
        </patternFill>
      </fill>
    </dxf>
  </rfmt>
  <rfmt sheetId="3" sqref="P41" start="0" length="0">
    <dxf>
      <font>
        <sz val="9"/>
        <color indexed="8"/>
        <name val="Calibri"/>
        <scheme val="minor"/>
      </font>
      <fill>
        <patternFill>
          <bgColor rgb="FFCCFFCC"/>
        </patternFill>
      </fill>
    </dxf>
  </rfmt>
  <rfmt sheetId="3" s="1" sqref="Q41" start="0" length="0">
    <dxf>
      <font>
        <sz val="10"/>
        <color indexed="8"/>
        <name val="Calibri"/>
        <scheme val="minor"/>
      </font>
      <fill>
        <patternFill>
          <bgColor rgb="FFCCFFCC"/>
        </patternFill>
      </fill>
      <alignment wrapText="1" readingOrder="0"/>
    </dxf>
  </rfmt>
  <rfmt sheetId="3" s="1" sqref="R41" start="0" length="0">
    <dxf>
      <font>
        <sz val="10"/>
        <color indexed="8"/>
        <name val="Calibri"/>
        <scheme val="minor"/>
      </font>
      <fill>
        <patternFill>
          <bgColor rgb="FFCCFFCC"/>
        </patternFill>
      </fill>
      <alignment wrapText="1" readingOrder="0"/>
    </dxf>
  </rfmt>
  <rcc rId="8999" sId="3" odxf="1" dxf="1">
    <nc r="S41">
      <v>1</v>
    </nc>
    <odxf>
      <font>
        <sz val="9"/>
        <color indexed="8"/>
        <name val="Calibri"/>
        <scheme val="none"/>
      </font>
      <fill>
        <patternFill>
          <bgColor theme="0"/>
        </patternFill>
      </fill>
    </odxf>
    <ndxf>
      <font>
        <sz val="9"/>
        <color indexed="8"/>
        <name val="Calibri"/>
        <scheme val="minor"/>
      </font>
      <fill>
        <patternFill>
          <bgColor rgb="FFCCFFCC"/>
        </patternFill>
      </fill>
    </ndxf>
  </rcc>
  <rcc rId="9000" sId="3" odxf="1" dxf="1">
    <nc r="T41">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41"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9001" sId="3" odxf="1" dxf="1">
    <nc r="V41"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9002" sId="3" odxf="1" s="1" dxf="1">
    <nc r="W41" t="inlineStr">
      <is>
        <t>Pass</t>
      </is>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003" sId="3" numFmtId="19">
    <nc r="A41">
      <v>41738</v>
    </nc>
  </rcc>
  <rcc rId="9004" sId="3">
    <nc r="B41">
      <v>18</v>
    </nc>
  </rcc>
  <rcc rId="9005" sId="3">
    <nc r="C41">
      <v>7</v>
    </nc>
  </rcc>
  <rcc rId="9006" sId="3">
    <nc r="D41">
      <v>27</v>
    </nc>
  </rcc>
  <rcc rId="9007" sId="3">
    <nc r="F41">
      <v>7</v>
    </nc>
  </rcc>
  <rcc rId="9008" sId="3">
    <nc r="G41">
      <v>16</v>
    </nc>
  </rcc>
  <rcc rId="9009" sId="3">
    <nc r="H41">
      <v>20</v>
    </nc>
  </rcc>
  <rcc rId="9010" sId="3">
    <nc r="O41">
      <v>5</v>
    </nc>
  </rcc>
  <rcc rId="9011" sId="3">
    <nc r="P41">
      <v>7</v>
    </nc>
  </rcc>
  <rcc rId="9012" sId="3">
    <nc r="Q41">
      <v>2</v>
    </nc>
  </rcc>
  <rcc rId="9013" sId="3">
    <nc r="R41">
      <v>10</v>
    </nc>
  </rcc>
  <rcc rId="9014" sId="3">
    <nc r="U41">
      <v>6</v>
    </nc>
  </rcc>
  <rcc rId="9015" sId="3">
    <nc r="X41" t="inlineStr">
      <is>
        <t>All units have valid video and audio output.
AUD2 warnings on some units, known issue CSCuh25081.
TX CC error on PID 2901 co-timed on all units, uplink issue.
VBI warnings on all units, due to known uplink setup issue. 
MPE warnings on several units. uplink system known issue. 
TXB_TMG1 warnings only on unit.131.</t>
      </is>
    </nc>
  </rcc>
  <rcc rId="9016" sId="4" numFmtId="19">
    <oc r="I2">
      <v>41737</v>
    </oc>
    <nc r="I2">
      <v>41738</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017" sId="3">
    <oc r="H5" t="inlineStr">
      <is>
        <t>1, 4, 10, 12, 27, 28, 30, 20, 15, 14, 22, 24, 33, 34, 36</t>
      </is>
    </oc>
    <nc r="H5" t="inlineStr">
      <is>
        <t>1, 4, 10, 12, 27, 28, 30, 15, 14, 22, 24, 33, 34, 36</t>
      </is>
    </nc>
  </rcc>
  <rcc rId="9018" sId="3" numFmtId="13">
    <oc r="H4">
      <v>0.59459459459459463</v>
    </oc>
    <nc r="H4">
      <v>0.6216216216216216</v>
    </nc>
  </rcc>
  <rcc rId="9019" sId="3" numFmtId="13">
    <oc r="H3">
      <v>0.59459459459459463</v>
    </oc>
    <nc r="H3">
      <v>0.6216216216216216</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42" start="0" length="0">
    <dxf>
      <font>
        <color rgb="FF000000"/>
        <name val="Calibri"/>
        <scheme val="minor"/>
      </font>
      <border outline="0">
        <left style="thin">
          <color indexed="64"/>
        </left>
        <top style="thin">
          <color indexed="64"/>
        </top>
      </border>
    </dxf>
  </rfmt>
  <rfmt sheetId="3" sqref="B42" start="0" length="0">
    <dxf>
      <font>
        <sz val="9"/>
        <color indexed="8"/>
        <name val="Calibri"/>
        <scheme val="minor"/>
      </font>
      <fill>
        <patternFill>
          <bgColor rgb="FFCCFFCC"/>
        </patternFill>
      </fill>
    </dxf>
  </rfmt>
  <rfmt sheetId="3" sqref="C42" start="0" length="0">
    <dxf>
      <font>
        <sz val="9"/>
        <color indexed="8"/>
        <name val="Calibri"/>
        <scheme val="minor"/>
      </font>
      <fill>
        <patternFill>
          <bgColor rgb="FFCCFFCC"/>
        </patternFill>
      </fill>
    </dxf>
  </rfmt>
  <rfmt sheetId="3" sqref="D42" start="0" length="0">
    <dxf>
      <font>
        <sz val="9"/>
        <color indexed="8"/>
        <name val="Calibri"/>
        <scheme val="minor"/>
      </font>
      <fill>
        <patternFill>
          <bgColor rgb="FFCCFFCC"/>
        </patternFill>
      </fill>
    </dxf>
  </rfmt>
  <rcc rId="9020" sId="3" odxf="1" dxf="1">
    <nc r="E42">
      <v>34</v>
    </nc>
    <odxf>
      <font>
        <sz val="9"/>
        <color indexed="8"/>
        <name val="Calibri"/>
        <scheme val="none"/>
      </font>
      <fill>
        <patternFill>
          <bgColor theme="0"/>
        </patternFill>
      </fill>
    </odxf>
    <ndxf>
      <font>
        <sz val="9"/>
        <color indexed="8"/>
        <name val="Calibri"/>
        <scheme val="minor"/>
      </font>
      <fill>
        <patternFill>
          <bgColor rgb="FFCCFFCC"/>
        </patternFill>
      </fill>
    </ndxf>
  </rcc>
  <rfmt sheetId="3" s="1" sqref="F42" start="0" length="0">
    <dxf>
      <font>
        <sz val="10"/>
        <color indexed="8"/>
        <name val="Calibri"/>
        <scheme val="minor"/>
      </font>
      <fill>
        <patternFill>
          <bgColor rgb="FFCCFFCC"/>
        </patternFill>
      </fill>
      <alignment wrapText="1" readingOrder="0"/>
    </dxf>
  </rfmt>
  <rfmt sheetId="3" sqref="G42" start="0" length="0">
    <dxf>
      <font>
        <sz val="9"/>
        <color indexed="8"/>
        <name val="Calibri"/>
        <scheme val="minor"/>
      </font>
      <fill>
        <patternFill>
          <bgColor rgb="FFCCFFCC"/>
        </patternFill>
      </fill>
    </dxf>
  </rfmt>
  <rfmt sheetId="3" sqref="H42" start="0" length="0">
    <dxf>
      <font>
        <sz val="9"/>
        <color indexed="8"/>
        <name val="Calibri"/>
        <scheme val="minor"/>
      </font>
      <fill>
        <patternFill>
          <bgColor rgb="FFCCFFCC"/>
        </patternFill>
      </fill>
    </dxf>
  </rfmt>
  <rfmt sheetId="3" sqref="I42" start="0" length="0">
    <dxf>
      <font>
        <sz val="9"/>
        <color indexed="8"/>
        <name val="Calibri"/>
        <scheme val="minor"/>
      </font>
      <fill>
        <patternFill>
          <bgColor rgb="FFCCFFCC"/>
        </patternFill>
      </fill>
    </dxf>
  </rfmt>
  <rfmt sheetId="3" sqref="J42" start="0" length="0">
    <dxf>
      <font>
        <sz val="9"/>
        <color indexed="8"/>
        <name val="Calibri"/>
        <scheme val="minor"/>
      </font>
      <fill>
        <patternFill>
          <bgColor rgb="FFCCFFCC"/>
        </patternFill>
      </fill>
    </dxf>
  </rfmt>
  <rfmt sheetId="3" sqref="K42" start="0" length="0">
    <dxf>
      <font>
        <sz val="9"/>
        <color indexed="8"/>
        <name val="Calibri"/>
        <scheme val="minor"/>
      </font>
      <fill>
        <patternFill>
          <bgColor rgb="FFCCFFCC"/>
        </patternFill>
      </fill>
    </dxf>
  </rfmt>
  <rfmt sheetId="3" sqref="L42" start="0" length="0">
    <dxf>
      <font>
        <sz val="9"/>
        <color indexed="8"/>
        <name val="Calibri"/>
        <scheme val="minor"/>
      </font>
      <fill>
        <patternFill>
          <bgColor rgb="FFCCFFCC"/>
        </patternFill>
      </fill>
    </dxf>
  </rfmt>
  <rcc rId="9021" sId="3" odxf="1" dxf="1">
    <nc r="M42">
      <v>0</v>
    </nc>
    <odxf>
      <font>
        <sz val="9"/>
        <color indexed="8"/>
        <name val="Calibri"/>
        <scheme val="none"/>
      </font>
      <fill>
        <patternFill>
          <bgColor theme="0"/>
        </patternFill>
      </fill>
    </odxf>
    <ndxf>
      <font>
        <sz val="9"/>
        <color indexed="8"/>
        <name val="Calibri"/>
        <scheme val="minor"/>
      </font>
      <fill>
        <patternFill>
          <bgColor rgb="FFCCFFCC"/>
        </patternFill>
      </fill>
    </ndxf>
  </rcc>
  <rcc rId="9022" sId="3" odxf="1" dxf="1">
    <nc r="N42">
      <v>0</v>
    </nc>
    <odxf>
      <font>
        <sz val="9"/>
        <color indexed="8"/>
        <name val="Calibri"/>
        <scheme val="none"/>
      </font>
      <fill>
        <patternFill>
          <bgColor theme="0"/>
        </patternFill>
      </fill>
    </odxf>
    <ndxf>
      <font>
        <sz val="9"/>
        <color indexed="8"/>
        <name val="Calibri"/>
        <scheme val="minor"/>
      </font>
      <fill>
        <patternFill>
          <bgColor rgb="FFCCFFCC"/>
        </patternFill>
      </fill>
    </ndxf>
  </rcc>
  <rcc rId="9023" sId="3" odxf="1" dxf="1">
    <nc r="O42">
      <v>5</v>
    </nc>
    <odxf>
      <font>
        <sz val="9"/>
        <color indexed="8"/>
        <name val="Calibri"/>
        <scheme val="none"/>
      </font>
      <fill>
        <patternFill>
          <bgColor theme="0"/>
        </patternFill>
      </fill>
    </odxf>
    <ndxf>
      <font>
        <sz val="9"/>
        <color indexed="8"/>
        <name val="Calibri"/>
        <scheme val="minor"/>
      </font>
      <fill>
        <patternFill>
          <bgColor rgb="FFCCFFCC"/>
        </patternFill>
      </fill>
    </ndxf>
  </rcc>
  <rcc rId="9024" sId="3" odxf="1" dxf="1">
    <nc r="P42">
      <v>7</v>
    </nc>
    <odxf>
      <font>
        <sz val="9"/>
        <color indexed="8"/>
        <name val="Calibri"/>
        <scheme val="none"/>
      </font>
      <fill>
        <patternFill>
          <bgColor theme="0"/>
        </patternFill>
      </fill>
    </odxf>
    <ndxf>
      <font>
        <sz val="9"/>
        <color indexed="8"/>
        <name val="Calibri"/>
        <scheme val="minor"/>
      </font>
      <fill>
        <patternFill>
          <bgColor rgb="FFCCFFCC"/>
        </patternFill>
      </fill>
    </ndxf>
  </rcc>
  <rcc rId="9025" sId="3" odxf="1" s="1" dxf="1">
    <nc r="Q42">
      <v>2</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026" sId="3" odxf="1" s="1" dxf="1">
    <nc r="R42">
      <v>10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027" sId="3" odxf="1" dxf="1">
    <nc r="S42">
      <v>1</v>
    </nc>
    <odxf>
      <font>
        <sz val="9"/>
        <color indexed="8"/>
        <name val="Calibri"/>
        <scheme val="none"/>
      </font>
      <fill>
        <patternFill>
          <bgColor theme="0"/>
        </patternFill>
      </fill>
    </odxf>
    <ndxf>
      <font>
        <sz val="9"/>
        <color indexed="8"/>
        <name val="Calibri"/>
        <scheme val="minor"/>
      </font>
      <fill>
        <patternFill>
          <bgColor rgb="FFCCFFCC"/>
        </patternFill>
      </fill>
    </ndxf>
  </rcc>
  <rcc rId="9028" sId="3" odxf="1" dxf="1">
    <nc r="T42">
      <v>2</v>
    </nc>
    <odxf>
      <font>
        <sz val="9"/>
        <color indexed="8"/>
        <name val="Calibri"/>
        <scheme val="none"/>
      </font>
      <fill>
        <patternFill>
          <bgColor theme="0"/>
        </patternFill>
      </fill>
    </odxf>
    <ndxf>
      <font>
        <sz val="9"/>
        <color indexed="8"/>
        <name val="Calibri"/>
        <scheme val="minor"/>
      </font>
      <fill>
        <patternFill>
          <bgColor rgb="FFCCFFCC"/>
        </patternFill>
      </fill>
    </ndxf>
  </rcc>
  <rcc rId="9029" sId="3" odxf="1" dxf="1">
    <nc r="U42">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9030" sId="3" odxf="1" dxf="1">
    <nc r="V42"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9031" sId="3" odxf="1" dxf="1">
    <nc r="W42"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9032" sId="3" numFmtId="19">
    <nc r="A42">
      <v>41738</v>
    </nc>
  </rcc>
  <rcc rId="9033" sId="3">
    <nc r="B42">
      <v>20</v>
    </nc>
  </rcc>
  <rcc rId="9034" sId="3">
    <nc r="C42">
      <v>2</v>
    </nc>
  </rcc>
  <rcc rId="9035" sId="3">
    <nc r="D42">
      <v>16</v>
    </nc>
  </rcc>
  <rcc rId="9036" sId="3">
    <nc r="F42">
      <v>4</v>
    </nc>
  </rcc>
  <rcc rId="9037" sId="3">
    <nc r="G42">
      <v>31</v>
    </nc>
  </rcc>
  <rcc rId="9038" sId="3">
    <nc r="H42">
      <v>31</v>
    </nc>
  </rcc>
  <rcc rId="9039" sId="3">
    <nc r="I42">
      <v>31</v>
    </nc>
  </rcc>
  <rcc rId="9040" sId="3">
    <nc r="J42">
      <v>33</v>
    </nc>
  </rcc>
  <rcc rId="9041" sId="3">
    <nc r="K42">
      <v>33</v>
    </nc>
  </rcc>
  <rcc rId="9042" sId="3">
    <nc r="L42">
      <v>33</v>
    </nc>
  </rcc>
  <rcc rId="9043" sId="3">
    <nc r="X42" t="inlineStr">
      <is>
        <t xml:space="preserve">All units have valid video and audio output.
TX CC error on PID 2802 co-timed on all units, uplink issue.
VBI warnings on all units, due to known uplink setup issue. 
MPE warnings on several units. uplink system known issue. </t>
      </is>
    </nc>
  </rcc>
  <rcc rId="9044" sId="3">
    <oc r="X41" t="inlineStr">
      <is>
        <t>All units have valid video and audio output.
AUD2 warnings on some units, known issue CSCuh25081.
TX CC error on PID 2901 co-timed on all units, uplink issue.
VBI warnings on all units, due to known uplink setup issue. 
MPE warnings on several units. uplink system known issue. 
TXB_TMG1 warnings only on unit.131.</t>
      </is>
    </oc>
    <nc r="X41" t="inlineStr">
      <is>
        <t>All units have valid video and audio output.
AUD2 warnings on some units, known issue CSCuh25081.
TX CC error on PID 2901 co-timed on all units, uplink issue.
VBI warnings on all units, due to known uplink setup issue. 
MPE warnings on several units. uplink system known issue. 
TXB_TMG1 warnings only on unit.131.</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cc rId="9045" sId="3">
    <oc r="B5" t="inlineStr">
      <is>
        <t>7, 8, 20</t>
      </is>
    </oc>
    <nc r="B5" t="inlineStr">
      <is>
        <t>7, 8</t>
      </is>
    </nc>
  </rcc>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cc rId="9046" sId="3" numFmtId="13">
    <oc r="B4">
      <v>0.82352941176470584</v>
    </oc>
    <nc r="B4">
      <v>0.88235294117647056</v>
    </nc>
  </rcc>
  <rcc rId="9047" sId="3" numFmtId="13">
    <oc r="B3">
      <v>0.82352941176470584</v>
    </oc>
    <nc r="B3">
      <v>0.88235294117647056</v>
    </nc>
  </rcc>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43" start="0" length="0">
    <dxf>
      <font>
        <color rgb="FF000000"/>
        <name val="Calibri"/>
        <scheme val="minor"/>
      </font>
      <border outline="0">
        <left style="thin">
          <color indexed="64"/>
        </left>
        <top style="thin">
          <color indexed="64"/>
        </top>
      </border>
    </dxf>
  </rfmt>
  <rfmt sheetId="3" sqref="B43" start="0" length="0">
    <dxf>
      <font>
        <sz val="9"/>
        <color indexed="8"/>
        <name val="Calibri"/>
        <scheme val="minor"/>
      </font>
      <fill>
        <patternFill>
          <bgColor rgb="FFCCFFCC"/>
        </patternFill>
      </fill>
    </dxf>
  </rfmt>
  <rfmt sheetId="3" sqref="C43" start="0" length="0">
    <dxf>
      <font>
        <sz val="9"/>
        <color indexed="8"/>
        <name val="Calibri"/>
        <scheme val="minor"/>
      </font>
      <fill>
        <patternFill>
          <bgColor rgb="FFCCFFCC"/>
        </patternFill>
      </fill>
    </dxf>
  </rfmt>
  <rfmt sheetId="3" sqref="D43" start="0" length="0">
    <dxf>
      <font>
        <sz val="9"/>
        <color indexed="8"/>
        <name val="Calibri"/>
        <scheme val="minor"/>
      </font>
      <fill>
        <patternFill>
          <bgColor rgb="FFCCFFCC"/>
        </patternFill>
      </fill>
    </dxf>
  </rfmt>
  <rfmt sheetId="3" sqref="E43" start="0" length="0">
    <dxf>
      <font>
        <sz val="9"/>
        <color indexed="8"/>
        <name val="Calibri"/>
        <scheme val="minor"/>
      </font>
      <fill>
        <patternFill>
          <bgColor rgb="FFCCFFCC"/>
        </patternFill>
      </fill>
    </dxf>
  </rfmt>
  <rfmt sheetId="3" sqref="F43" start="0" length="0">
    <dxf>
      <font>
        <sz val="9"/>
        <color indexed="8"/>
        <name val="Calibri"/>
        <scheme val="minor"/>
      </font>
      <fill>
        <patternFill>
          <bgColor rgb="FFCCFFCC"/>
        </patternFill>
      </fill>
    </dxf>
  </rfmt>
  <rfmt sheetId="3" sqref="G43" start="0" length="0">
    <dxf>
      <font>
        <sz val="9"/>
        <color indexed="8"/>
        <name val="Calibri"/>
        <scheme val="minor"/>
      </font>
      <fill>
        <patternFill>
          <bgColor rgb="FFCCFFCC"/>
        </patternFill>
      </fill>
    </dxf>
  </rfmt>
  <rfmt sheetId="3" sqref="H43" start="0" length="0">
    <dxf>
      <font>
        <sz val="9"/>
        <color indexed="8"/>
        <name val="Calibri"/>
        <scheme val="minor"/>
      </font>
      <fill>
        <patternFill>
          <bgColor rgb="FFCCFFCC"/>
        </patternFill>
      </fill>
    </dxf>
  </rfmt>
  <rfmt sheetId="3" sqref="I43" start="0" length="0">
    <dxf>
      <font>
        <sz val="9"/>
        <color indexed="8"/>
        <name val="Calibri"/>
        <scheme val="minor"/>
      </font>
      <fill>
        <patternFill>
          <bgColor rgb="FFCCFFCC"/>
        </patternFill>
      </fill>
    </dxf>
  </rfmt>
  <rfmt sheetId="3" sqref="J43" start="0" length="0">
    <dxf>
      <font>
        <sz val="9"/>
        <color indexed="8"/>
        <name val="Calibri"/>
        <scheme val="minor"/>
      </font>
      <fill>
        <patternFill>
          <bgColor rgb="FFCCFFCC"/>
        </patternFill>
      </fill>
    </dxf>
  </rfmt>
  <rfmt sheetId="3" sqref="K43" start="0" length="0">
    <dxf>
      <font>
        <sz val="9"/>
        <color indexed="8"/>
        <name val="Calibri"/>
        <scheme val="minor"/>
      </font>
      <fill>
        <patternFill>
          <bgColor rgb="FFCCFFCC"/>
        </patternFill>
      </fill>
    </dxf>
  </rfmt>
  <rfmt sheetId="3" sqref="L43" start="0" length="0">
    <dxf>
      <font>
        <sz val="9"/>
        <color indexed="8"/>
        <name val="Calibri"/>
        <scheme val="minor"/>
      </font>
      <fill>
        <patternFill>
          <bgColor rgb="FFCCFFCC"/>
        </patternFill>
      </fill>
    </dxf>
  </rfmt>
  <rcc rId="9048" sId="3" odxf="1" dxf="1">
    <nc r="M43">
      <v>0</v>
    </nc>
    <odxf>
      <font>
        <sz val="9"/>
        <color indexed="8"/>
        <name val="Calibri"/>
        <scheme val="none"/>
      </font>
      <fill>
        <patternFill>
          <bgColor theme="0"/>
        </patternFill>
      </fill>
    </odxf>
    <ndxf>
      <font>
        <sz val="9"/>
        <color indexed="8"/>
        <name val="Calibri"/>
        <scheme val="minor"/>
      </font>
      <fill>
        <patternFill>
          <bgColor rgb="FFCCFFCC"/>
        </patternFill>
      </fill>
    </ndxf>
  </rcc>
  <rcc rId="9049" sId="3" odxf="1" dxf="1">
    <nc r="N43">
      <v>0</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O43" start="0" length="0">
    <dxf>
      <font>
        <sz val="9"/>
        <color indexed="8"/>
        <name val="Calibri"/>
        <scheme val="minor"/>
      </font>
      <fill>
        <patternFill>
          <bgColor rgb="FFCCFFCC"/>
        </patternFill>
      </fill>
    </dxf>
  </rfmt>
  <rfmt sheetId="3" sqref="P43" start="0" length="0">
    <dxf>
      <font>
        <sz val="9"/>
        <color indexed="8"/>
        <name val="Calibri"/>
        <scheme val="minor"/>
      </font>
      <fill>
        <patternFill>
          <bgColor rgb="FFCCFFCC"/>
        </patternFill>
      </fill>
    </dxf>
  </rfmt>
  <rfmt sheetId="3" sqref="Q43" start="0" length="0">
    <dxf>
      <font>
        <sz val="9"/>
        <color indexed="8"/>
        <name val="Calibri"/>
        <scheme val="minor"/>
      </font>
      <fill>
        <patternFill>
          <bgColor rgb="FFCCFFCC"/>
        </patternFill>
      </fill>
    </dxf>
  </rfmt>
  <rfmt sheetId="3" s="1" sqref="R43" start="0" length="0">
    <dxf>
      <font>
        <sz val="10"/>
        <color indexed="8"/>
        <name val="Calibri"/>
        <scheme val="minor"/>
      </font>
      <fill>
        <patternFill>
          <bgColor rgb="FFCCFFCC"/>
        </patternFill>
      </fill>
      <alignment wrapText="1" readingOrder="0"/>
    </dxf>
  </rfmt>
  <rcc rId="9050" sId="3" odxf="1" dxf="1">
    <nc r="S43">
      <v>1</v>
    </nc>
    <odxf>
      <font>
        <sz val="9"/>
        <color indexed="8"/>
        <name val="Calibri"/>
        <scheme val="none"/>
      </font>
      <fill>
        <patternFill>
          <bgColor theme="0"/>
        </patternFill>
      </fill>
    </odxf>
    <ndxf>
      <font>
        <sz val="9"/>
        <color indexed="8"/>
        <name val="Calibri"/>
        <scheme val="minor"/>
      </font>
      <fill>
        <patternFill>
          <bgColor rgb="FFCCFFCC"/>
        </patternFill>
      </fill>
    </ndxf>
  </rcc>
  <rcc rId="9051" sId="3" odxf="1" dxf="1">
    <nc r="T43">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43"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9052" sId="3" odxf="1" dxf="1">
    <nc r="V43" t="inlineStr">
      <is>
        <t>T1.10B12(1.00)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9053" sId="3" odxf="1" dxf="1">
    <nc r="W43"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9054" sId="3">
    <nc r="X43" t="inlineStr">
      <is>
        <t xml:space="preserve">All units have valid video and audio output.
TX CC error on PID 2802 co-timed on all units, uplink issue.
VBI warnings on all units, due to known uplink setup issue. 
MPE warnings on several units. uplink system known issue. </t>
      </is>
    </nc>
  </rcc>
  <rcc rId="9055" sId="3" numFmtId="19">
    <oc r="A42">
      <v>41738</v>
    </oc>
    <nc r="A42">
      <v>41739</v>
    </nc>
  </rcc>
  <rcc rId="9056" sId="3" numFmtId="19">
    <nc r="A43">
      <v>41740</v>
    </nc>
  </rcc>
  <rcc rId="9057" sId="3">
    <nc r="B43">
      <v>19</v>
    </nc>
  </rcc>
  <rcc rId="9058" sId="3">
    <nc r="C43">
      <v>1</v>
    </nc>
  </rcc>
  <rcc rId="9059" sId="3">
    <nc r="D43">
      <v>10</v>
    </nc>
  </rcc>
  <rcc rId="9060" sId="3">
    <nc r="E43">
      <v>23</v>
    </nc>
  </rcc>
  <rcc rId="9061" sId="3">
    <nc r="F43">
      <v>1</v>
    </nc>
  </rcc>
  <rcc rId="9062" sId="3">
    <nc r="G43">
      <v>29</v>
    </nc>
  </rcc>
  <rcc rId="9063" sId="3">
    <nc r="H43">
      <v>29</v>
    </nc>
  </rcc>
  <rcc rId="9064" sId="3">
    <nc r="I43">
      <v>29</v>
    </nc>
  </rcc>
  <rcc rId="9065" sId="3">
    <nc r="J43">
      <v>30</v>
    </nc>
  </rcc>
  <rcc rId="9066" sId="3">
    <nc r="K43">
      <v>30</v>
    </nc>
  </rcc>
  <rcc rId="9067" sId="3">
    <nc r="L43">
      <v>30</v>
    </nc>
  </rcc>
  <rcc rId="9068" sId="3">
    <nc r="O43">
      <v>4</v>
    </nc>
  </rcc>
  <rcc rId="9069" sId="3">
    <nc r="P43">
      <v>5</v>
    </nc>
  </rcc>
  <rcc rId="9070" sId="3">
    <nc r="Q43">
      <v>3</v>
    </nc>
  </rcc>
  <rcc rId="9071" sId="3">
    <nc r="R43">
      <v>9</v>
    </nc>
  </rcc>
  <rcc rId="9072" sId="3">
    <nc r="U43">
      <v>5</v>
    </nc>
  </rcc>
  <rcv guid="{609F876C-F41A-43C8-BD3D-0455630C6D86}" action="delete"/>
  <rdn rId="0" localSheetId="3" customView="1" name="Z_609F876C_F41A_43C8_BD3D_0455630C6D86_.wvu.FilterData" hidden="1" oldHidden="1">
    <formula>'D9859 Grid'!$A$2:$Y$58</formula>
    <oldFormula>'D9859 Grid'!$A$2:$Y$58</oldFormula>
  </rdn>
  <rdn rId="0" localSheetId="14" customView="1" name="Z_609F876C_F41A_43C8_BD3D_0455630C6D86_.wvu.FilterData" hidden="1" oldHidden="1">
    <formula>'Transcode Test Cases'!$A$9:$P$46</formula>
    <oldFormula>'Transcode Test Cases'!$A$9:$P$46</oldFormula>
  </rdn>
  <rcv guid="{609F876C-F41A-43C8-BD3D-0455630C6D86}"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75" sId="3">
    <oc r="V43" t="inlineStr">
      <is>
        <t>T1.10B12(1.00)</t>
      </is>
    </oc>
    <nc r="V43" t="inlineStr">
      <is>
        <t>T1.10B13(1.00)</t>
      </is>
    </nc>
  </rcc>
  <rcc rId="9076" sId="3">
    <oc r="X43" t="inlineStr">
      <is>
        <t xml:space="preserve">All units have valid video and audio output.
TX CC error on PID 2802 co-timed on all units, uplink issue.
VBI warnings on all units, due to known uplink setup issue. 
MPE warnings on several units. uplink system known issue. </t>
      </is>
    </oc>
    <nc r="X43"/>
  </rcc>
  <rcc rId="9077" sId="3" odxf="1" s="1" dxf="1">
    <oc r="W43" t="inlineStr">
      <is>
        <t>Pass</t>
      </is>
    </oc>
    <nc r="W43"/>
    <odxf>
      <font>
        <b val="0"/>
        <i val="0"/>
        <strike val="0"/>
        <condense val="0"/>
        <extend val="0"/>
        <outline val="0"/>
        <shadow val="0"/>
        <u val="none"/>
        <vertAlign val="baseline"/>
        <sz val="10"/>
        <color indexed="8"/>
        <name val="Calibri"/>
        <scheme val="minor"/>
      </font>
      <numFmt numFmtId="0" formatCode="General"/>
      <fill>
        <patternFill patternType="solid">
          <fgColor indexed="64"/>
          <bgColor rgb="FFCCFFCC"/>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theme="1"/>
        <name val="Calibri"/>
        <scheme val="minor"/>
      </font>
      <fill>
        <patternFill>
          <bgColor theme="0"/>
        </patternFill>
      </fill>
      <alignment wrapText="0" readingOrder="0"/>
    </ndxf>
  </rcc>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78" sId="3">
    <nc r="X43" t="inlineStr">
      <is>
        <t xml:space="preserve"> All units have valid video and audio output and no reboot was detected.
TX CC error on PID 2802 co-timed on most units, uplink issue.
VBI warnings on most units, due to known uplink setup issue. 
MPE warnings on Unit #124,130,125. </t>
      </is>
    </nc>
  </rcc>
  <rcc rId="9079" sId="3" odxf="1" s="1" dxf="1">
    <nc r="W43" t="inlineStr">
      <is>
        <t>Pass</t>
      </is>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080" sId="4" numFmtId="19">
    <oc r="I2">
      <v>41738</v>
    </oc>
    <nc r="I2">
      <v>41740</v>
    </nc>
  </rcc>
  <rcc rId="9081" sId="4">
    <oc r="K2" t="inlineStr">
      <is>
        <t>T1.10B12(1.00)</t>
      </is>
    </oc>
    <nc r="K2" t="inlineStr">
      <is>
        <t>T1.10B13(1.00)</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082" sId="3">
    <oc r="J5" t="inlineStr">
      <is>
        <t>7, 6, 8, 1, 3, 2, 4, 9, 12, 27, 28, 25, 37, 30, 19, 18, 13, 15, 16, 22, 34, 32, 35</t>
      </is>
    </oc>
    <nc r="J5" t="inlineStr">
      <is>
        <t>7, 6, 8, 1, 3, 2, 4, 9, 12, 27, 28, 25, 37, 19, 18, 13, 15, 16, 22, 34, 32, 35</t>
      </is>
    </nc>
  </rcc>
  <rcc rId="9083" sId="3" numFmtId="13">
    <oc r="J4">
      <v>0.3783783783783784</v>
    </oc>
    <nc r="J4">
      <v>0.40540540540540543</v>
    </nc>
  </rcc>
  <rcc rId="9084" sId="3" numFmtId="13">
    <oc r="J3">
      <v>0.3783783783783784</v>
    </oc>
    <nc r="J3">
      <v>0.40540540540540543</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44" start="0" length="0">
    <dxf>
      <font>
        <color rgb="FF000000"/>
        <name val="Calibri"/>
        <scheme val="minor"/>
      </font>
      <border outline="0">
        <left style="thin">
          <color indexed="64"/>
        </left>
        <top style="thin">
          <color indexed="64"/>
        </top>
      </border>
    </dxf>
  </rfmt>
  <rfmt sheetId="3" sqref="B44" start="0" length="0">
    <dxf>
      <font>
        <sz val="9"/>
        <color indexed="8"/>
        <name val="Calibri"/>
        <scheme val="minor"/>
      </font>
      <fill>
        <patternFill>
          <bgColor rgb="FFCCFFCC"/>
        </patternFill>
      </fill>
    </dxf>
  </rfmt>
  <rfmt sheetId="3" sqref="C44" start="0" length="0">
    <dxf>
      <font>
        <sz val="9"/>
        <color indexed="8"/>
        <name val="Calibri"/>
        <scheme val="minor"/>
      </font>
      <fill>
        <patternFill>
          <bgColor rgb="FFCCFFCC"/>
        </patternFill>
      </fill>
    </dxf>
  </rfmt>
  <rfmt sheetId="3" sqref="D44" start="0" length="0">
    <dxf>
      <font>
        <sz val="9"/>
        <color indexed="8"/>
        <name val="Calibri"/>
        <scheme val="minor"/>
      </font>
      <fill>
        <patternFill>
          <bgColor rgb="FFCCFFCC"/>
        </patternFill>
      </fill>
    </dxf>
  </rfmt>
  <rfmt sheetId="3" sqref="E44" start="0" length="0">
    <dxf>
      <font>
        <sz val="9"/>
        <color indexed="8"/>
        <name val="Calibri"/>
        <scheme val="minor"/>
      </font>
      <fill>
        <patternFill>
          <bgColor rgb="FFCCFFCC"/>
        </patternFill>
      </fill>
    </dxf>
  </rfmt>
  <rfmt sheetId="3" sqref="F44" start="0" length="0">
    <dxf>
      <font>
        <sz val="9"/>
        <color indexed="8"/>
        <name val="Calibri"/>
        <scheme val="minor"/>
      </font>
      <fill>
        <patternFill>
          <bgColor rgb="FFCCFFCC"/>
        </patternFill>
      </fill>
    </dxf>
  </rfmt>
  <rfmt sheetId="3" s="1" sqref="G44" start="0" length="0">
    <dxf>
      <font>
        <sz val="10"/>
        <color indexed="8"/>
        <name val="Calibri"/>
        <scheme val="minor"/>
      </font>
      <fill>
        <patternFill>
          <bgColor rgb="FFCCFFCC"/>
        </patternFill>
      </fill>
      <alignment wrapText="1" readingOrder="0"/>
    </dxf>
  </rfmt>
  <rfmt sheetId="3" s="1" sqref="H44" start="0" length="0">
    <dxf>
      <font>
        <sz val="10"/>
        <color indexed="8"/>
        <name val="Calibri"/>
        <scheme val="minor"/>
      </font>
      <fill>
        <patternFill>
          <bgColor rgb="FFCCFFCC"/>
        </patternFill>
      </fill>
      <alignment wrapText="1" readingOrder="0"/>
    </dxf>
  </rfmt>
  <rfmt sheetId="3" s="1" sqref="I44" start="0" length="0">
    <dxf>
      <font>
        <sz val="10"/>
        <color indexed="8"/>
        <name val="Calibri"/>
        <scheme val="minor"/>
      </font>
      <fill>
        <patternFill>
          <bgColor rgb="FFCCFFCC"/>
        </patternFill>
      </fill>
      <alignment wrapText="1" readingOrder="0"/>
    </dxf>
  </rfmt>
  <rfmt sheetId="3" s="1" sqref="J44" start="0" length="0">
    <dxf>
      <font>
        <sz val="10"/>
        <color indexed="8"/>
        <name val="Calibri"/>
        <scheme val="minor"/>
      </font>
      <fill>
        <patternFill>
          <bgColor rgb="FFCCFFCC"/>
        </patternFill>
      </fill>
      <alignment wrapText="1" readingOrder="0"/>
    </dxf>
  </rfmt>
  <rfmt sheetId="3" s="1" sqref="K44" start="0" length="0">
    <dxf>
      <font>
        <sz val="10"/>
        <color indexed="8"/>
        <name val="Calibri"/>
        <scheme val="minor"/>
      </font>
      <fill>
        <patternFill>
          <bgColor rgb="FFCCFFCC"/>
        </patternFill>
      </fill>
      <alignment wrapText="1" readingOrder="0"/>
    </dxf>
  </rfmt>
  <rfmt sheetId="3" s="1" sqref="L44" start="0" length="0">
    <dxf>
      <font>
        <sz val="10"/>
        <color indexed="8"/>
        <name val="Calibri"/>
        <scheme val="minor"/>
      </font>
      <fill>
        <patternFill>
          <bgColor rgb="FFCCFFCC"/>
        </patternFill>
      </fill>
      <alignment wrapText="1" readingOrder="0"/>
    </dxf>
  </rfmt>
  <rcc rId="9085" sId="3" odxf="1" s="1" dxf="1">
    <nc r="M44">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086" sId="3" odxf="1" s="1" dxf="1">
    <nc r="N44">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qref="O44" start="0" length="0">
    <dxf>
      <font>
        <sz val="9"/>
        <color indexed="8"/>
        <name val="Calibri"/>
        <scheme val="minor"/>
      </font>
      <fill>
        <patternFill>
          <bgColor rgb="FFCCFFCC"/>
        </patternFill>
      </fill>
    </dxf>
  </rfmt>
  <rfmt sheetId="3" sqref="P44" start="0" length="0">
    <dxf>
      <font>
        <sz val="9"/>
        <color indexed="8"/>
        <name val="Calibri"/>
        <scheme val="minor"/>
      </font>
      <fill>
        <patternFill>
          <bgColor rgb="FFCCFFCC"/>
        </patternFill>
      </fill>
    </dxf>
  </rfmt>
  <rcc rId="9087" sId="3" odxf="1" dxf="1">
    <nc r="Q44">
      <v>3</v>
    </nc>
    <odxf>
      <font>
        <sz val="9"/>
        <color indexed="8"/>
        <name val="Calibri"/>
        <scheme val="none"/>
      </font>
      <fill>
        <patternFill>
          <bgColor theme="0"/>
        </patternFill>
      </fill>
    </odxf>
    <ndxf>
      <font>
        <sz val="9"/>
        <color indexed="8"/>
        <name val="Calibri"/>
        <scheme val="minor"/>
      </font>
      <fill>
        <patternFill>
          <bgColor rgb="FFCCFFCC"/>
        </patternFill>
      </fill>
    </ndxf>
  </rcc>
  <rcc rId="9088" sId="3" odxf="1" s="1" dxf="1">
    <nc r="R44">
      <v>9</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089" sId="3" odxf="1" dxf="1">
    <nc r="S44">
      <v>1</v>
    </nc>
    <odxf>
      <font>
        <sz val="9"/>
        <color indexed="8"/>
        <name val="Calibri"/>
        <scheme val="none"/>
      </font>
      <fill>
        <patternFill>
          <bgColor theme="0"/>
        </patternFill>
      </fill>
    </odxf>
    <ndxf>
      <font>
        <sz val="9"/>
        <color indexed="8"/>
        <name val="Calibri"/>
        <scheme val="minor"/>
      </font>
      <fill>
        <patternFill>
          <bgColor rgb="FFCCFFCC"/>
        </patternFill>
      </fill>
    </ndxf>
  </rcc>
  <rcc rId="9090" sId="3" odxf="1" dxf="1">
    <nc r="T44">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44"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9091" sId="3" odxf="1" dxf="1">
    <nc r="V44" t="inlineStr">
      <is>
        <t>T1.10B13(1.00)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9092" sId="3" odxf="1" s="1" dxf="1">
    <nc r="W44" t="inlineStr">
      <is>
        <t>Pass</t>
      </is>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093" sId="3" numFmtId="19">
    <nc r="A44">
      <v>41743</v>
    </nc>
  </rcc>
  <rcc rId="9094" sId="3">
    <nc r="B44">
      <v>13</v>
    </nc>
  </rcc>
  <rcc rId="9095" sId="3">
    <nc r="C44">
      <v>15</v>
    </nc>
  </rcc>
  <rcc rId="9096" sId="3">
    <nc r="D44">
      <v>18</v>
    </nc>
  </rcc>
  <rcc rId="9097" sId="3">
    <nc r="E44">
      <v>28</v>
    </nc>
  </rcc>
  <rcc rId="9098" sId="3">
    <nc r="F44">
      <v>2</v>
    </nc>
  </rcc>
  <rcc rId="9099" sId="3">
    <nc r="G44">
      <v>17</v>
    </nc>
  </rcc>
  <rcc rId="9100" sId="3">
    <nc r="H44">
      <v>17</v>
    </nc>
  </rcc>
  <rcc rId="9101" sId="3">
    <nc r="I44">
      <v>13</v>
    </nc>
  </rcc>
  <rcc rId="9102" sId="3">
    <nc r="J44">
      <v>13</v>
    </nc>
  </rcc>
  <rcc rId="9103" sId="3">
    <nc r="K44">
      <v>0</v>
    </nc>
  </rcc>
  <rcc rId="9104" sId="3">
    <nc r="L44">
      <v>0</v>
    </nc>
  </rcc>
  <rcc rId="9105" sId="3">
    <nc r="O44">
      <v>5</v>
    </nc>
  </rcc>
  <rcc rId="9106" sId="3">
    <nc r="P44">
      <v>7</v>
    </nc>
  </rcc>
  <rcc rId="9107" sId="3">
    <nc r="U44">
      <v>5</v>
    </nc>
  </rcc>
  <rcc rId="9108" sId="3">
    <nc r="X44" t="inlineStr">
      <is>
        <t xml:space="preserve"> All units have valid video and audio output.
TX CC error on PID 2901&amp; 2802 co-timed on all units, uplink issue.
VBI warnings on all units, due to known uplink setup issue. 
TXB_MGX1, TXB_TMG1 asserts on unit#107.
FE asserts on unit #120,#124,#126
</t>
      </is>
    </nc>
  </rcc>
  <rcc rId="9109" sId="4" numFmtId="19">
    <oc r="I2">
      <v>41740</v>
    </oc>
    <nc r="I2">
      <v>41743</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110" sId="3">
    <oc r="I5" t="inlineStr">
      <is>
        <t>8, 1, 2, 4, 10, 12, 25, 26, 37, 30, 19, 18, 13, 15, 16, 22, 32, 35</t>
      </is>
    </oc>
    <nc r="I5" t="inlineStr">
      <is>
        <t>8, 1, 2, 4, 10, 12, 25, 26, 37, 30, 19, 18, 15, 16, 22, 32, 35</t>
      </is>
    </nc>
  </rcc>
  <rcc rId="9111" sId="3" numFmtId="13">
    <oc r="I4">
      <v>0.51351351351351349</v>
    </oc>
    <nc r="I4">
      <v>0.54054054054054057</v>
    </nc>
  </rcc>
  <rcc rId="9112" sId="3" numFmtId="13">
    <oc r="I3">
      <v>0.51351351351351349</v>
    </oc>
    <nc r="I3">
      <v>0.54054054054054057</v>
    </nc>
  </rcc>
  <rcc rId="9113" sId="3">
    <oc r="J5" t="inlineStr">
      <is>
        <t>7, 6, 8, 1, 3, 2, 4, 9, 12, 27, 28, 25, 37, 19, 18, 13, 15, 16, 22, 34, 32, 35</t>
      </is>
    </oc>
    <nc r="J5" t="inlineStr">
      <is>
        <t>7, 6, 8, 1, 3, 2, 4, 9, 12, 27, 28, 25, 37, 19, 18, 15, 16, 22, 34, 32, 35</t>
      </is>
    </nc>
  </rcc>
  <rcc rId="9114" sId="3" numFmtId="13">
    <oc r="J4">
      <v>0.40540540540540543</v>
    </oc>
    <nc r="J4">
      <v>0.43243243243243246</v>
    </nc>
  </rcc>
  <rcc rId="9115" sId="3" numFmtId="13">
    <oc r="J3">
      <v>0.40540540540540543</v>
    </oc>
    <nc r="J3">
      <v>0.43243243243243246</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45" start="0" length="0">
    <dxf>
      <font>
        <color rgb="FF000000"/>
        <name val="Calibri"/>
        <scheme val="minor"/>
      </font>
      <border outline="0">
        <left style="thin">
          <color indexed="64"/>
        </left>
        <top style="thin">
          <color indexed="64"/>
        </top>
      </border>
    </dxf>
  </rfmt>
  <rfmt sheetId="3" sqref="B45" start="0" length="0">
    <dxf>
      <font>
        <sz val="9"/>
        <color indexed="8"/>
        <name val="Calibri"/>
        <scheme val="minor"/>
      </font>
      <fill>
        <patternFill>
          <bgColor rgb="FFCCFFCC"/>
        </patternFill>
      </fill>
    </dxf>
  </rfmt>
  <rfmt sheetId="3" sqref="C45" start="0" length="0">
    <dxf>
      <font>
        <sz val="9"/>
        <color indexed="8"/>
        <name val="Calibri"/>
        <scheme val="minor"/>
      </font>
      <fill>
        <patternFill>
          <bgColor rgb="FFCCFFCC"/>
        </patternFill>
      </fill>
    </dxf>
  </rfmt>
  <rfmt sheetId="3" sqref="D45" start="0" length="0">
    <dxf>
      <font>
        <sz val="9"/>
        <color indexed="8"/>
        <name val="Calibri"/>
        <scheme val="minor"/>
      </font>
      <fill>
        <patternFill>
          <bgColor rgb="FFCCFFCC"/>
        </patternFill>
      </fill>
    </dxf>
  </rfmt>
  <rfmt sheetId="3" sqref="E45" start="0" length="0">
    <dxf>
      <font>
        <sz val="9"/>
        <color indexed="8"/>
        <name val="Calibri"/>
        <scheme val="minor"/>
      </font>
      <fill>
        <patternFill>
          <bgColor rgb="FFCCFFCC"/>
        </patternFill>
      </fill>
    </dxf>
  </rfmt>
  <rfmt sheetId="3" sqref="F45" start="0" length="0">
    <dxf>
      <font>
        <sz val="9"/>
        <color indexed="8"/>
        <name val="Calibri"/>
        <scheme val="minor"/>
      </font>
      <fill>
        <patternFill>
          <bgColor rgb="FFCCFFCC"/>
        </patternFill>
      </fill>
    </dxf>
  </rfmt>
  <rfmt sheetId="3" sqref="G45" start="0" length="0">
    <dxf>
      <font>
        <sz val="9"/>
        <color indexed="8"/>
        <name val="Calibri"/>
        <scheme val="minor"/>
      </font>
      <fill>
        <patternFill>
          <bgColor rgb="FFCCFFCC"/>
        </patternFill>
      </fill>
    </dxf>
  </rfmt>
  <rfmt sheetId="3" sqref="H45" start="0" length="0">
    <dxf>
      <font>
        <sz val="9"/>
        <color indexed="8"/>
        <name val="Calibri"/>
        <scheme val="minor"/>
      </font>
      <fill>
        <patternFill>
          <bgColor rgb="FFCCFFCC"/>
        </patternFill>
      </fill>
    </dxf>
  </rfmt>
  <rfmt sheetId="3" sqref="I45" start="0" length="0">
    <dxf>
      <font>
        <sz val="9"/>
        <color indexed="8"/>
        <name val="Calibri"/>
        <scheme val="minor"/>
      </font>
      <fill>
        <patternFill>
          <bgColor rgb="FFCCFFCC"/>
        </patternFill>
      </fill>
    </dxf>
  </rfmt>
  <rfmt sheetId="3" sqref="J45" start="0" length="0">
    <dxf>
      <font>
        <sz val="9"/>
        <color indexed="8"/>
        <name val="Calibri"/>
        <scheme val="minor"/>
      </font>
      <fill>
        <patternFill>
          <bgColor rgb="FFCCFFCC"/>
        </patternFill>
      </fill>
    </dxf>
  </rfmt>
  <rcc rId="9116" sId="3" odxf="1" dxf="1">
    <nc r="K45">
      <v>0</v>
    </nc>
    <odxf>
      <font>
        <sz val="9"/>
        <color indexed="8"/>
        <name val="Calibri"/>
        <scheme val="none"/>
      </font>
      <fill>
        <patternFill>
          <bgColor theme="0"/>
        </patternFill>
      </fill>
    </odxf>
    <ndxf>
      <font>
        <sz val="9"/>
        <color indexed="8"/>
        <name val="Calibri"/>
        <scheme val="minor"/>
      </font>
      <fill>
        <patternFill>
          <bgColor rgb="FFCCFFCC"/>
        </patternFill>
      </fill>
    </ndxf>
  </rcc>
  <rcc rId="9117" sId="3" odxf="1" dxf="1">
    <nc r="L45">
      <v>0</v>
    </nc>
    <odxf>
      <font>
        <sz val="9"/>
        <color indexed="8"/>
        <name val="Calibri"/>
        <scheme val="none"/>
      </font>
      <fill>
        <patternFill>
          <bgColor theme="0"/>
        </patternFill>
      </fill>
    </odxf>
    <ndxf>
      <font>
        <sz val="9"/>
        <color indexed="8"/>
        <name val="Calibri"/>
        <scheme val="minor"/>
      </font>
      <fill>
        <patternFill>
          <bgColor rgb="FFCCFFCC"/>
        </patternFill>
      </fill>
    </ndxf>
  </rcc>
  <rcc rId="9118" sId="3" odxf="1" s="1" dxf="1">
    <nc r="M45">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119" sId="3" odxf="1" s="1" dxf="1">
    <nc r="N45">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qref="O45" start="0" length="0">
    <dxf>
      <font>
        <sz val="9"/>
        <color indexed="8"/>
        <name val="Calibri"/>
        <scheme val="minor"/>
      </font>
      <fill>
        <patternFill>
          <bgColor rgb="FFCCFFCC"/>
        </patternFill>
      </fill>
    </dxf>
  </rfmt>
  <rfmt sheetId="3" sqref="P45" start="0" length="0">
    <dxf>
      <font>
        <sz val="9"/>
        <color indexed="8"/>
        <name val="Calibri"/>
        <scheme val="minor"/>
      </font>
      <fill>
        <patternFill>
          <bgColor rgb="FFCCFFCC"/>
        </patternFill>
      </fill>
    </dxf>
  </rfmt>
  <rfmt sheetId="3" sqref="Q45" start="0" length="0">
    <dxf>
      <font>
        <sz val="9"/>
        <color indexed="8"/>
        <name val="Calibri"/>
        <scheme val="minor"/>
      </font>
      <fill>
        <patternFill>
          <bgColor rgb="FFCCFFCC"/>
        </patternFill>
      </fill>
    </dxf>
  </rfmt>
  <rfmt sheetId="3" s="1" sqref="R45" start="0" length="0">
    <dxf>
      <font>
        <sz val="10"/>
        <color indexed="8"/>
        <name val="Calibri"/>
        <scheme val="minor"/>
      </font>
      <fill>
        <patternFill>
          <bgColor rgb="FFCCFFCC"/>
        </patternFill>
      </fill>
      <alignment wrapText="1" readingOrder="0"/>
    </dxf>
  </rfmt>
  <rcc rId="9120" sId="3" odxf="1" dxf="1">
    <nc r="S45">
      <v>1</v>
    </nc>
    <odxf>
      <font>
        <sz val="9"/>
        <color indexed="8"/>
        <name val="Calibri"/>
        <scheme val="none"/>
      </font>
      <fill>
        <patternFill>
          <bgColor theme="0"/>
        </patternFill>
      </fill>
    </odxf>
    <ndxf>
      <font>
        <sz val="9"/>
        <color indexed="8"/>
        <name val="Calibri"/>
        <scheme val="minor"/>
      </font>
      <fill>
        <patternFill>
          <bgColor rgb="FFCCFFCC"/>
        </patternFill>
      </fill>
    </ndxf>
  </rcc>
  <rcc rId="9121" sId="3" odxf="1" dxf="1">
    <nc r="T45">
      <v>2</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45"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9122" sId="3" odxf="1" dxf="1">
    <nc r="V45" t="inlineStr">
      <is>
        <t>T1.10B13(1.00)</t>
      </is>
    </nc>
    <odxf>
      <font>
        <sz val="11"/>
        <color rgb="FF000000"/>
        <name val="Calibri"/>
        <scheme val="none"/>
      </font>
      <fill>
        <patternFill patternType="solid">
          <bgColor theme="0"/>
        </patternFill>
      </fill>
      <border outline="0">
        <left/>
        <right style="medium">
          <color indexed="64"/>
        </right>
        <top/>
        <bottom style="medium">
          <color indexed="64"/>
        </bottom>
      </border>
    </odxf>
    <ndxf>
      <font>
        <sz val="11"/>
        <color rgb="FF000000"/>
        <name val="Calibri"/>
        <scheme val="minor"/>
      </font>
      <fill>
        <patternFill patternType="none">
          <bgColor indexed="65"/>
        </patternFill>
      </fill>
      <border outline="0">
        <left style="thin">
          <color indexed="64"/>
        </left>
        <right style="thin">
          <color indexed="64"/>
        </right>
        <top style="thin">
          <color indexed="64"/>
        </top>
        <bottom style="thin">
          <color indexed="64"/>
        </bottom>
      </border>
    </ndxf>
  </rcc>
  <rcc rId="9123" sId="3" odxf="1" dxf="1">
    <nc r="W45"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9124" sId="3" numFmtId="19">
    <nc r="A45">
      <v>41744</v>
    </nc>
  </rcc>
  <rcc rId="9125" sId="3">
    <nc r="B45">
      <v>5</v>
    </nc>
  </rcc>
  <rcc rId="9126" sId="3">
    <nc r="C45">
      <v>16</v>
    </nc>
  </rcc>
  <rcc rId="9127" sId="3">
    <nc r="D45">
      <v>39</v>
    </nc>
  </rcc>
  <rcc rId="9128" sId="3">
    <nc r="E45">
      <v>43</v>
    </nc>
  </rcc>
  <rcc rId="9129" sId="3">
    <nc r="F45">
      <v>8</v>
    </nc>
  </rcc>
  <rcc rId="9130" sId="3">
    <nc r="G45">
      <v>4</v>
    </nc>
  </rcc>
  <rcc rId="9131" sId="3">
    <nc r="H45">
      <v>8</v>
    </nc>
  </rcc>
  <rcc rId="9132" sId="3">
    <nc r="J45">
      <v>0</v>
    </nc>
  </rcc>
  <rcc rId="9133" sId="3">
    <nc r="I45">
      <v>0</v>
    </nc>
  </rcc>
  <rcc rId="9134" sId="3">
    <nc r="O45">
      <v>7</v>
    </nc>
  </rcc>
  <rcc rId="9135" sId="3">
    <nc r="P45">
      <v>4</v>
    </nc>
  </rcc>
  <rcc rId="9136" sId="3">
    <nc r="Q45">
      <v>2</v>
    </nc>
  </rcc>
  <rcc rId="9137" sId="3">
    <nc r="R45">
      <v>11</v>
    </nc>
  </rcc>
  <rcc rId="9138" sId="3">
    <nc r="U45">
      <v>7</v>
    </nc>
  </rcc>
  <rcc rId="9139" sId="3">
    <nc r="X45" t="inlineStr">
      <is>
        <t xml:space="preserve">All units have valid video and audio output.
AUD2 warnings on several units, known issue CSCuh25081.
TX buffer overflow co-timed with video hits on unit #112 &amp; #119 due to high video bit rate @ 25Mbps.
TXB_TMG1 warnings on unit.131
</t>
      </is>
    </nc>
  </rcc>
  <rcc rId="9140" sId="4" numFmtId="19">
    <oc r="I2">
      <v>41743</v>
    </oc>
    <nc r="I2">
      <v>41744</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41" sId="3" xfDxf="1" dxf="1" numFmtId="19">
    <nc r="A46">
      <v>41745</v>
    </nc>
    <ndxf>
      <font>
        <color indexed="8"/>
        <name val="Times New Roman"/>
        <scheme val="none"/>
      </font>
      <numFmt numFmtId="164" formatCode="yyyy/mm/dd;@"/>
      <fill>
        <patternFill patternType="solid">
          <bgColor theme="0"/>
        </patternFill>
      </fill>
      <alignment horizontal="center" vertical="center" wrapText="1" readingOrder="0"/>
      <border outline="0">
        <left style="medium">
          <color indexed="64"/>
        </left>
        <right style="thin">
          <color indexed="64"/>
        </right>
        <bottom style="thin">
          <color indexed="64"/>
        </bottom>
      </border>
    </ndxf>
  </rcc>
  <rfmt sheetId="3" xfDxf="1" sqref="B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C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D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E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F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G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H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I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J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K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L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1" sqref="M46" start="0" length="0">
    <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fmt sheetId="3" xfDxf="1" s="1" sqref="N46" start="0" length="0">
    <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fmt sheetId="3" xfDxf="1" sqref="O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P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Q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1" sqref="R46" start="0" length="0">
    <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rfmt>
  <rfmt sheetId="3" xfDxf="1" sqref="S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T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xfDxf="1" sqref="U46" start="0" length="0">
    <dxf>
      <font>
        <sz val="9"/>
        <color rgb="FF000000"/>
        <name val="Calibri"/>
        <scheme val="none"/>
      </font>
      <fill>
        <patternFill patternType="solid">
          <bgColor theme="0"/>
        </patternFill>
      </fill>
      <alignment horizontal="center" vertical="center" wrapText="1" readingOrder="0"/>
      <border outline="0">
        <right style="medium">
          <color indexed="64"/>
        </right>
        <bottom style="medium">
          <color indexed="64"/>
        </bottom>
      </border>
    </dxf>
  </rfmt>
  <rcc rId="9142" sId="3" xfDxf="1" dxf="1">
    <nc r="V46" t="inlineStr">
      <is>
        <t>T1.10B13(1.00)</t>
      </is>
    </nc>
    <ndxf>
      <font>
        <sz val="11"/>
        <color rgb="FF000000"/>
        <name val="Calibri"/>
        <scheme val="none"/>
      </font>
      <fill>
        <patternFill patternType="solid">
          <bgColor theme="0"/>
        </patternFill>
      </fill>
      <alignment horizontal="center" vertical="center" readingOrder="0"/>
      <border outline="0">
        <right style="medium">
          <color indexed="64"/>
        </right>
        <bottom style="medium">
          <color indexed="64"/>
        </bottom>
      </border>
    </ndxf>
  </rcc>
  <rfmt sheetId="3" xfDxf="1" sqref="W46"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cc rId="9143" sId="3" xfDxf="1" s="1" dxf="1">
    <nc r="X46" t="inlineStr">
      <is>
        <t xml:space="preserve">All units have valid video and audio output.
AUD2 warnings on most units, known issue CSCuh25081.
TX buffer overflow on PID 301 co-timed with video hits on unit #112 &amp; #119 TXB_TMG1 warnings on unit.131.
</t>
      </is>
    </nc>
    <ndxf>
      <font>
        <b val="0"/>
        <i val="0"/>
        <strike val="0"/>
        <condense val="0"/>
        <extend val="0"/>
        <outline val="0"/>
        <shadow val="0"/>
        <u val="none"/>
        <vertAlign val="baseline"/>
        <sz val="9"/>
        <color auto="1"/>
        <name val="Calibri"/>
        <scheme val="minor"/>
      </font>
      <numFmt numFmtId="31" formatCode="[h]:mm:ss"/>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0"/>
    </ndxf>
  </rcc>
  <rfmt sheetId="3" xfDxf="1" s="1" sqref="Y46" start="0" length="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fmt sheetId="3" xfDxf="1" s="1" sqref="Z46" start="0" length="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fmt sheetId="3" xfDxf="1" s="1" sqref="AA46" start="0" length="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cc rId="9144" sId="3" odxf="1" dxf="1">
    <nc r="B46">
      <v>6</v>
    </nc>
    <ndxf>
      <font>
        <sz val="9"/>
        <color indexed="8"/>
        <name val="Calibri"/>
        <scheme val="minor"/>
      </font>
      <fill>
        <patternFill>
          <bgColor rgb="FFCCFFCC"/>
        </patternFill>
      </fill>
    </ndxf>
  </rcc>
  <rcc rId="9145" sId="3" odxf="1" dxf="1">
    <nc r="C46">
      <v>3</v>
    </nc>
    <ndxf>
      <font>
        <sz val="9"/>
        <color indexed="8"/>
        <name val="Calibri"/>
        <scheme val="minor"/>
      </font>
      <fill>
        <patternFill>
          <bgColor rgb="FFCCFFCC"/>
        </patternFill>
      </fill>
    </ndxf>
  </rcc>
  <rcc rId="9146" sId="3" odxf="1" dxf="1">
    <nc r="D46">
      <v>16</v>
    </nc>
    <ndxf>
      <font>
        <sz val="9"/>
        <color indexed="8"/>
        <name val="Calibri"/>
        <scheme val="minor"/>
      </font>
      <fill>
        <patternFill>
          <bgColor rgb="FFCCFFCC"/>
        </patternFill>
      </fill>
    </ndxf>
  </rcc>
  <rcc rId="9147" sId="3" odxf="1" dxf="1">
    <nc r="E46">
      <v>27</v>
    </nc>
    <ndxf>
      <font>
        <sz val="9"/>
        <color indexed="8"/>
        <name val="Calibri"/>
        <scheme val="minor"/>
      </font>
      <fill>
        <patternFill>
          <bgColor rgb="FFCCFFCC"/>
        </patternFill>
      </fill>
    </ndxf>
  </rcc>
  <rcc rId="9148" sId="3" odxf="1" dxf="1">
    <nc r="F46">
      <v>3</v>
    </nc>
    <ndxf>
      <font>
        <sz val="9"/>
        <color indexed="8"/>
        <name val="Calibri"/>
        <scheme val="minor"/>
      </font>
      <fill>
        <patternFill>
          <bgColor rgb="FFCCFFCC"/>
        </patternFill>
      </fill>
    </ndxf>
  </rcc>
  <rcc rId="9149" sId="3" odxf="1" dxf="1">
    <nc r="G46">
      <v>13</v>
    </nc>
    <ndxf>
      <font>
        <sz val="9"/>
        <color indexed="8"/>
        <name val="Calibri"/>
        <scheme val="minor"/>
      </font>
      <fill>
        <patternFill>
          <bgColor rgb="FFCCFFCC"/>
        </patternFill>
      </fill>
    </ndxf>
  </rcc>
  <rcc rId="9150" sId="3" odxf="1" dxf="1">
    <nc r="H46">
      <v>13</v>
    </nc>
    <ndxf>
      <font>
        <sz val="9"/>
        <color indexed="8"/>
        <name val="Calibri"/>
        <scheme val="minor"/>
      </font>
      <fill>
        <patternFill>
          <bgColor rgb="FFCCFFCC"/>
        </patternFill>
      </fill>
    </ndxf>
  </rcc>
  <rcc rId="9151" sId="3" odxf="1" dxf="1">
    <nc r="I46">
      <v>13</v>
    </nc>
    <ndxf>
      <font>
        <sz val="9"/>
        <color indexed="8"/>
        <name val="Calibri"/>
        <scheme val="minor"/>
      </font>
      <fill>
        <patternFill>
          <bgColor rgb="FFCCFFCC"/>
        </patternFill>
      </fill>
    </ndxf>
  </rcc>
  <rcc rId="9152" sId="3" odxf="1" dxf="1">
    <nc r="J46">
      <v>17</v>
    </nc>
    <ndxf>
      <font>
        <sz val="9"/>
        <color indexed="8"/>
        <name val="Calibri"/>
        <scheme val="minor"/>
      </font>
      <fill>
        <patternFill>
          <bgColor rgb="FFCCFFCC"/>
        </patternFill>
      </fill>
    </ndxf>
  </rcc>
  <rcc rId="9153" sId="3" odxf="1" dxf="1">
    <nc r="K46">
      <v>17</v>
    </nc>
    <ndxf>
      <font>
        <sz val="9"/>
        <color indexed="8"/>
        <name val="Calibri"/>
        <scheme val="minor"/>
      </font>
      <fill>
        <patternFill>
          <bgColor rgb="FFCCFFCC"/>
        </patternFill>
      </fill>
    </ndxf>
  </rcc>
  <rcc rId="9154" sId="3" odxf="1" dxf="1">
    <nc r="L46">
      <v>0</v>
    </nc>
    <ndxf>
      <font>
        <sz val="9"/>
        <color indexed="8"/>
        <name val="Calibri"/>
        <scheme val="minor"/>
      </font>
      <fill>
        <patternFill>
          <bgColor rgb="FFCCFFCC"/>
        </patternFill>
      </fill>
    </ndxf>
  </rcc>
  <rcc rId="9155" sId="3" odxf="1" s="1" dxf="1">
    <nc r="M46">
      <v>0</v>
    </nc>
    <ndxf>
      <font>
        <sz val="10"/>
        <color indexed="8"/>
        <name val="Calibri"/>
        <scheme val="minor"/>
      </font>
      <fill>
        <patternFill>
          <bgColor rgb="FFCCFFCC"/>
        </patternFill>
      </fill>
      <alignment wrapText="1" readingOrder="0"/>
    </ndxf>
  </rcc>
  <rcc rId="9156" sId="3" odxf="1" s="1" dxf="1">
    <nc r="N46">
      <v>0</v>
    </nc>
    <ndxf>
      <font>
        <sz val="10"/>
        <color indexed="8"/>
        <name val="Calibri"/>
        <scheme val="minor"/>
      </font>
      <fill>
        <patternFill>
          <bgColor rgb="FFCCFFCC"/>
        </patternFill>
      </fill>
      <alignment wrapText="1" readingOrder="0"/>
    </ndxf>
  </rcc>
  <rcc rId="9157" sId="3" odxf="1" dxf="1">
    <nc r="O46">
      <v>8</v>
    </nc>
    <ndxf>
      <font>
        <sz val="9"/>
        <color indexed="8"/>
        <name val="Calibri"/>
        <scheme val="minor"/>
      </font>
      <fill>
        <patternFill>
          <bgColor rgb="FFCCFFCC"/>
        </patternFill>
      </fill>
    </ndxf>
  </rcc>
  <rcc rId="9158" sId="3" odxf="1" dxf="1">
    <nc r="P46">
      <v>0</v>
    </nc>
    <ndxf>
      <font>
        <sz val="9"/>
        <color indexed="8"/>
        <name val="Calibri"/>
        <scheme val="minor"/>
      </font>
      <fill>
        <patternFill>
          <bgColor rgb="FFCCFFCC"/>
        </patternFill>
      </fill>
    </ndxf>
  </rcc>
  <rcc rId="9159" sId="3" odxf="1" dxf="1">
    <nc r="Q46">
      <v>4</v>
    </nc>
    <ndxf>
      <font>
        <sz val="9"/>
        <color indexed="8"/>
        <name val="Calibri"/>
        <scheme val="minor"/>
      </font>
      <fill>
        <patternFill>
          <bgColor rgb="FFCCFFCC"/>
        </patternFill>
      </fill>
    </ndxf>
  </rcc>
  <rcc rId="9160" sId="3" odxf="1" s="1" dxf="1">
    <nc r="R46">
      <v>5</v>
    </nc>
    <ndxf>
      <font>
        <sz val="10"/>
        <color indexed="8"/>
        <name val="Calibri"/>
        <scheme val="minor"/>
      </font>
      <fill>
        <patternFill>
          <bgColor rgb="FFCCFFCC"/>
        </patternFill>
      </fill>
      <alignment wrapText="1" readingOrder="0"/>
    </ndxf>
  </rcc>
  <rcc rId="9161" sId="3" odxf="1" dxf="1">
    <nc r="S46">
      <v>1</v>
    </nc>
    <ndxf>
      <font>
        <sz val="9"/>
        <color indexed="8"/>
        <name val="Calibri"/>
        <scheme val="minor"/>
      </font>
      <fill>
        <patternFill>
          <bgColor rgb="FFCCFFCC"/>
        </patternFill>
      </fill>
    </ndxf>
  </rcc>
  <rcc rId="9162" sId="3" odxf="1" dxf="1">
    <nc r="T46">
      <v>1</v>
    </nc>
    <ndxf>
      <font>
        <sz val="9"/>
        <color indexed="8"/>
        <name val="Calibri"/>
        <scheme val="minor"/>
      </font>
      <fill>
        <patternFill>
          <bgColor rgb="FFCCFFCC"/>
        </patternFill>
      </fill>
    </ndxf>
  </rcc>
  <rcc rId="9163" sId="3" odxf="1" dxf="1">
    <nc r="U46">
      <v>7</v>
    </nc>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9164" sId="3" odxf="1" dxf="1">
    <nc r="W46" t="inlineStr">
      <is>
        <t>Pass</t>
      </is>
    </nc>
    <ndxf>
      <font>
        <sz val="9"/>
        <color indexed="8"/>
        <name val="Calibri"/>
        <scheme val="minor"/>
      </font>
      <fill>
        <patternFill>
          <bgColor rgb="FFCCFFCC"/>
        </patternFill>
      </fill>
    </ndxf>
  </rcc>
  <rcc rId="9165" sId="4" numFmtId="19">
    <oc r="I2">
      <v>41744</v>
    </oc>
    <nc r="I2">
      <v>41745</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166" sId="3">
    <oc r="K5" t="inlineStr">
      <is>
        <t>7, 6, 8, 1, 3, 2, 4, 9, 11, 27, 28, 25, 37, 29, 17, 19, 20, 13, 15, 14, 16, 21, 23, 34, 31, 32, 35, 36</t>
      </is>
    </oc>
    <nc r="K5" t="inlineStr">
      <is>
        <t>7, 6, 8, 1, 3, 2, 4, 9, 11, 27, 28, 25, 37, 29, 19, 20, 13, 15, 14, 16, 21, 23, 34, 31, 32, 35, 36</t>
      </is>
    </nc>
  </rcc>
  <rcc rId="9167" sId="3" numFmtId="13">
    <oc r="K4">
      <v>0.24324324324324326</v>
    </oc>
    <nc r="K4">
      <v>0.27027027027027029</v>
    </nc>
  </rcc>
  <rcc rId="9168" sId="3" numFmtId="13">
    <oc r="K3">
      <v>0.24324324324324326</v>
    </oc>
    <nc r="K3">
      <v>0.27027027027027029</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B47" start="0" length="0">
    <dxf>
      <font>
        <sz val="9"/>
        <color indexed="8"/>
        <name val="Calibri"/>
        <scheme val="minor"/>
      </font>
      <fill>
        <patternFill>
          <bgColor rgb="FFCCFFCC"/>
        </patternFill>
      </fill>
    </dxf>
  </rfmt>
  <rfmt sheetId="3" sqref="C47" start="0" length="0">
    <dxf>
      <font>
        <sz val="9"/>
        <color indexed="8"/>
        <name val="Calibri"/>
        <scheme val="minor"/>
      </font>
      <fill>
        <patternFill>
          <bgColor rgb="FFCCFFCC"/>
        </patternFill>
      </fill>
    </dxf>
  </rfmt>
  <rfmt sheetId="3" sqref="D47" start="0" length="0">
    <dxf>
      <font>
        <sz val="9"/>
        <color indexed="8"/>
        <name val="Calibri"/>
        <scheme val="minor"/>
      </font>
      <fill>
        <patternFill>
          <bgColor rgb="FFCCFFCC"/>
        </patternFill>
      </fill>
    </dxf>
  </rfmt>
  <rfmt sheetId="3" sqref="E47" start="0" length="0">
    <dxf>
      <font>
        <sz val="9"/>
        <color indexed="8"/>
        <name val="Calibri"/>
        <scheme val="minor"/>
      </font>
      <fill>
        <patternFill>
          <bgColor rgb="FFCCFFCC"/>
        </patternFill>
      </fill>
    </dxf>
  </rfmt>
  <rfmt sheetId="3" sqref="F47" start="0" length="0">
    <dxf>
      <font>
        <sz val="9"/>
        <color indexed="8"/>
        <name val="Calibri"/>
        <scheme val="minor"/>
      </font>
      <fill>
        <patternFill>
          <bgColor rgb="FFCCFFCC"/>
        </patternFill>
      </fill>
    </dxf>
  </rfmt>
  <rfmt sheetId="3" sqref="G47" start="0" length="0">
    <dxf>
      <font>
        <sz val="9"/>
        <color indexed="8"/>
        <name val="Calibri"/>
        <scheme val="minor"/>
      </font>
      <fill>
        <patternFill>
          <bgColor rgb="FFCCFFCC"/>
        </patternFill>
      </fill>
    </dxf>
  </rfmt>
  <rfmt sheetId="3" sqref="H47" start="0" length="0">
    <dxf>
      <font>
        <sz val="9"/>
        <color indexed="8"/>
        <name val="Calibri"/>
        <scheme val="minor"/>
      </font>
      <fill>
        <patternFill>
          <bgColor rgb="FFCCFFCC"/>
        </patternFill>
      </fill>
    </dxf>
  </rfmt>
  <rfmt sheetId="3" sqref="I47" start="0" length="0">
    <dxf>
      <font>
        <sz val="9"/>
        <color indexed="8"/>
        <name val="Calibri"/>
        <scheme val="minor"/>
      </font>
      <fill>
        <patternFill>
          <bgColor rgb="FFCCFFCC"/>
        </patternFill>
      </fill>
    </dxf>
  </rfmt>
  <rfmt sheetId="3" sqref="J47" start="0" length="0">
    <dxf>
      <font>
        <sz val="9"/>
        <color indexed="8"/>
        <name val="Calibri"/>
        <scheme val="minor"/>
      </font>
      <fill>
        <patternFill>
          <bgColor rgb="FFCCFFCC"/>
        </patternFill>
      </fill>
    </dxf>
  </rfmt>
  <rfmt sheetId="3" sqref="K47" start="0" length="0">
    <dxf>
      <font>
        <sz val="9"/>
        <color indexed="8"/>
        <name val="Calibri"/>
        <scheme val="minor"/>
      </font>
      <fill>
        <patternFill>
          <bgColor rgb="FFCCFFCC"/>
        </patternFill>
      </fill>
    </dxf>
  </rfmt>
  <rfmt sheetId="3" sqref="L47" start="0" length="0">
    <dxf>
      <font>
        <sz val="9"/>
        <color indexed="8"/>
        <name val="Calibri"/>
        <scheme val="minor"/>
      </font>
      <fill>
        <patternFill>
          <bgColor rgb="FFCCFFCC"/>
        </patternFill>
      </fill>
    </dxf>
  </rfmt>
  <rcc rId="9169" sId="3" odxf="1" s="1" dxf="1">
    <nc r="M47">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170" sId="3" odxf="1" s="1" dxf="1">
    <nc r="N47">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171" sId="3" odxf="1" dxf="1">
    <nc r="O47">
      <v>8</v>
    </nc>
    <odxf>
      <font>
        <sz val="9"/>
        <color indexed="8"/>
        <name val="Calibri"/>
        <scheme val="none"/>
      </font>
      <fill>
        <patternFill>
          <bgColor theme="0"/>
        </patternFill>
      </fill>
    </odxf>
    <ndxf>
      <font>
        <sz val="9"/>
        <color indexed="8"/>
        <name val="Calibri"/>
        <scheme val="minor"/>
      </font>
      <fill>
        <patternFill>
          <bgColor rgb="FFCCFFCC"/>
        </patternFill>
      </fill>
    </ndxf>
  </rcc>
  <rcc rId="9172" sId="3" odxf="1" dxf="1">
    <nc r="P47">
      <v>0</v>
    </nc>
    <odxf>
      <font>
        <sz val="9"/>
        <color indexed="8"/>
        <name val="Calibri"/>
        <scheme val="none"/>
      </font>
      <fill>
        <patternFill>
          <bgColor theme="0"/>
        </patternFill>
      </fill>
    </odxf>
    <ndxf>
      <font>
        <sz val="9"/>
        <color indexed="8"/>
        <name val="Calibri"/>
        <scheme val="minor"/>
      </font>
      <fill>
        <patternFill>
          <bgColor rgb="FFCCFFCC"/>
        </patternFill>
      </fill>
    </ndxf>
  </rcc>
  <rcc rId="9173" sId="3" odxf="1" dxf="1">
    <nc r="Q47">
      <v>4</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R47" start="0" length="0">
    <dxf>
      <font>
        <sz val="9"/>
        <color indexed="8"/>
        <name val="Calibri"/>
        <scheme val="minor"/>
      </font>
      <fill>
        <patternFill>
          <bgColor rgb="FFCCFFCC"/>
        </patternFill>
      </fill>
    </dxf>
  </rfmt>
  <rfmt sheetId="3" sqref="S47" start="0" length="0">
    <dxf>
      <font>
        <sz val="9"/>
        <color indexed="8"/>
        <name val="Calibri"/>
        <scheme val="minor"/>
      </font>
      <fill>
        <patternFill>
          <bgColor rgb="FFCCFFCC"/>
        </patternFill>
      </fill>
    </dxf>
  </rfmt>
  <rcc rId="9174" sId="3" odxf="1" dxf="1">
    <nc r="T47">
      <v>1</v>
    </nc>
    <odxf>
      <font>
        <sz val="9"/>
        <color indexed="8"/>
        <name val="Calibri"/>
        <scheme val="none"/>
      </font>
      <fill>
        <patternFill>
          <bgColor theme="0"/>
        </patternFill>
      </fill>
    </odxf>
    <ndxf>
      <font>
        <sz val="9"/>
        <color indexed="8"/>
        <name val="Calibri"/>
        <scheme val="minor"/>
      </font>
      <fill>
        <patternFill>
          <bgColor rgb="FFCCFFCC"/>
        </patternFill>
      </fill>
    </ndxf>
  </rcc>
  <rfmt sheetId="3" sqref="U47"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9175" sId="3">
    <nc r="V47" t="inlineStr">
      <is>
        <t>T1.10B13(1.00)</t>
      </is>
    </nc>
  </rcc>
  <rcc rId="9176" sId="3" odxf="1" dxf="1">
    <nc r="W47"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9177" sId="3" numFmtId="19">
    <nc r="A47">
      <v>41746</v>
    </nc>
  </rcc>
  <rcc rId="9178" sId="3">
    <nc r="B47">
      <v>4</v>
    </nc>
  </rcc>
  <rcc rId="9179" sId="3">
    <nc r="C47">
      <v>1</v>
    </nc>
  </rcc>
  <rcc rId="9180" sId="3">
    <nc r="D47">
      <v>34</v>
    </nc>
  </rcc>
  <rcc rId="9181" sId="3">
    <nc r="E47">
      <v>50</v>
    </nc>
  </rcc>
  <rcc rId="9182" sId="3">
    <nc r="F47">
      <v>10</v>
    </nc>
  </rcc>
  <rcc rId="9183" sId="3">
    <nc r="G47">
      <v>3</v>
    </nc>
  </rcc>
  <rcc rId="9184" sId="3">
    <nc r="H47">
      <v>3</v>
    </nc>
  </rcc>
  <rcc rId="9185" sId="3">
    <nc r="I47">
      <v>3</v>
    </nc>
  </rcc>
  <rcc rId="9186" sId="3">
    <nc r="J47">
      <v>26</v>
    </nc>
  </rcc>
  <rcc rId="9187" sId="3">
    <nc r="K47">
      <v>26</v>
    </nc>
  </rcc>
  <rcc rId="9188" sId="3">
    <nc r="L47">
      <v>26</v>
    </nc>
  </rcc>
  <rcc rId="9189" sId="3">
    <nc r="R47">
      <v>11</v>
    </nc>
  </rcc>
  <rcc rId="9190" sId="3">
    <nc r="S47">
      <v>2</v>
    </nc>
  </rcc>
  <rcc rId="9191" sId="3">
    <nc r="U47">
      <v>5</v>
    </nc>
  </rcc>
  <rcc rId="9192" sId="3">
    <nc r="X47" t="inlineStr">
      <is>
        <t>All units have valid video and audio output.
AUD2 warnings on some units, known issue CSCuh25081.
TXB_MGX1 warnings on all units but #111 &amp; #126.
MC asserts on unit #132.
VID warnings on unit#104,#115,#118,#120.
MPE warnings  on three units.</t>
      </is>
    </nc>
  </rcc>
  <rcc rId="9193" sId="4" numFmtId="19">
    <oc r="I2">
      <v>41745</v>
    </oc>
    <nc r="I2">
      <v>41746</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B48" start="0" length="0">
    <dxf>
      <font>
        <sz val="9"/>
        <color indexed="8"/>
        <name val="Calibri"/>
        <scheme val="minor"/>
      </font>
      <fill>
        <patternFill>
          <bgColor rgb="FFCCFFCC"/>
        </patternFill>
      </fill>
    </dxf>
  </rfmt>
  <rfmt sheetId="3" sqref="C48" start="0" length="0">
    <dxf>
      <font>
        <sz val="9"/>
        <color indexed="8"/>
        <name val="Calibri"/>
        <scheme val="minor"/>
      </font>
      <fill>
        <patternFill>
          <bgColor rgb="FFCCFFCC"/>
        </patternFill>
      </fill>
    </dxf>
  </rfmt>
  <rfmt sheetId="3" sqref="D48" start="0" length="0">
    <dxf>
      <font>
        <sz val="9"/>
        <color indexed="8"/>
        <name val="Calibri"/>
        <scheme val="minor"/>
      </font>
      <fill>
        <patternFill>
          <bgColor rgb="FFCCFFCC"/>
        </patternFill>
      </fill>
    </dxf>
  </rfmt>
  <rfmt sheetId="3" sqref="E48" start="0" length="0">
    <dxf>
      <font>
        <sz val="9"/>
        <color indexed="8"/>
        <name val="Calibri"/>
        <scheme val="minor"/>
      </font>
      <fill>
        <patternFill>
          <bgColor rgb="FFCCFFCC"/>
        </patternFill>
      </fill>
    </dxf>
  </rfmt>
  <rfmt sheetId="3" sqref="F48" start="0" length="0">
    <dxf>
      <font>
        <sz val="9"/>
        <color indexed="8"/>
        <name val="Calibri"/>
        <scheme val="minor"/>
      </font>
      <fill>
        <patternFill>
          <bgColor rgb="FFCCFFCC"/>
        </patternFill>
      </fill>
    </dxf>
  </rfmt>
  <rfmt sheetId="3" sqref="G48" start="0" length="0">
    <dxf>
      <font>
        <sz val="9"/>
        <color indexed="8"/>
        <name val="Calibri"/>
        <scheme val="minor"/>
      </font>
      <fill>
        <patternFill>
          <bgColor rgb="FFCCFFCC"/>
        </patternFill>
      </fill>
    </dxf>
  </rfmt>
  <rfmt sheetId="3" sqref="H48" start="0" length="0">
    <dxf>
      <font>
        <sz val="9"/>
        <color indexed="8"/>
        <name val="Calibri"/>
        <scheme val="minor"/>
      </font>
      <fill>
        <patternFill>
          <bgColor rgb="FFCCFFCC"/>
        </patternFill>
      </fill>
    </dxf>
  </rfmt>
  <rfmt sheetId="3" sqref="I48" start="0" length="0">
    <dxf>
      <font>
        <sz val="9"/>
        <color indexed="8"/>
        <name val="Calibri"/>
        <scheme val="minor"/>
      </font>
      <fill>
        <patternFill>
          <bgColor rgb="FFCCFFCC"/>
        </patternFill>
      </fill>
    </dxf>
  </rfmt>
  <rfmt sheetId="3" sqref="J48" start="0" length="0">
    <dxf>
      <font>
        <sz val="9"/>
        <color indexed="8"/>
        <name val="Calibri"/>
        <scheme val="minor"/>
      </font>
      <fill>
        <patternFill>
          <bgColor rgb="FFCCFFCC"/>
        </patternFill>
      </fill>
    </dxf>
  </rfmt>
  <rfmt sheetId="3" sqref="K48" start="0" length="0">
    <dxf>
      <font>
        <sz val="9"/>
        <color indexed="8"/>
        <name val="Calibri"/>
        <scheme val="minor"/>
      </font>
      <fill>
        <patternFill>
          <bgColor rgb="FFCCFFCC"/>
        </patternFill>
      </fill>
    </dxf>
  </rfmt>
  <rfmt sheetId="3" sqref="L48" start="0" length="0">
    <dxf>
      <font>
        <sz val="9"/>
        <color indexed="8"/>
        <name val="Calibri"/>
        <scheme val="minor"/>
      </font>
      <fill>
        <patternFill>
          <bgColor rgb="FFCCFFCC"/>
        </patternFill>
      </fill>
    </dxf>
  </rfmt>
  <rcc rId="9194" sId="3" odxf="1" s="1" dxf="1">
    <nc r="M48">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195" sId="3" odxf="1" s="1" dxf="1">
    <nc r="N48">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fmt sheetId="3" sqref="O48" start="0" length="0">
    <dxf>
      <font>
        <sz val="9"/>
        <color indexed="8"/>
        <name val="Calibri"/>
        <scheme val="minor"/>
      </font>
      <fill>
        <patternFill>
          <bgColor rgb="FFCCFFCC"/>
        </patternFill>
      </fill>
    </dxf>
  </rfmt>
  <rfmt sheetId="3" sqref="P48" start="0" length="0">
    <dxf>
      <font>
        <sz val="9"/>
        <color indexed="8"/>
        <name val="Calibri"/>
        <scheme val="minor"/>
      </font>
      <fill>
        <patternFill>
          <bgColor rgb="FFCCFFCC"/>
        </patternFill>
      </fill>
    </dxf>
  </rfmt>
  <rfmt sheetId="3" sqref="Q48" start="0" length="0">
    <dxf>
      <font>
        <sz val="9"/>
        <color indexed="8"/>
        <name val="Calibri"/>
        <scheme val="minor"/>
      </font>
      <fill>
        <patternFill>
          <bgColor rgb="FFCCFFCC"/>
        </patternFill>
      </fill>
    </dxf>
  </rfmt>
  <rfmt sheetId="3" sqref="R48" start="0" length="0">
    <dxf>
      <font>
        <sz val="9"/>
        <color indexed="8"/>
        <name val="Calibri"/>
        <scheme val="minor"/>
      </font>
      <fill>
        <patternFill>
          <bgColor rgb="FFCCFFCC"/>
        </patternFill>
      </fill>
    </dxf>
  </rfmt>
  <rfmt sheetId="3" sqref="S48" start="0" length="0">
    <dxf>
      <font>
        <sz val="9"/>
        <color indexed="8"/>
        <name val="Calibri"/>
        <scheme val="minor"/>
      </font>
      <fill>
        <patternFill>
          <bgColor rgb="FFCCFFCC"/>
        </patternFill>
      </fill>
    </dxf>
  </rfmt>
  <rfmt sheetId="3" sqref="T48" start="0" length="0">
    <dxf>
      <font>
        <sz val="9"/>
        <color indexed="8"/>
        <name val="Calibri"/>
        <scheme val="minor"/>
      </font>
      <fill>
        <patternFill>
          <bgColor rgb="FFCCFFCC"/>
        </patternFill>
      </fill>
    </dxf>
  </rfmt>
  <rfmt sheetId="3" sqref="U48" start="0" length="0">
    <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dxf>
  </rfmt>
  <rcc rId="9196" sId="3">
    <nc r="V48" t="inlineStr">
      <is>
        <t>T1.10B13(1.00)</t>
      </is>
    </nc>
  </rcc>
  <rcc rId="9197" sId="3" odxf="1" dxf="1">
    <nc r="W48" t="inlineStr">
      <is>
        <t>Pass</t>
      </is>
    </nc>
    <odxf>
      <fill>
        <patternFill>
          <bgColor theme="0"/>
        </patternFill>
      </fill>
    </odxf>
    <ndxf>
      <fill>
        <patternFill>
          <bgColor rgb="FFCCFFCC"/>
        </patternFill>
      </fill>
    </ndxf>
  </rcc>
  <rcc rId="9198" sId="3" numFmtId="19">
    <nc r="A48">
      <v>41747</v>
    </nc>
  </rcc>
  <rcc rId="9199" sId="3">
    <nc r="X48" t="inlineStr">
      <is>
        <t>All units have valid video and audio output.
TXB_MGX1 warnings on all units but #120.
VID warnings on unit#104,#120.</t>
      </is>
    </nc>
  </rcc>
  <rcc rId="9200" sId="3">
    <nc r="B48">
      <v>13</v>
    </nc>
  </rcc>
  <rcc rId="9201" sId="3">
    <nc r="C48">
      <v>3</v>
    </nc>
  </rcc>
  <rcc rId="9202" sId="3">
    <nc r="D48">
      <v>30</v>
    </nc>
  </rcc>
  <rcc rId="9203" sId="3">
    <nc r="E48">
      <v>29</v>
    </nc>
  </rcc>
  <rcc rId="9204" sId="3">
    <nc r="F48">
      <v>2</v>
    </nc>
  </rcc>
  <rcc rId="9205" sId="3">
    <nc r="G48">
      <v>25</v>
    </nc>
  </rcc>
  <rcc rId="9206" sId="3">
    <nc r="H48">
      <v>27</v>
    </nc>
  </rcc>
  <rcc rId="9207" sId="3">
    <nc r="I48">
      <v>0</v>
    </nc>
  </rcc>
  <rcc rId="9208" sId="3">
    <nc r="J48">
      <v>0</v>
    </nc>
  </rcc>
  <rcc rId="9209" sId="3">
    <nc r="K48">
      <v>0</v>
    </nc>
  </rcc>
  <rcc rId="9210" sId="3">
    <nc r="L48">
      <v>0</v>
    </nc>
  </rcc>
  <rcc rId="9211" sId="3">
    <nc r="O48">
      <v>2</v>
    </nc>
  </rcc>
  <rcc rId="9212" sId="3">
    <nc r="P48">
      <v>6</v>
    </nc>
  </rcc>
  <rcc rId="9213" sId="3">
    <nc r="Q48">
      <v>1</v>
    </nc>
  </rcc>
  <rcc rId="9214" sId="3">
    <nc r="R48">
      <v>1</v>
    </nc>
  </rcc>
  <rcc rId="9215" sId="3">
    <nc r="S48">
      <v>1</v>
    </nc>
  </rcc>
  <rcc rId="9216" sId="3">
    <nc r="T48">
      <v>2</v>
    </nc>
  </rcc>
  <rcc rId="9217" sId="3">
    <nc r="U48">
      <v>6</v>
    </nc>
  </rcc>
  <rcc rId="9218" sId="4" numFmtId="19">
    <oc r="I2">
      <v>41746</v>
    </oc>
    <nc r="I2">
      <v>41747</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cc rId="9219" sId="3">
    <oc r="D5" t="inlineStr">
      <is>
        <t>1, 22, 25, 2, 20, 26, 3, 6, 9, 21, 13, 31, 37, 15, 30, 40, 41, 42, 43, 44, 45, 48, 49</t>
      </is>
    </oc>
    <nc r="D5" t="inlineStr">
      <is>
        <t>1, 22, 25, 2, 20, 26, 3, 6, 9, 21, 13, 31, 37, 15, 40, 41, 42, 43, 44, 45, 48, 49</t>
      </is>
    </nc>
  </rcc>
  <rcc rId="9220" sId="3" numFmtId="13">
    <oc r="D4">
      <v>0.53061224489795922</v>
    </oc>
    <nc r="D4">
      <v>0.55102040816326525</v>
    </nc>
  </rcc>
  <rcc rId="9221" sId="3" numFmtId="13">
    <oc r="D3">
      <v>0.53061224489795922</v>
    </oc>
    <nc r="D3">
      <v>0.55102040816326525</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222" sId="3">
    <oc r="H5" t="inlineStr">
      <is>
        <t>1, 4, 10, 12, 27, 28, 30, 15, 14, 22, 24, 33, 34, 36</t>
      </is>
    </oc>
    <nc r="H5" t="inlineStr">
      <is>
        <t>1, 4, 10, 12, 28, 30, 15, 14, 22, 24, 33, 34, 36</t>
      </is>
    </nc>
  </rcc>
  <rcc rId="9223" sId="3" numFmtId="13">
    <oc r="H4">
      <v>0.6216216216216216</v>
    </oc>
    <nc r="H4">
      <v>0.64864864864864868</v>
    </nc>
  </rcc>
  <rcc rId="9224" sId="3" numFmtId="13">
    <oc r="H3">
      <v>0.6216216216216216</v>
    </oc>
    <nc r="H3">
      <v>0.64864864864864868</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25" sId="3" numFmtId="19">
    <oc r="A48">
      <v>41747</v>
    </oc>
    <nc r="A48">
      <v>41750</v>
    </nc>
  </rcc>
  <rfmt sheetId="3" sqref="B49" start="0" length="0">
    <dxf>
      <font>
        <sz val="9"/>
        <color indexed="8"/>
        <name val="Calibri"/>
        <scheme val="minor"/>
      </font>
      <fill>
        <patternFill>
          <bgColor rgb="FFCCFFCC"/>
        </patternFill>
      </fill>
    </dxf>
  </rfmt>
  <rfmt sheetId="3" sqref="C49" start="0" length="0">
    <dxf>
      <font>
        <sz val="9"/>
        <color indexed="8"/>
        <name val="Calibri"/>
        <scheme val="minor"/>
      </font>
      <fill>
        <patternFill>
          <bgColor rgb="FFCCFFCC"/>
        </patternFill>
      </fill>
    </dxf>
  </rfmt>
  <rfmt sheetId="3" sqref="D49" start="0" length="0">
    <dxf>
      <font>
        <sz val="9"/>
        <color indexed="8"/>
        <name val="Calibri"/>
        <scheme val="minor"/>
      </font>
      <fill>
        <patternFill>
          <bgColor rgb="FFCCFFCC"/>
        </patternFill>
      </fill>
    </dxf>
  </rfmt>
  <rfmt sheetId="3" sqref="E49" start="0" length="0">
    <dxf>
      <font>
        <sz val="9"/>
        <color indexed="8"/>
        <name val="Calibri"/>
        <scheme val="minor"/>
      </font>
      <fill>
        <patternFill>
          <bgColor rgb="FFCCFFCC"/>
        </patternFill>
      </fill>
    </dxf>
  </rfmt>
  <rfmt sheetId="3" sqref="F49" start="0" length="0">
    <dxf>
      <font>
        <sz val="9"/>
        <color indexed="8"/>
        <name val="Calibri"/>
        <scheme val="minor"/>
      </font>
      <fill>
        <patternFill>
          <bgColor rgb="FFCCFFCC"/>
        </patternFill>
      </fill>
    </dxf>
  </rfmt>
  <rfmt sheetId="3" sqref="G49" start="0" length="0">
    <dxf>
      <font>
        <sz val="9"/>
        <color indexed="8"/>
        <name val="Calibri"/>
        <scheme val="minor"/>
      </font>
      <fill>
        <patternFill>
          <bgColor rgb="FFCCFFCC"/>
        </patternFill>
      </fill>
    </dxf>
  </rfmt>
  <rfmt sheetId="3" sqref="H49" start="0" length="0">
    <dxf>
      <font>
        <sz val="9"/>
        <color indexed="8"/>
        <name val="Calibri"/>
        <scheme val="minor"/>
      </font>
      <fill>
        <patternFill>
          <bgColor rgb="FFCCFFCC"/>
        </patternFill>
      </fill>
    </dxf>
  </rfmt>
  <rfmt sheetId="3" sqref="I49" start="0" length="0">
    <dxf>
      <font>
        <sz val="9"/>
        <color indexed="8"/>
        <name val="Calibri"/>
        <scheme val="minor"/>
      </font>
      <fill>
        <patternFill>
          <bgColor rgb="FFCCFFCC"/>
        </patternFill>
      </fill>
    </dxf>
  </rfmt>
  <rfmt sheetId="3" sqref="J49" start="0" length="0">
    <dxf>
      <font>
        <sz val="9"/>
        <color indexed="8"/>
        <name val="Calibri"/>
        <scheme val="minor"/>
      </font>
      <fill>
        <patternFill>
          <bgColor rgb="FFCCFFCC"/>
        </patternFill>
      </fill>
    </dxf>
  </rfmt>
  <rfmt sheetId="3" sqref="K49" start="0" length="0">
    <dxf>
      <font>
        <sz val="9"/>
        <color indexed="8"/>
        <name val="Calibri"/>
        <scheme val="minor"/>
      </font>
      <fill>
        <patternFill>
          <bgColor rgb="FFCCFFCC"/>
        </patternFill>
      </fill>
    </dxf>
  </rfmt>
  <rfmt sheetId="3" sqref="L49" start="0" length="0">
    <dxf>
      <font>
        <sz val="9"/>
        <color indexed="8"/>
        <name val="Calibri"/>
        <scheme val="minor"/>
      </font>
      <fill>
        <patternFill>
          <bgColor rgb="FFCCFFCC"/>
        </patternFill>
      </fill>
    </dxf>
  </rfmt>
  <rcc rId="9226" sId="3" odxf="1" s="1" dxf="1">
    <nc r="M49">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227" sId="3" odxf="1" s="1" dxf="1">
    <nc r="N49">
      <v>0</v>
    </nc>
    <odxf>
      <font>
        <b val="0"/>
        <i val="0"/>
        <strike val="0"/>
        <condense val="0"/>
        <extend val="0"/>
        <outline val="0"/>
        <shadow val="0"/>
        <u val="none"/>
        <vertAlign val="baseline"/>
        <sz val="10"/>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indexed="8"/>
        <name val="Calibri"/>
        <scheme val="minor"/>
      </font>
      <fill>
        <patternFill>
          <bgColor rgb="FFCCFFCC"/>
        </patternFill>
      </fill>
      <alignment wrapText="1" readingOrder="0"/>
    </ndxf>
  </rcc>
  <rcc rId="9228" sId="3" odxf="1" dxf="1">
    <nc r="O49">
      <v>2</v>
    </nc>
    <odxf>
      <font>
        <sz val="9"/>
        <color indexed="8"/>
        <name val="Calibri"/>
        <scheme val="none"/>
      </font>
      <fill>
        <patternFill>
          <bgColor theme="0"/>
        </patternFill>
      </fill>
    </odxf>
    <ndxf>
      <font>
        <sz val="9"/>
        <color indexed="8"/>
        <name val="Calibri"/>
        <scheme val="minor"/>
      </font>
      <fill>
        <patternFill>
          <bgColor rgb="FFCCFFCC"/>
        </patternFill>
      </fill>
    </ndxf>
  </rcc>
  <rfmt sheetId="3" s="1" sqref="P49" start="0" length="0">
    <dxf>
      <font>
        <sz val="10"/>
        <color indexed="8"/>
        <name val="Calibri"/>
        <scheme val="minor"/>
      </font>
      <fill>
        <patternFill>
          <bgColor rgb="FFCCFFCC"/>
        </patternFill>
      </fill>
      <alignment wrapText="1" readingOrder="0"/>
    </dxf>
  </rfmt>
  <rfmt sheetId="3" sqref="Q49" start="0" length="0">
    <dxf>
      <font>
        <sz val="9"/>
        <color indexed="8"/>
        <name val="Calibri"/>
        <scheme val="minor"/>
      </font>
      <fill>
        <patternFill>
          <bgColor rgb="FFCCFFCC"/>
        </patternFill>
      </fill>
    </dxf>
  </rfmt>
  <rfmt sheetId="3" sqref="R49" start="0" length="0">
    <dxf>
      <font>
        <sz val="9"/>
        <color indexed="8"/>
        <name val="Calibri"/>
        <scheme val="minor"/>
      </font>
      <fill>
        <patternFill>
          <bgColor rgb="FFCCFFCC"/>
        </patternFill>
      </fill>
    </dxf>
  </rfmt>
  <rfmt sheetId="3" sqref="S49" start="0" length="0">
    <dxf>
      <font>
        <sz val="9"/>
        <color indexed="8"/>
        <name val="Calibri"/>
        <scheme val="minor"/>
      </font>
      <fill>
        <patternFill>
          <bgColor rgb="FFCCFFCC"/>
        </patternFill>
      </fill>
    </dxf>
  </rfmt>
  <rcc rId="9229" sId="3" odxf="1" dxf="1">
    <nc r="T49">
      <v>2</v>
    </nc>
    <odxf>
      <font>
        <sz val="9"/>
        <color indexed="8"/>
        <name val="Calibri"/>
        <scheme val="none"/>
      </font>
      <fill>
        <patternFill>
          <bgColor theme="0"/>
        </patternFill>
      </fill>
    </odxf>
    <ndxf>
      <font>
        <sz val="9"/>
        <color indexed="8"/>
        <name val="Calibri"/>
        <scheme val="minor"/>
      </font>
      <fill>
        <patternFill>
          <bgColor rgb="FFCCFFCC"/>
        </patternFill>
      </fill>
    </ndxf>
  </rcc>
  <rcc rId="9230" sId="3" odxf="1" dxf="1">
    <nc r="U49">
      <v>6</v>
    </nc>
    <odxf>
      <font>
        <sz val="9"/>
        <color rgb="FF000000"/>
        <name val="Calibri"/>
        <scheme val="none"/>
      </font>
      <fill>
        <patternFill>
          <bgColor theme="0"/>
        </patternFill>
      </fill>
      <border outline="0">
        <left/>
        <right style="medium">
          <color indexed="64"/>
        </right>
        <top/>
        <bottom style="medium">
          <color indexed="64"/>
        </bottom>
      </border>
    </odxf>
    <ndxf>
      <font>
        <sz val="9"/>
        <color indexed="8"/>
        <name val="Calibri"/>
        <scheme val="minor"/>
      </font>
      <fill>
        <patternFill>
          <bgColor rgb="FFCCFFCC"/>
        </patternFill>
      </fill>
      <border outline="0">
        <left style="thin">
          <color indexed="64"/>
        </left>
        <right style="thin">
          <color indexed="64"/>
        </right>
        <top style="thin">
          <color indexed="64"/>
        </top>
        <bottom style="thin">
          <color indexed="64"/>
        </bottom>
      </border>
    </ndxf>
  </rcc>
  <rcc rId="9231" sId="3">
    <nc r="V49" t="inlineStr">
      <is>
        <t>T1.10B13(1.00)</t>
      </is>
    </nc>
  </rcc>
  <rcc rId="9232" sId="3" odxf="1" dxf="1">
    <nc r="W49"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9233" sId="3" numFmtId="19">
    <nc r="A49">
      <v>41751</v>
    </nc>
  </rcc>
  <rcc rId="9234" sId="3">
    <nc r="B49">
      <v>14</v>
    </nc>
  </rcc>
  <rcc rId="9235" sId="3">
    <nc r="C49">
      <v>16</v>
    </nc>
  </rcc>
  <rcc rId="9236" sId="3">
    <nc r="D49">
      <v>13</v>
    </nc>
  </rcc>
  <rcc rId="9237" sId="3">
    <nc r="E49">
      <v>24</v>
    </nc>
  </rcc>
  <rcc rId="9238" sId="3">
    <nc r="F49">
      <v>4</v>
    </nc>
  </rcc>
  <rcc rId="9239" sId="3">
    <nc r="G49">
      <v>11</v>
    </nc>
  </rcc>
  <rcc rId="9240" sId="3">
    <nc r="H49">
      <v>11</v>
    </nc>
  </rcc>
  <rcc rId="9241" sId="3">
    <nc r="I49">
      <v>11</v>
    </nc>
  </rcc>
  <rcc rId="9242" sId="3">
    <nc r="J49">
      <v>12</v>
    </nc>
  </rcc>
  <rcc rId="9243" sId="3">
    <nc r="K49">
      <v>12</v>
    </nc>
  </rcc>
  <rcc rId="9244" sId="3">
    <nc r="L49">
      <v>12</v>
    </nc>
  </rcc>
  <rcc rId="9245" sId="3">
    <nc r="P49">
      <v>0</v>
    </nc>
  </rcc>
  <rcc rId="9246" sId="3">
    <nc r="Q49">
      <v>3</v>
    </nc>
  </rcc>
  <rcc rId="9247" sId="3">
    <nc r="R49">
      <v>2</v>
    </nc>
  </rcc>
  <rcc rId="9248" sId="3">
    <nc r="S49">
      <v>2</v>
    </nc>
  </rcc>
  <rcc rId="9249" sId="3">
    <nc r="X49" t="inlineStr">
      <is>
        <t xml:space="preserve">All units have valid video and audio output.
TX CC error SUB PID 2802 on co-timed on most units </t>
      </is>
    </nc>
  </rcc>
  <rcc rId="9250" sId="4" numFmtId="19">
    <oc r="I2">
      <v>41747</v>
    </oc>
    <nc r="I2">
      <v>41751</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K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J8" start="0" length="0">
    <dxf>
      <fill>
        <patternFill>
          <bgColor rgb="FFCCFFCC"/>
        </patternFill>
      </fill>
    </dxf>
  </rfmt>
  <rfmt sheetId="4" sqref="K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cc rId="9251" sId="3">
    <oc r="D5" t="inlineStr">
      <is>
        <t>1, 22, 25, 2, 20, 26, 3, 6, 9, 21, 13, 31, 37, 15, 40, 41, 42, 43, 44, 45, 48, 49</t>
      </is>
    </oc>
    <nc r="D5" t="inlineStr">
      <is>
        <t>1, 22, 25, 2, 20, 26, 3, 6, 9, 21, 31, 37, 15, 40, 41, 42, 43, 44, 45, 48, 49</t>
      </is>
    </nc>
  </rcc>
  <rcc rId="9252" sId="3" numFmtId="13">
    <oc r="D4">
      <v>0.55102040816326525</v>
    </oc>
    <nc r="D4">
      <v>0.5714285714285714</v>
    </nc>
  </rcc>
  <rcc rId="9253" sId="3" numFmtId="13">
    <oc r="D3">
      <v>0.55102040816326525</v>
    </oc>
    <nc r="D3">
      <v>0.5714285714285714</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fmt sheetId="4" sqref="J33" start="0" length="0">
    <dxf>
      <fill>
        <patternFill>
          <bgColor rgb="FFCCFFCC"/>
        </patternFill>
      </fill>
    </dxf>
  </rfmt>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254" sId="3">
    <oc r="J5" t="inlineStr">
      <is>
        <t>7, 6, 8, 1, 3, 2, 4, 9, 12, 27, 28, 25, 37, 19, 18, 15, 16, 22, 34, 32, 35</t>
      </is>
    </oc>
    <nc r="J5" t="inlineStr">
      <is>
        <t>7, 6, 8, 1, 3, 2, 4, 9, 27, 28, 25, 37, 19, 18, 15, 16, 22, 34, 32, 35</t>
      </is>
    </nc>
  </rcc>
  <rcc rId="9255" sId="3" numFmtId="13">
    <oc r="J4">
      <v>0.43243243243243246</v>
    </oc>
    <nc r="J4">
      <v>0.45945945945945948</v>
    </nc>
  </rcc>
  <rcc rId="9256" sId="3" numFmtId="13">
    <oc r="J3">
      <v>0.43243243243243246</v>
    </oc>
    <nc r="J3">
      <v>0.45945945945945948</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57" sId="3" numFmtId="19">
    <nc r="A50">
      <v>41752</v>
    </nc>
  </rcc>
  <rcc rId="9258" sId="3" numFmtId="19">
    <nc r="A51">
      <v>41753</v>
    </nc>
  </rcc>
  <rfmt sheetId="3" sqref="B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C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D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E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F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G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H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I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J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K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L50"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B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C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D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E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F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G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H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I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J51" start="0" length="0">
    <dxf>
      <font>
        <sz val="9"/>
        <color rgb="FF000000"/>
        <name val="Calibri"/>
        <scheme val="none"/>
      </font>
      <fill>
        <patternFill>
          <bgColor theme="6" tint="0.79998168889431442"/>
        </patternFill>
      </fill>
      <alignment wrapText="0" readingOrder="0"/>
      <border outline="0">
        <left/>
        <right style="medium">
          <color indexed="64"/>
        </right>
        <top/>
        <bottom style="medium">
          <color indexed="64"/>
        </bottom>
      </border>
    </dxf>
  </rfmt>
  <rfmt sheetId="3" sqref="K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fmt sheetId="3" sqref="L51" start="0" length="0">
    <dxf>
      <font>
        <sz val="9"/>
        <color rgb="FF000000"/>
        <name val="Calibri"/>
        <scheme val="none"/>
      </font>
      <fill>
        <patternFill>
          <bgColor theme="6" tint="-0.249977111117893"/>
        </patternFill>
      </fill>
      <alignment wrapText="0" readingOrder="0"/>
      <border outline="0">
        <left/>
        <right style="medium">
          <color indexed="64"/>
        </right>
        <top/>
        <bottom style="medium">
          <color indexed="64"/>
        </bottom>
      </border>
    </dxf>
  </rfmt>
  <rm rId="9259" sheetId="3" source="G50:L51" destination="O50:T51" sourceSheetId="3">
    <rfmt sheetId="3" sqref="O50"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50" start="0" length="0">
      <dxf>
        <font>
          <sz val="10"/>
          <color theme="1"/>
          <name val="Calibri"/>
          <scheme val="minor"/>
        </font>
        <fill>
          <patternFill patternType="solid">
            <bgColor theme="0"/>
          </patternFill>
        </fill>
        <alignment horizontal="center" vertical="center" readingOrder="0"/>
        <border outline="0">
          <left style="thin">
            <color indexed="64"/>
          </left>
          <right style="thin">
            <color indexed="64"/>
          </right>
          <top style="thin">
            <color indexed="64"/>
          </top>
          <bottom style="thin">
            <color indexed="64"/>
          </bottom>
        </border>
      </dxf>
    </rfmt>
    <rfmt sheetId="3" sqref="Q50"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R50"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S50"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T50"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O51"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51" start="0" length="0">
      <dxf>
        <font>
          <sz val="10"/>
          <color theme="1"/>
          <name val="Calibri"/>
          <scheme val="minor"/>
        </font>
        <fill>
          <patternFill patternType="solid">
            <bgColor theme="0"/>
          </patternFill>
        </fill>
        <alignment horizontal="center" vertical="center" readingOrder="0"/>
        <border outline="0">
          <left style="thin">
            <color indexed="64"/>
          </left>
          <right style="thin">
            <color indexed="64"/>
          </right>
          <top style="thin">
            <color indexed="64"/>
          </top>
          <bottom style="thin">
            <color indexed="64"/>
          </bottom>
        </border>
      </dxf>
    </rfmt>
    <rfmt sheetId="3" sqref="Q51"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R51"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S51"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T51" start="0" length="0">
      <dxf>
        <font>
          <sz val="9"/>
          <color indexed="8"/>
          <name val="Calibri"/>
          <scheme val="none"/>
        </font>
        <fill>
          <patternFill patternType="solid">
            <bgColor theme="0"/>
          </patternFill>
        </fill>
        <alignment horizontal="center" vertical="center" wrapText="1" readingOrder="0"/>
        <border outline="0">
          <left style="thin">
            <color indexed="64"/>
          </left>
          <right style="thin">
            <color indexed="64"/>
          </right>
          <top style="thin">
            <color indexed="64"/>
          </top>
          <bottom style="thin">
            <color indexed="64"/>
          </bottom>
        </border>
      </dxf>
    </rfmt>
  </rm>
  <rcc rId="9260" sId="3">
    <nc r="V50" t="inlineStr">
      <is>
        <t>T1.10B13(1.00)</t>
      </is>
    </nc>
  </rcc>
  <rcc rId="9261" sId="3">
    <nc r="V51" t="inlineStr">
      <is>
        <t>T1.10B13(1.00)</t>
      </is>
    </nc>
  </rcc>
  <rfmt sheetId="3" sqref="U50" start="0" length="0">
    <dxf>
      <fill>
        <patternFill>
          <bgColor theme="6" tint="0.59999389629810485"/>
        </patternFill>
      </fill>
      <alignment wrapText="0" readingOrder="0"/>
    </dxf>
  </rfmt>
  <rfmt sheetId="3" sqref="U51" start="0" length="0">
    <dxf>
      <fill>
        <patternFill>
          <bgColor theme="6" tint="0.59999389629810485"/>
        </patternFill>
      </fill>
      <alignment wrapText="0" readingOrder="0"/>
    </dxf>
  </rfmt>
  <rfmt sheetId="3" xfDxf="1" s="1" sqref="G50" start="0" length="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fmt sheetId="3" xfDxf="1" s="1" sqref="H50" start="0" length="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fmt sheetId="3" xfDxf="1" s="1" sqref="G51" start="0" length="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fmt sheetId="3" xfDxf="1" s="1" sqref="H51" start="0" length="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rfmt>
  <rm rId="9262" sheetId="3" source="H50:H51" destination="K50:K51" sourceSheetId="3">
    <rfmt sheetId="3" s="1" sqref="K50" start="0" length="0">
      <dxf>
        <font>
          <sz val="11"/>
          <color theme="1"/>
          <name val="Calibri"/>
          <scheme val="minor"/>
        </font>
      </dxf>
    </rfmt>
    <rfmt sheetId="3" s="1" sqref="K51" start="0" length="0">
      <dxf>
        <font>
          <sz val="11"/>
          <color theme="1"/>
          <name val="Calibri"/>
          <scheme val="minor"/>
        </font>
      </dxf>
    </rfmt>
  </rm>
  <rcc rId="9263" sId="3" odxf="1" dxf="1">
    <nc r="B50">
      <v>13</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64" sId="3" odxf="1" dxf="1">
    <nc r="C50">
      <v>15</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65" sId="3" odxf="1" dxf="1">
    <nc r="D50">
      <v>19</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66" sId="3" odxf="1" dxf="1">
    <nc r="E50">
      <v>43</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67" sId="3" odxf="1" dxf="1">
    <nc r="F50">
      <v>10</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68" sId="3" odxf="1" s="1" dxf="1">
    <nc r="G50">
      <v>18</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H50" start="0" length="0">
    <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50" start="0" length="0">
    <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50" start="0" length="0">
    <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cc rId="9269" sId="3" odxf="1" s="1" dxf="1">
    <nc r="K50">
      <v>14</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L50" start="0" length="0">
    <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M50" start="0" length="0">
    <dxf>
      <font>
        <sz val="10"/>
        <color indexed="8"/>
        <name val="Calibri"/>
        <scheme val="minor"/>
      </font>
      <fill>
        <patternFill>
          <bgColor rgb="FFCCFFCC"/>
        </patternFill>
      </fill>
      <alignment wrapText="1" readingOrder="0"/>
    </dxf>
  </rfmt>
  <rfmt sheetId="3" s="1" sqref="N50" start="0" length="0">
    <dxf>
      <font>
        <sz val="10"/>
        <color indexed="8"/>
        <name val="Calibri"/>
        <scheme val="minor"/>
      </font>
      <fill>
        <patternFill>
          <bgColor rgb="FFCCFFCC"/>
        </patternFill>
      </fill>
      <alignment wrapText="1" readingOrder="0"/>
    </dxf>
  </rfmt>
  <rcc rId="9270" sId="3" odxf="1" dxf="1">
    <nc r="O50">
      <v>3</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71" sId="3" odxf="1" dxf="1">
    <nc r="P50">
      <v>7</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72" sId="3" odxf="1" dxf="1">
    <nc r="Q50">
      <v>1</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73" sId="3" odxf="1" dxf="1">
    <nc r="R50">
      <v>6</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74" sId="3" odxf="1" dxf="1">
    <nc r="S50">
      <v>1</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75" sId="3" odxf="1" dxf="1">
    <nc r="T50">
      <v>2</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76" sId="3" odxf="1" dxf="1">
    <nc r="U50">
      <v>6</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77" sId="3" odxf="1" dxf="1">
    <nc r="B51">
      <v>14</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78" sId="3" odxf="1" dxf="1">
    <nc r="C51">
      <v>18</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79" sId="3" odxf="1" dxf="1">
    <nc r="D51">
      <v>31</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80" sId="3" odxf="1" dxf="1">
    <nc r="E51">
      <v>42</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81" sId="3" odxf="1" dxf="1">
    <nc r="F51">
      <v>6</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82" sId="3" odxf="1" s="1" dxf="1">
    <nc r="G51">
      <v>6</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H51" start="0" length="0">
    <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51" start="0" length="0">
    <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51" start="0" length="0">
    <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cc rId="9283" sId="3" odxf="1" s="1" dxf="1">
    <nc r="K51">
      <v>2</v>
    </nc>
    <n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L51" start="0" length="0">
    <dxf>
      <font>
        <sz val="10"/>
        <color indexed="8"/>
        <name val="Calibri"/>
        <scheme val="minor"/>
      </font>
      <fill>
        <patternFill patternType="solid">
          <bgColor rgb="FFCCFFCC"/>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M51" start="0" length="0">
    <dxf>
      <font>
        <sz val="10"/>
        <color indexed="8"/>
        <name val="Calibri"/>
        <scheme val="minor"/>
      </font>
      <fill>
        <patternFill>
          <bgColor rgb="FFCCFFCC"/>
        </patternFill>
      </fill>
      <alignment wrapText="1" readingOrder="0"/>
    </dxf>
  </rfmt>
  <rfmt sheetId="3" s="1" sqref="N51" start="0" length="0">
    <dxf>
      <font>
        <sz val="10"/>
        <color indexed="8"/>
        <name val="Calibri"/>
        <scheme val="minor"/>
      </font>
      <fill>
        <patternFill>
          <bgColor rgb="FFCCFFCC"/>
        </patternFill>
      </fill>
      <alignment wrapText="1" readingOrder="0"/>
    </dxf>
  </rfmt>
  <rcc rId="9284" sId="3" odxf="1" dxf="1">
    <nc r="O51">
      <v>2</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85" sId="3" odxf="1" dxf="1">
    <nc r="P51">
      <v>7</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86" sId="3" odxf="1" dxf="1">
    <nc r="Q51">
      <v>2</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87" sId="3" odxf="1" dxf="1">
    <nc r="R51">
      <v>12</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88" sId="3" odxf="1" dxf="1">
    <nc r="S51">
      <v>2</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89" sId="3" odxf="1" dxf="1">
    <nc r="T51">
      <v>2</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90" sId="3" odxf="1" dxf="1">
    <nc r="U51">
      <v>7</v>
    </nc>
    <ndxf>
      <font>
        <sz val="9"/>
        <color indexed="8"/>
        <name val="Calibri"/>
        <scheme val="minor"/>
      </font>
      <fill>
        <patternFill>
          <bgColor rgb="FFCCFFCC"/>
        </patternFill>
      </fill>
      <alignment wrapText="1" readingOrder="0"/>
      <border outline="0">
        <left style="thin">
          <color indexed="64"/>
        </left>
        <right style="thin">
          <color indexed="64"/>
        </right>
        <top style="thin">
          <color indexed="64"/>
        </top>
        <bottom style="thin">
          <color indexed="64"/>
        </bottom>
      </border>
    </ndxf>
  </rcc>
  <rcc rId="9291" sId="3">
    <nc r="H50">
      <v>18</v>
    </nc>
  </rcc>
  <rcc rId="9292" sId="3">
    <nc r="I50">
      <v>18</v>
    </nc>
  </rcc>
  <rcc rId="9293" sId="3">
    <nc r="J50">
      <v>18</v>
    </nc>
  </rcc>
  <rcc rId="9294" sId="3">
    <nc r="H51">
      <v>6</v>
    </nc>
  </rcc>
  <rcc rId="9295" sId="3">
    <nc r="I51">
      <v>6</v>
    </nc>
  </rcc>
  <rcc rId="9296" sId="3">
    <nc r="J51">
      <v>6</v>
    </nc>
  </rcc>
  <rcc rId="9297" sId="3">
    <nc r="L50">
      <v>14</v>
    </nc>
  </rcc>
  <rcc rId="9298" sId="3">
    <nc r="M50">
      <v>14</v>
    </nc>
  </rcc>
  <rcc rId="9299" sId="3">
    <nc r="N50">
      <v>14</v>
    </nc>
  </rcc>
  <rcc rId="9300" sId="3">
    <nc r="L51">
      <v>2</v>
    </nc>
  </rcc>
  <rcc rId="9301" sId="3">
    <nc r="M51">
      <v>2</v>
    </nc>
  </rcc>
  <rcc rId="9302" sId="3">
    <nc r="N51">
      <v>2</v>
    </nc>
  </rcc>
  <rcc rId="9303" sId="3" odxf="1" dxf="1">
    <nc r="W50"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cc rId="9304" sId="3">
    <nc r="X50" t="inlineStr">
      <is>
        <t xml:space="preserve">All units have valid video and audio output and no reboot was detected.
TX CC error on PID 2901 co-timed on most units, uplink issue.
AUD2 warnings on most units.
VBI warnings on most units, due to known uplink setup issue. </t>
      </is>
    </nc>
  </rcc>
  <rcc rId="9305" sId="4" numFmtId="19">
    <oc r="I2">
      <v>41751</v>
    </oc>
    <nc r="I2">
      <v>41753</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J8" start="0" length="0">
    <dxf>
      <fill>
        <patternFill>
          <bgColor rgb="FFFFFFFF"/>
        </patternFill>
      </fill>
    </dxf>
  </rfmt>
  <rfmt sheetId="4" sqref="K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K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J8" start="0" length="0">
    <dxf>
      <fill>
        <patternFill>
          <bgColor rgb="FFCCFFCC"/>
        </patternFill>
      </fill>
    </dxf>
  </rfmt>
  <rfmt sheetId="4" sqref="K8" start="0" length="0">
    <dxf>
      <fill>
        <patternFill>
          <bgColor rgb="FFCCFFCC"/>
        </patternFill>
      </fill>
    </dxf>
  </rfmt>
  <rfmt sheetId="4" sqref="L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cc rId="9306" sId="3">
    <oc r="D5" t="inlineStr">
      <is>
        <t>1, 22, 25, 2, 20, 26, 3, 6, 9, 21, 31, 37, 15, 40, 41, 42, 43, 44, 45, 48, 49</t>
      </is>
    </oc>
    <nc r="D5" t="inlineStr">
      <is>
        <t>1, 22, 25, 2, 20, 26, 3, 6, 9, 21, 37, 15, 40, 41, 42, 43, 44, 45, 48, 49</t>
      </is>
    </nc>
  </rcc>
  <rcc rId="9307" sId="3" numFmtId="13">
    <oc r="D4">
      <v>0.5714285714285714</v>
    </oc>
    <nc r="D4">
      <v>0.59183673469387754</v>
    </nc>
  </rcc>
  <rcc rId="9308" sId="3" numFmtId="13">
    <oc r="D3">
      <v>0.5714285714285714</v>
    </oc>
    <nc r="D3">
      <v>0.59183673469387754</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I30"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cc rId="9309" sId="3">
    <oc r="E5" t="inlineStr">
      <is>
        <t>1, 3, 5, 2, 4, 6, 7, 9, 11, 8, 10, 12, 16, 13, 14, 19, 21, 22, 26, 35, 36, 37, 40, 41, 42, 45, 46, 47, 49, 53</t>
      </is>
    </oc>
    <nc r="E5" t="inlineStr">
      <is>
        <t>1, 3, 5, 2, 4, 6, 7, 9, 11, 8, 10, 12, 16, 13, 14, 19, 21, 22, 26, 35, 36, 37, 40, 41, 45, 46, 47, 49, 53</t>
      </is>
    </nc>
  </rcc>
  <rfmt sheetId="4" sqref="J33" start="0" length="0">
    <dxf>
      <fill>
        <patternFill>
          <bgColor rgb="FFCCFFCC"/>
        </patternFill>
      </fill>
    </dxf>
  </rfmt>
  <rcc rId="9310" sId="3" numFmtId="13">
    <oc r="E4">
      <v>0.43396226415094341</v>
    </oc>
    <nc r="E4">
      <v>0.45283018867924529</v>
    </nc>
  </rcc>
  <rcc rId="9311" sId="3" numFmtId="13">
    <oc r="E3">
      <v>0.43396226415094341</v>
    </oc>
    <nc r="E3">
      <v>0.45283018867924529</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312" sId="3">
    <oc r="I5" t="inlineStr">
      <is>
        <t>8, 1, 2, 4, 10, 12, 25, 26, 37, 30, 19, 18, 15, 16, 22, 32, 35</t>
      </is>
    </oc>
    <nc r="I5" t="inlineStr">
      <is>
        <t>8, 1, 2, 4, 10, 12, 25, 26, 37, 30, 19, 15, 16, 22, 32, 35</t>
      </is>
    </nc>
  </rcc>
  <rcc rId="9313" sId="3" numFmtId="13">
    <oc r="I4">
      <v>0.54054054054054057</v>
    </oc>
    <nc r="I4">
      <v>0.56756756756756754</v>
    </nc>
  </rcc>
  <rcc rId="9314" sId="3" numFmtId="13">
    <oc r="I3">
      <v>0.54054054054054057</v>
    </oc>
    <nc r="I3">
      <v>0.56756756756756754</v>
    </nc>
  </rcc>
  <rcc rId="9315" sId="3">
    <oc r="J5" t="inlineStr">
      <is>
        <t>7, 6, 8, 1, 3, 2, 4, 9, 27, 28, 25, 37, 19, 18, 15, 16, 22, 34, 32, 35</t>
      </is>
    </oc>
    <nc r="J5" t="inlineStr">
      <is>
        <t>7, 8, 1, 3, 2, 4, 9, 27, 28, 25, 37, 19, 15, 16, 22, 34, 32, 35</t>
      </is>
    </nc>
  </rcc>
  <rcc rId="9316" sId="3" numFmtId="13">
    <oc r="J4">
      <v>0.45945945945945948</v>
    </oc>
    <nc r="J4">
      <v>0.51351351351351349</v>
    </nc>
  </rcc>
  <rcc rId="9317" sId="3" numFmtId="13">
    <oc r="J3">
      <v>0.45945945945945948</v>
    </oc>
    <nc r="J3">
      <v>0.51351351351351349</v>
    </nc>
  </rcc>
  <rcc rId="9318" sId="3">
    <oc r="K5" t="inlineStr">
      <is>
        <t>7, 6, 8, 1, 3, 2, 4, 9, 11, 27, 28, 25, 37, 29, 19, 20, 13, 15, 14, 16, 21, 23, 34, 31, 32, 35, 36</t>
      </is>
    </oc>
    <nc r="K5" t="inlineStr">
      <is>
        <t>7, 6, 8, 1, 3, 4, 9, 11, 27, 28, 25, 37, 29, 19, 20, 13, 15, 16, 21, 23, 34, 31, 32, 35, 36</t>
      </is>
    </nc>
  </rcc>
  <rcc rId="9319" sId="3" numFmtId="13">
    <oc r="K4">
      <v>0.27027027027027029</v>
    </oc>
    <nc r="K4">
      <v>0.32432432432432434</v>
    </nc>
  </rcc>
  <rcc rId="9320" sId="3" numFmtId="13">
    <oc r="K3">
      <v>0.27027027027027029</v>
    </oc>
    <nc r="K3">
      <v>0.32432432432432434</v>
    </nc>
  </rcc>
  <rcc rId="9321" sId="3">
    <oc r="L5" t="inlineStr">
      <is>
        <t>7, 6, 8, 1, 3, 2, 4, 9, 11, 27, 28, 25, 37, 29, 17, 19, 20, 13, 15, 14, 16, 21, 23, 34, 31, 32, 35, 36</t>
      </is>
    </oc>
    <nc r="L5" t="inlineStr">
      <is>
        <t>7, 6, 8, 1, 3, 4, 9, 11, 27, 28, 25, 37, 29, 17, 19, 20, 13, 15, 16, 21, 23, 34, 31, 32, 35, 36</t>
      </is>
    </nc>
  </rcc>
  <rcc rId="9322" sId="3" numFmtId="13">
    <oc r="L4">
      <v>0.24324324324324326</v>
    </oc>
    <nc r="L4">
      <v>0.29729729729729731</v>
    </nc>
  </rcc>
  <rcc rId="9323" sId="3" numFmtId="13">
    <oc r="L3">
      <v>0.24324324324324326</v>
    </oc>
    <nc r="L3">
      <v>0.29729729729729731</v>
    </nc>
  </rcc>
  <rcc rId="9324" sId="3">
    <oc r="M5" t="inlineStr">
      <is>
        <t>5, 7, 6, 8, 1, 3, 2, 4, 9, 10, 11, 27, 28, 25, 26, 37, 29, 17, 19, 20, 13, 15, 14, 16, 21, 23, 34, 31, 32, 35, 36</t>
      </is>
    </oc>
    <nc r="M5" t="inlineStr">
      <is>
        <t>5, 7, 6, 8, 1, 3, 4, 9, 10, 11, 27, 28, 25, 26, 37, 29, 17, 19, 20, 13, 15, 16, 21, 23, 34, 31, 32, 35, 36</t>
      </is>
    </nc>
  </rcc>
  <rcc rId="9325" sId="3" numFmtId="13">
    <oc r="M4">
      <v>0.16216216216216217</v>
    </oc>
    <nc r="M4">
      <v>0.21621621621621623</v>
    </nc>
  </rcc>
  <rcc rId="9326" sId="3" numFmtId="13">
    <oc r="M3">
      <v>0.16216216216216217</v>
    </oc>
    <nc r="M3">
      <v>0.21621621621621623</v>
    </nc>
  </rcc>
  <rcc rId="9327" sId="3">
    <oc r="N5" t="inlineStr">
      <is>
        <t>5, 7, 6, 8, 1, 3, 2, 4, 9, 10, 11, 27, 28, 25, 26, 37, 29, 17, 19, 20, 13, 15, 14, 16, 21, 23, 34, 31, 32, 35, 36</t>
      </is>
    </oc>
    <nc r="N5" t="inlineStr">
      <is>
        <t>5, 7, 6, 8, 1, 3, 4, 9, 10, 11, 27, 28, 25, 26, 37, 29, 17, 19, 20, 13, 15, 16, 21, 23, 34, 31, 32, 35, 36</t>
      </is>
    </nc>
  </rcc>
  <rcc rId="9328" sId="3" numFmtId="13">
    <oc r="N4">
      <v>0.16216216216216217</v>
    </oc>
    <nc r="N4">
      <v>0.21621621621621623</v>
    </nc>
  </rcc>
  <rcc rId="9329" sId="3" numFmtId="13">
    <oc r="N3">
      <v>0.16216216216216217</v>
    </oc>
    <nc r="N3">
      <v>0.21621621621621623</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cv guid="{609F876C-F41A-43C8-BD3D-0455630C6D86}" action="delete"/>
  <rdn rId="0" localSheetId="3" customView="1" name="Z_609F876C_F41A_43C8_BD3D_0455630C6D86_.wvu.FilterData" hidden="1" oldHidden="1">
    <formula>'D9859 Grid'!$A$2:$Y$58</formula>
    <oldFormula>'D9859 Grid'!$A$2:$Y$58</oldFormula>
  </rdn>
  <rdn rId="0" localSheetId="14" customView="1" name="Z_609F876C_F41A_43C8_BD3D_0455630C6D86_.wvu.FilterData" hidden="1" oldHidden="1">
    <formula>'Transcode Test Cases'!$A$9:$P$46</formula>
    <oldFormula>'Transcode Test Cases'!$A$9:$P$46</oldFormula>
  </rdn>
  <rcv guid="{609F876C-F41A-43C8-BD3D-0455630C6D86}" action="add"/>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32" sId="3">
    <nc r="X51" t="inlineStr">
      <is>
        <t>All units have valid video and audio output.
VBI warnings on all units due to known uplink setup issue.
AUD2 warnings  several units</t>
      </is>
    </nc>
  </rcc>
  <rcc rId="9333" sId="3" odxf="1" dxf="1">
    <nc r="W51" t="inlineStr">
      <is>
        <t>Pass</t>
      </is>
    </nc>
    <odxf>
      <font>
        <sz val="9"/>
        <color indexed="8"/>
        <name val="Calibri"/>
        <scheme val="none"/>
      </font>
      <fill>
        <patternFill>
          <bgColor theme="0"/>
        </patternFill>
      </fill>
    </odxf>
    <ndxf>
      <font>
        <sz val="9"/>
        <color indexed="8"/>
        <name val="Calibri"/>
        <scheme val="minor"/>
      </font>
      <fill>
        <patternFill>
          <bgColor rgb="FFCCFFCC"/>
        </patternFill>
      </fill>
    </ndxf>
  </rcc>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34" sId="3" numFmtId="19">
    <nc r="A52">
      <v>41754</v>
    </nc>
  </rcc>
  <rcc rId="9335" sId="3" numFmtId="19">
    <nc r="A53">
      <v>41757</v>
    </nc>
  </rcc>
  <rcc rId="9336" sId="3">
    <nc r="B53">
      <v>16</v>
    </nc>
  </rcc>
  <rcc rId="9337" sId="3">
    <nc r="C53">
      <v>17</v>
    </nc>
  </rcc>
  <rcc rId="9338" sId="3">
    <nc r="D53">
      <v>14</v>
    </nc>
  </rcc>
  <rcc rId="9339" sId="3">
    <nc r="E53">
      <v>47</v>
    </nc>
  </rcc>
  <rcc rId="9340" sId="3">
    <nc r="F53">
      <v>8</v>
    </nc>
  </rcc>
  <rcc rId="9341" sId="3">
    <nc r="G53">
      <v>11</v>
    </nc>
  </rcc>
  <rcc rId="9342" sId="3">
    <nc r="I53">
      <v>11</v>
    </nc>
  </rcc>
  <rcc rId="9343" sId="3">
    <nc r="H53">
      <v>11</v>
    </nc>
  </rcc>
  <rcc rId="9344" sId="3">
    <nc r="J53">
      <v>11</v>
    </nc>
  </rcc>
  <rcc rId="9345" sId="3">
    <nc r="K53">
      <v>12</v>
    </nc>
  </rcc>
  <rcc rId="9346" sId="3">
    <nc r="L53">
      <v>12</v>
    </nc>
  </rcc>
  <rcc rId="9347" sId="3">
    <nc r="M53">
      <v>12</v>
    </nc>
  </rcc>
  <rcc rId="9348" sId="3">
    <nc r="N53">
      <v>12</v>
    </nc>
  </rcc>
  <rcc rId="9349" sId="3">
    <nc r="O53">
      <v>3</v>
    </nc>
  </rcc>
  <rcc rId="9350" sId="3">
    <nc r="P53">
      <v>5</v>
    </nc>
  </rcc>
  <rcc rId="9351" sId="3">
    <nc r="Q53">
      <v>1</v>
    </nc>
  </rcc>
  <rcc rId="9352" sId="3">
    <nc r="R53">
      <v>1</v>
    </nc>
  </rcc>
  <rcc rId="9353" sId="3">
    <nc r="S53">
      <v>1</v>
    </nc>
  </rcc>
  <rcc rId="9354" sId="3">
    <nc r="T53">
      <v>2</v>
    </nc>
  </rcc>
  <rcc rId="9355" sId="3">
    <nc r="U53">
      <v>6</v>
    </nc>
  </rcc>
  <rcc rId="9356" sId="3">
    <nc r="V53" t="inlineStr">
      <is>
        <t>T1.10B14(1.00)</t>
      </is>
    </nc>
  </rcc>
  <rcc rId="9357" sId="3">
    <nc r="B52">
      <v>14</v>
    </nc>
  </rcc>
  <rcc rId="9358" sId="3">
    <nc r="C52">
      <v>6</v>
    </nc>
  </rcc>
  <rcc rId="9359" sId="3">
    <nc r="D52">
      <v>28</v>
    </nc>
  </rcc>
  <rcc rId="9360" sId="3">
    <nc r="E52">
      <v>32</v>
    </nc>
  </rcc>
  <rcc rId="9361" sId="3">
    <nc r="F52">
      <v>16</v>
    </nc>
  </rcc>
  <rcc rId="9362" sId="3">
    <nc r="G52">
      <v>1</v>
    </nc>
  </rcc>
  <rcc rId="9363" sId="3">
    <nc r="H52">
      <v>1</v>
    </nc>
  </rcc>
  <rcc rId="9364" sId="3">
    <nc r="I52">
      <v>1</v>
    </nc>
  </rcc>
  <rcc rId="9365" sId="3">
    <nc r="J52">
      <v>1</v>
    </nc>
  </rcc>
  <rcc rId="9366" sId="3">
    <nc r="K52">
      <v>1</v>
    </nc>
  </rcc>
  <rcc rId="9367" sId="3">
    <nc r="L52">
      <v>0</v>
    </nc>
  </rcc>
  <rcc rId="9368" sId="3">
    <nc r="M52">
      <v>0</v>
    </nc>
  </rcc>
  <rcc rId="9369" sId="3">
    <nc r="N52">
      <v>0</v>
    </nc>
  </rcc>
  <rcc rId="9370" sId="3">
    <nc r="O52">
      <v>2</v>
    </nc>
  </rcc>
  <rcc rId="9371" sId="3">
    <nc r="P52">
      <v>0</v>
    </nc>
  </rcc>
  <rcc rId="9372" sId="3">
    <nc r="Q52">
      <v>3</v>
    </nc>
  </rcc>
  <rcc rId="9373" sId="3">
    <nc r="R52">
      <v>2</v>
    </nc>
  </rcc>
  <rcc rId="9374" sId="3">
    <nc r="S52">
      <v>2</v>
    </nc>
  </rcc>
  <rcc rId="9375" sId="3">
    <nc r="T52">
      <v>2</v>
    </nc>
  </rcc>
  <rcc rId="9376" sId="3">
    <nc r="U52">
      <v>6</v>
    </nc>
  </rcc>
  <rcc rId="9377" sId="3">
    <nc r="V52" t="inlineStr">
      <is>
        <t>T1.10B14(1.00)</t>
      </is>
    </nc>
  </rcc>
  <rdn rId="0" localSheetId="3" customView="1" name="Z_E7571780_ED88_421E_BB12_D2AF189A0D99_.wvu.FilterData" hidden="1" oldHidden="1">
    <formula>'D9859 Grid'!$A$2:$Y$58</formula>
  </rdn>
  <rdn rId="0" localSheetId="14" customView="1" name="Z_E7571780_ED88_421E_BB12_D2AF189A0D99_.wvu.FilterData" hidden="1" oldHidden="1">
    <formula>'Transcode Test Cases'!$A$9:$P$46</formula>
  </rdn>
  <rcv guid="{E7571780-ED88-421E-BB12-D2AF189A0D99}"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80" sId="3">
    <nc r="X52" t="inlineStr">
      <is>
        <t xml:space="preserve">All units have valid video and audio output.
FE Assert due to known issue CSCul84769
MPE warning on unit 118
VID warning on unit 120, issue CSCuh25144
</t>
      </is>
    </nc>
  </rcc>
  <rcc rId="9381" sId="3">
    <nc r="X53" t="inlineStr">
      <is>
        <t xml:space="preserve">All units have valid video and audio output.
TX warnings on all units, uplink issue
AUD2 warnings on all units, known issue CSCuh61762
VID warning on unit 120, issue CSCuh25144
</t>
      </is>
    </nc>
  </rcc>
  <rcc rId="9382" sId="3">
    <nc r="W53" t="inlineStr">
      <is>
        <t>Pass</t>
      </is>
    </nc>
  </rcc>
  <rcc rId="9383" sId="3">
    <nc r="W52" t="inlineStr">
      <is>
        <t>Pass</t>
      </is>
    </nc>
  </rcc>
  <rcc rId="9384" sId="4" numFmtId="19">
    <oc r="I2">
      <v>41753</v>
    </oc>
    <nc r="I2">
      <v>41757</v>
    </nc>
  </rcc>
  <rcc rId="9385" sId="4">
    <oc r="K2" t="inlineStr">
      <is>
        <t>T1.10B13(1.00)</t>
      </is>
    </oc>
    <nc r="K2" t="inlineStr">
      <is>
        <t>T1.10B14(1.00)</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9" start="0" length="0">
    <dxf>
      <fill>
        <patternFill>
          <bgColor rgb="FFCCFFCC"/>
        </patternFill>
      </fill>
    </dxf>
  </rfmt>
  <rfmt sheetId="4" sqref="B10" start="0" length="0">
    <dxf>
      <fill>
        <patternFill>
          <bgColor rgb="FFCCFFCC"/>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8" start="0" length="0">
    <dxf>
      <fill>
        <patternFill>
          <bgColor rgb="FFCCFFCC"/>
        </patternFill>
      </fill>
    </dxf>
  </rfmt>
  <rfmt sheetId="4" sqref="B20" start="0" length="0">
    <dxf>
      <fill>
        <patternFill>
          <bgColor rgb="FFCCFFCC"/>
        </patternFill>
      </fill>
    </dxf>
  </rfmt>
  <rfmt sheetId="4" sqref="B23" start="0" length="0">
    <dxf>
      <fill>
        <patternFill>
          <bgColor rgb="FFCCFFCC"/>
        </patternFill>
      </fill>
    </dxf>
  </rfmt>
  <rfmt sheetId="4" sqref="B24" start="0" length="0">
    <dxf>
      <fill>
        <patternFill>
          <bgColor rgb="FFCCFFCC"/>
        </patternFill>
      </fill>
    </dxf>
  </rfmt>
  <rcc rId="9386" sId="3" numFmtId="13">
    <oc r="B3">
      <v>0.88235294117647056</v>
    </oc>
    <nc r="B3">
      <v>0.76470588235294112</v>
    </nc>
  </rcc>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6" start="0" length="0">
    <dxf>
      <fill>
        <patternFill>
          <bgColor rgb="FFCCFFCC"/>
        </patternFill>
      </fill>
    </dxf>
  </rfmt>
  <rfmt sheetId="4" sqref="E7" start="0" length="0">
    <dxf>
      <fill>
        <patternFill>
          <bgColor rgb="FFCCFFCC"/>
        </patternFill>
      </fill>
    </dxf>
  </rfmt>
  <rfmt sheetId="4" sqref="E10" start="0" length="0">
    <dxf>
      <fill>
        <patternFill>
          <bgColor rgb="FFCCFFCC"/>
        </patternFill>
      </fill>
    </dxf>
  </rfmt>
  <rfmt sheetId="4" sqref="E11" start="0" length="0">
    <dxf>
      <fill>
        <patternFill>
          <bgColor rgb="FFCCFFCC"/>
        </patternFill>
      </fill>
    </dxf>
  </rfmt>
  <rfmt sheetId="4" sqref="E19" start="0" length="0">
    <dxf>
      <fill>
        <patternFill>
          <bgColor rgb="FFCCFFCC"/>
        </patternFill>
      </fill>
    </dxf>
  </rfmt>
  <rfmt sheetId="4" sqref="E20" start="0" length="0">
    <dxf>
      <fill>
        <patternFill>
          <bgColor rgb="FFCCFFCC"/>
        </patternFill>
      </fill>
    </dxf>
  </rfmt>
  <rfmt sheetId="4" sqref="E21" start="0" length="0">
    <dxf>
      <fill>
        <patternFill>
          <bgColor rgb="FFCCFFCC"/>
        </patternFill>
      </fill>
    </dxf>
  </rfmt>
  <rfmt sheetId="4" sqref="E22" start="0" length="0">
    <dxf>
      <fill>
        <patternFill>
          <bgColor rgb="FFCCFFCC"/>
        </patternFill>
      </fill>
    </dxf>
  </rfmt>
  <rcc rId="9387" sId="3" numFmtId="13">
    <oc r="C3">
      <v>0.75</v>
    </oc>
    <nc r="C3">
      <v>0.58333333333333337</v>
    </nc>
  </rcc>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J8" start="0" length="0">
    <dxf>
      <fill>
        <patternFill>
          <bgColor rgb="FFFFFFFF"/>
        </patternFill>
      </fill>
    </dxf>
  </rfmt>
  <rfmt sheetId="4" sqref="K8" start="0" length="0">
    <dxf>
      <fill>
        <patternFill>
          <bgColor rgb="FFFFFFFF"/>
        </patternFill>
      </fill>
    </dxf>
  </rfmt>
  <rfmt sheetId="4" sqref="L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K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J6" start="0" length="0">
    <dxf>
      <fill>
        <patternFill>
          <bgColor rgb="FFCCFFCC"/>
        </patternFill>
      </fill>
    </dxf>
  </rfmt>
  <rfmt sheetId="4" sqref="K6" start="0" length="0">
    <dxf>
      <fill>
        <patternFill>
          <bgColor rgb="FFCCFFCC"/>
        </patternFill>
      </fill>
    </dxf>
  </rfmt>
  <rfmt sheetId="4" sqref="M6" start="0" length="0">
    <dxf>
      <fill>
        <patternFill>
          <bgColor rgb="FFCCFFCC"/>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J8" start="0" length="0">
    <dxf>
      <fill>
        <patternFill>
          <bgColor rgb="FFCCFFCC"/>
        </patternFill>
      </fill>
    </dxf>
  </rfmt>
  <rfmt sheetId="4" sqref="K8" start="0" length="0">
    <dxf>
      <fill>
        <patternFill>
          <bgColor rgb="FFCCFFCC"/>
        </patternFill>
      </fill>
    </dxf>
  </rfmt>
  <rfmt sheetId="4" sqref="L8" start="0" length="0">
    <dxf>
      <fill>
        <patternFill>
          <bgColor rgb="FFCCFFCC"/>
        </patternFill>
      </fill>
    </dxf>
  </rfmt>
  <rfmt sheetId="4" sqref="M8" start="0" length="0">
    <dxf>
      <fill>
        <patternFill>
          <bgColor rgb="FFCCFFCC"/>
        </patternFill>
      </fill>
    </dxf>
  </rfmt>
  <rfmt sheetId="4" sqref="I9" start="0" length="0">
    <dxf>
      <fill>
        <patternFill>
          <bgColor rgb="FFCCFFCC"/>
        </patternFill>
      </fill>
    </dxf>
  </rfmt>
  <rfmt sheetId="4" sqref="J9" start="0" length="0">
    <dxf>
      <fill>
        <patternFill>
          <bgColor rgb="FFCCFFCC"/>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cc rId="9388" sId="3" numFmtId="13">
    <oc r="D3">
      <v>0.59183673469387754</v>
    </oc>
    <nc r="D3">
      <v>0.55102040816326525</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I30"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H22" start="0" length="0">
    <dxf>
      <fill>
        <patternFill>
          <bgColor rgb="FFCCFFCC"/>
        </patternFill>
      </fill>
    </dxf>
  </rfmt>
  <rfmt sheetId="4" sqref="I22" start="0" length="0">
    <dxf>
      <fill>
        <patternFill>
          <bgColor rgb="FFCCFFCC"/>
        </patternFill>
      </fill>
    </dxf>
  </rfmt>
  <rfmt sheetId="4" sqref="J23" start="0" length="0">
    <dxf>
      <fill>
        <patternFill>
          <bgColor rgb="FFCCFFCC"/>
        </patternFill>
      </fill>
    </dxf>
  </rfmt>
  <rfmt sheetId="4" sqref="J24" start="0" length="0">
    <dxf>
      <fill>
        <patternFill>
          <bgColor rgb="FFCCFFCC"/>
        </patternFill>
      </fill>
    </dxf>
  </rfmt>
  <rfmt sheetId="4" sqref="H25" start="0" length="0">
    <dxf>
      <fill>
        <patternFill>
          <bgColor rgb="FFCCFFCC"/>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7" start="0" length="0">
    <dxf>
      <fill>
        <patternFill>
          <bgColor rgb="FFCCFFCC"/>
        </patternFill>
      </fill>
    </dxf>
  </rfmt>
  <rfmt sheetId="4" sqref="I27" start="0" length="0">
    <dxf>
      <fill>
        <patternFill>
          <bgColor rgb="FFCCFFCC"/>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I30" start="0" length="0">
    <dxf>
      <fill>
        <patternFill>
          <bgColor rgb="FFCCFFCC"/>
        </patternFill>
      </fill>
    </dxf>
  </rfmt>
  <rfmt sheetId="4" sqref="J30" start="0" length="0">
    <dxf>
      <fill>
        <patternFill>
          <bgColor rgb="FFCCFFCC"/>
        </patternFill>
      </fill>
    </dxf>
  </rfmt>
  <rfmt sheetId="4" sqref="K30" start="0" length="0">
    <dxf>
      <fill>
        <patternFill>
          <bgColor rgb="FFCCFFCC"/>
        </patternFill>
      </fill>
    </dxf>
  </rfmt>
  <rfmt sheetId="4" sqref="K31" start="0" length="0">
    <dxf>
      <fill>
        <patternFill>
          <bgColor rgb="FFCCFFCC"/>
        </patternFill>
      </fill>
    </dxf>
  </rfmt>
  <rfmt sheetId="4" sqref="I32" start="0" length="0">
    <dxf>
      <fill>
        <patternFill>
          <bgColor rgb="FFCCFFCC"/>
        </patternFill>
      </fill>
    </dxf>
  </rfmt>
  <rfmt sheetId="4" sqref="J32" start="0" length="0">
    <dxf>
      <fill>
        <patternFill>
          <bgColor rgb="FFCCFFCC"/>
        </patternFill>
      </fill>
    </dxf>
  </rfmt>
  <rcc rId="9389" sId="3">
    <oc r="E5" t="inlineStr">
      <is>
        <t>1, 3, 5, 2, 4, 6, 7, 9, 11, 8, 10, 12, 16, 13, 14, 19, 21, 22, 26, 35, 36, 37, 40, 41, 45, 46, 47, 49, 53</t>
      </is>
    </oc>
    <nc r="E5" t="inlineStr">
      <is>
        <t>1, 3, 5, 2, 4, 6, 7, 9, 11, 8, 10, 12, 16, 13, 14, 19, 21, 22, 26, 35, 36, 37, 40, 41, 45, 46, 49, 53</t>
      </is>
    </nc>
  </rcc>
  <rfmt sheetId="4" sqref="J33" start="0" length="0">
    <dxf>
      <fill>
        <patternFill>
          <bgColor rgb="FFCCFFCC"/>
        </patternFill>
      </fill>
    </dxf>
  </rfmt>
  <rcc rId="9390" sId="3" numFmtId="13">
    <oc r="E4">
      <v>0.45283018867924529</v>
    </oc>
    <nc r="E4">
      <v>0.47169811320754718</v>
    </nc>
  </rcc>
  <rcc rId="9391" sId="3" numFmtId="13">
    <oc r="E3">
      <v>0.45283018867924529</v>
    </oc>
    <nc r="E3">
      <v>0.43396226415094341</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O16" start="0" length="0">
    <dxf>
      <fill>
        <patternFill>
          <bgColor rgb="FFCCFFCC"/>
        </patternFill>
      </fill>
    </dxf>
  </rfmt>
  <rfmt sheetId="4" sqref="P16" start="0" length="0">
    <dxf>
      <fill>
        <patternFill>
          <bgColor rgb="FFCCFFCC"/>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O18" start="0" length="0">
    <dxf>
      <fill>
        <patternFill>
          <bgColor rgb="FFCCFFCC"/>
        </patternFill>
      </fill>
    </dxf>
  </rfmt>
  <rfmt sheetId="4" sqref="P18" start="0" length="0">
    <dxf>
      <fill>
        <patternFill>
          <bgColor rgb="FFCCFFCC"/>
        </patternFill>
      </fill>
    </dxf>
  </rfmt>
  <rfmt sheetId="4" sqref="N19" start="0" length="0">
    <dxf>
      <fill>
        <patternFill>
          <bgColor rgb="FFCCFFCC"/>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1" start="0" length="0">
    <dxf>
      <fill>
        <patternFill>
          <bgColor rgb="FFCCFFCC"/>
        </patternFill>
      </fill>
    </dxf>
  </rfmt>
  <rcc rId="9392" sId="3" numFmtId="13">
    <oc r="F3">
      <v>1</v>
    </oc>
    <nc r="F3">
      <v>0.9285714285714286</v>
    </nc>
  </rcc>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393" sId="3" numFmtId="13">
    <oc r="G3">
      <v>0.6216216216216216</v>
    </oc>
    <nc r="G3">
      <v>0.56756756756756754</v>
    </nc>
  </rcc>
  <rcc rId="9394" sId="3">
    <oc r="H5" t="inlineStr">
      <is>
        <t>1, 4, 10, 12, 28, 30, 15, 14, 22, 24, 33, 34, 36</t>
      </is>
    </oc>
    <nc r="H5" t="inlineStr">
      <is>
        <t>4, 10, 12, 28, 30, 15, 14, 22, 24, 33, 34, 36</t>
      </is>
    </nc>
  </rcc>
  <rcc rId="9395" sId="3" numFmtId="13">
    <oc r="H4">
      <v>0.64864864864864868</v>
    </oc>
    <nc r="H4">
      <v>0.67567567567567566</v>
    </nc>
  </rcc>
  <rcc rId="9396" sId="3" numFmtId="13">
    <oc r="H3">
      <v>0.64864864864864868</v>
    </oc>
    <nc r="H3">
      <v>0.6216216216216216</v>
    </nc>
  </rcc>
  <rcc rId="9397" sId="3">
    <oc r="I5" t="inlineStr">
      <is>
        <t>8, 1, 2, 4, 10, 12, 25, 26, 37, 30, 19, 15, 16, 22, 32, 35</t>
      </is>
    </oc>
    <nc r="I5" t="inlineStr">
      <is>
        <t>8, 2, 4, 10, 12, 25, 26, 37, 30, 19, 15, 16, 22, 32, 35</t>
      </is>
    </nc>
  </rcc>
  <rcc rId="9398" sId="3" numFmtId="13">
    <oc r="I4">
      <v>0.56756756756756754</v>
    </oc>
    <nc r="I4">
      <v>0.59459459459459463</v>
    </nc>
  </rcc>
  <rcc rId="9399" sId="3" numFmtId="13">
    <oc r="I3">
      <v>0.56756756756756754</v>
    </oc>
    <nc r="I3">
      <v>0.54054054054054057</v>
    </nc>
  </rcc>
  <rcc rId="9400" sId="3">
    <oc r="J5" t="inlineStr">
      <is>
        <t>7, 8, 1, 3, 2, 4, 9, 27, 28, 25, 37, 19, 15, 16, 22, 34, 32, 35</t>
      </is>
    </oc>
    <nc r="J5" t="inlineStr">
      <is>
        <t>7, 8, 3, 2, 4, 9, 27, 28, 25, 37, 19, 15, 16, 22, 34, 32, 35</t>
      </is>
    </nc>
  </rcc>
  <rcc rId="9401" sId="3" numFmtId="13">
    <oc r="J4">
      <v>0.51351351351351349</v>
    </oc>
    <nc r="J4">
      <v>0.54054054054054057</v>
    </nc>
  </rcc>
  <rcc rId="9402" sId="3" numFmtId="13">
    <oc r="J3">
      <v>0.51351351351351349</v>
    </oc>
    <nc r="J3">
      <v>0.48648648648648651</v>
    </nc>
  </rcc>
  <rcc rId="9403" sId="3">
    <oc r="K5" t="inlineStr">
      <is>
        <t>7, 6, 8, 1, 3, 4, 9, 11, 27, 28, 25, 37, 29, 19, 20, 13, 15, 16, 21, 23, 34, 31, 32, 35, 36</t>
      </is>
    </oc>
    <nc r="K5" t="inlineStr">
      <is>
        <t>7, 6, 8, 3, 4, 9, 11, 27, 28, 25, 37, 29, 19, 20, 13, 15, 16, 21, 23, 34, 31, 32, 35, 36</t>
      </is>
    </nc>
  </rcc>
  <rcc rId="9404" sId="3" numFmtId="13">
    <oc r="K4">
      <v>0.32432432432432434</v>
    </oc>
    <nc r="K4">
      <v>0.35135135135135137</v>
    </nc>
  </rcc>
  <rcc rId="9405" sId="3" numFmtId="13">
    <oc r="K3">
      <v>0.32432432432432434</v>
    </oc>
    <nc r="K3">
      <v>0.29729729729729731</v>
    </nc>
  </rcc>
  <rcc rId="9406" sId="3" numFmtId="13">
    <oc r="L3">
      <v>0.29729729729729731</v>
    </oc>
    <nc r="L3">
      <v>0.27027027027027029</v>
    </nc>
  </rcc>
  <rcc rId="9407" sId="3" numFmtId="13">
    <oc r="M3">
      <v>0.21621621621621623</v>
    </oc>
    <nc r="M3">
      <v>0.1891891891891892</v>
    </nc>
  </rcc>
  <rcc rId="9408" sId="3" numFmtId="13">
    <oc r="N3">
      <v>0.21621621621621623</v>
    </oc>
    <nc r="N3">
      <v>0.1891891891891892</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cc rId="9409" sId="3" numFmtId="13">
    <oc r="O3">
      <v>1</v>
    </oc>
    <nc r="O3">
      <v>0.75</v>
    </nc>
  </rcc>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Q13" start="0" length="0">
    <dxf>
      <fill>
        <patternFill>
          <bgColor rgb="FFCCFFCC"/>
        </patternFill>
      </fill>
    </dxf>
  </rfmt>
  <rcc rId="9410" sId="3" numFmtId="13">
    <oc r="P3">
      <v>0.8571428571428571</v>
    </oc>
    <nc r="P3">
      <v>0.7142857142857143</v>
    </nc>
  </rcc>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9" start="0" length="0">
    <dxf>
      <fill>
        <patternFill>
          <bgColor rgb="FFCCFFCC"/>
        </patternFill>
      </fill>
    </dxf>
  </rfmt>
  <rfmt sheetId="4" sqref="V20" start="0" length="0">
    <dxf>
      <fill>
        <patternFill>
          <bgColor rgb="FFCCFFCC"/>
        </patternFill>
      </fill>
    </dxf>
  </rfmt>
  <rfmt sheetId="4" sqref="V21" start="0" length="0">
    <dxf>
      <fill>
        <patternFill>
          <bgColor rgb="FFCCFFCC"/>
        </patternFill>
      </fill>
    </dxf>
  </rfmt>
  <rcc rId="9411" sId="3" numFmtId="13">
    <oc r="Q3">
      <v>1</v>
    </oc>
    <nc r="Q3">
      <v>0.5</v>
    </nc>
  </rcc>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O25" start="0" length="0">
    <dxf>
      <fill>
        <patternFill>
          <bgColor rgb="FFCCFFCC"/>
        </patternFill>
      </fill>
    </dxf>
  </rfmt>
  <rfmt sheetId="4" sqref="P25" start="0" length="0">
    <dxf>
      <fill>
        <patternFill>
          <bgColor rgb="FFCCFFCC"/>
        </patternFill>
      </fill>
    </dxf>
  </rfmt>
  <rfmt sheetId="4" sqref="N26" start="0" length="0">
    <dxf>
      <fill>
        <patternFill>
          <bgColor rgb="FFCCFFCC"/>
        </patternFill>
      </fill>
    </dxf>
  </rfmt>
  <rfmt sheetId="4" sqref="O26" start="0" length="0">
    <dxf>
      <fill>
        <patternFill>
          <bgColor rgb="FFCCFFCC"/>
        </patternFill>
      </fill>
    </dxf>
  </rfmt>
  <rfmt sheetId="4" sqref="P26" start="0" length="0">
    <dxf>
      <fill>
        <patternFill>
          <bgColor rgb="FFCCFFCC"/>
        </patternFill>
      </fill>
    </dxf>
  </rfmt>
  <rfmt sheetId="4" sqref="S26" start="0" length="0">
    <dxf>
      <fill>
        <patternFill>
          <bgColor rgb="FFCCFFCC"/>
        </patternFill>
      </fill>
    </dxf>
  </rfmt>
  <rfmt sheetId="4" sqref="N27" start="0" length="0">
    <dxf>
      <fill>
        <patternFill>
          <bgColor rgb="FFCCFFCC"/>
        </patternFill>
      </fill>
    </dxf>
  </rfmt>
  <rcc rId="9412" sId="3" numFmtId="13">
    <oc r="R3">
      <v>1</v>
    </oc>
    <nc r="R3">
      <v>0.75</v>
    </nc>
  </rcc>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1" start="0" length="0">
    <dxf>
      <fill>
        <patternFill>
          <bgColor rgb="FFCCFFCC"/>
        </patternFill>
      </fill>
    </dxf>
  </rfmt>
  <rcc rId="9413" sId="3" numFmtId="13">
    <oc r="S3">
      <v>1</v>
    </oc>
    <nc r="S3">
      <v>0</v>
    </nc>
  </rcc>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5" start="0" length="0">
    <dxf>
      <fill>
        <patternFill>
          <bgColor rgb="FFCCFFCC"/>
        </patternFill>
      </fill>
    </dxf>
  </rfmt>
  <rcc rId="9414" sId="3" numFmtId="13">
    <oc r="T3">
      <v>1</v>
    </oc>
    <nc r="T3">
      <v>0.5</v>
    </nc>
  </rcc>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I39" start="0" length="0">
    <dxf>
      <fill>
        <patternFill>
          <bgColor rgb="FFCCFFCC"/>
        </patternFill>
      </fill>
    </dxf>
  </rfmt>
  <rfmt sheetId="4" sqref="J39" start="0" length="0">
    <dxf>
      <fill>
        <patternFill>
          <bgColor rgb="FFCCFFCC"/>
        </patternFill>
      </fill>
    </dxf>
  </rfmt>
  <rcc rId="9415" sId="3" numFmtId="13">
    <oc r="U3">
      <v>0.42857142857142855</v>
    </oc>
    <nc r="U3">
      <v>0.2857142857142857</v>
    </nc>
  </rcc>
  <rfmt sheetId="3" sqref="W52">
    <dxf>
      <fill>
        <patternFill>
          <bgColor rgb="FFC6EFCE"/>
        </patternFill>
      </fill>
    </dxf>
  </rfmt>
  <rfmt sheetId="3" sqref="W53">
    <dxf>
      <fill>
        <patternFill>
          <bgColor rgb="FFC6EFCE"/>
        </patternFill>
      </fill>
    </dxf>
  </rfmt>
  <rfmt sheetId="3" sqref="B52:U53">
    <dxf>
      <fill>
        <patternFill>
          <bgColor rgb="FFC6EFCE"/>
        </patternFill>
      </fill>
    </dxf>
  </rfmt>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16" sId="3" numFmtId="19">
    <nc r="A54">
      <v>41758</v>
    </nc>
  </rcc>
  <rcc rId="9417" sId="3" numFmtId="19">
    <nc r="A55">
      <v>41759</v>
    </nc>
  </rcc>
  <rcc rId="9418" sId="3" numFmtId="19">
    <nc r="A56">
      <v>41760</v>
    </nc>
  </rcc>
  <rcc rId="9419" sId="3">
    <nc r="B54">
      <v>16</v>
    </nc>
  </rcc>
  <rcc rId="9420" sId="3">
    <nc r="C54">
      <v>17</v>
    </nc>
  </rcc>
  <rcc rId="9421" sId="3">
    <nc r="D54">
      <v>34</v>
    </nc>
  </rcc>
  <rcc rId="9422" sId="3">
    <nc r="E54">
      <v>22</v>
    </nc>
  </rcc>
  <rcc rId="9423" sId="3">
    <nc r="F54">
      <v>11</v>
    </nc>
  </rcc>
  <rcc rId="9424" sId="3">
    <nc r="G54">
      <v>3</v>
    </nc>
  </rcc>
  <rcc rId="9425" sId="3">
    <nc r="H54">
      <v>3</v>
    </nc>
  </rcc>
  <rcc rId="9426" sId="3">
    <nc r="I54">
      <v>3</v>
    </nc>
  </rcc>
  <rcc rId="9427" sId="3">
    <nc r="J54">
      <v>3</v>
    </nc>
  </rcc>
  <rcc rId="9428" sId="3">
    <nc r="K54">
      <v>7</v>
    </nc>
  </rcc>
  <rcc rId="9429" sId="3">
    <nc r="L54">
      <v>7</v>
    </nc>
  </rcc>
  <rcc rId="9430" sId="3">
    <nc r="M54">
      <v>7</v>
    </nc>
  </rcc>
  <rcc rId="9431" sId="3">
    <nc r="N54">
      <v>7</v>
    </nc>
  </rcc>
  <rcc rId="9432" sId="3">
    <nc r="O54">
      <v>2</v>
    </nc>
  </rcc>
  <rcc rId="9433" sId="3">
    <nc r="P54">
      <v>5</v>
    </nc>
  </rcc>
  <rcc rId="9434" sId="3">
    <nc r="Q54">
      <v>1</v>
    </nc>
  </rcc>
  <rcc rId="9435" sId="3">
    <nc r="R54">
      <v>12</v>
    </nc>
  </rcc>
  <rcc rId="9436" sId="3">
    <nc r="S54">
      <v>1</v>
    </nc>
  </rcc>
  <rcc rId="9437" sId="3">
    <nc r="T54">
      <v>2</v>
    </nc>
  </rcc>
  <rcc rId="9438" sId="3">
    <nc r="U54">
      <v>6</v>
    </nc>
  </rcc>
  <rcc rId="9439" sId="3">
    <nc r="V54" t="inlineStr">
      <is>
        <t>T1.10B14(1.00)</t>
      </is>
    </nc>
  </rcc>
  <rcc rId="9440" sId="3">
    <nc r="W54" t="inlineStr">
      <is>
        <t>Pass</t>
      </is>
    </nc>
  </rcc>
  <rcc rId="9441" sId="3">
    <nc r="X54" t="inlineStr">
      <is>
        <t xml:space="preserve">All units have valid video and audio output.
TX warnings on all units, uplink issue
</t>
      </is>
    </nc>
  </rcc>
  <rcc rId="9442" sId="3">
    <nc r="B55">
      <v>16</v>
    </nc>
  </rcc>
  <rcc rId="9443" sId="3">
    <nc r="C55">
      <v>17</v>
    </nc>
  </rcc>
  <rcc rId="9444" sId="3">
    <nc r="D55">
      <v>26</v>
    </nc>
  </rcc>
  <rcc rId="9445" sId="3">
    <nc r="E55">
      <v>33</v>
    </nc>
  </rcc>
  <rcc rId="9446" sId="3">
    <nc r="F55">
      <v>9</v>
    </nc>
  </rcc>
  <rcc rId="9447" sId="3">
    <nc r="L55">
      <v>20</v>
    </nc>
  </rcc>
  <rcc rId="9448" sId="3">
    <nc r="M55">
      <v>20</v>
    </nc>
  </rcc>
  <rcc rId="9449" sId="3">
    <nc r="N55">
      <v>20</v>
    </nc>
  </rcc>
  <rcc rId="9450" sId="3">
    <nc r="G55">
      <v>16</v>
    </nc>
  </rcc>
  <rcc rId="9451" sId="3">
    <nc r="H55">
      <v>16</v>
    </nc>
  </rcc>
  <rcc rId="9452" sId="3">
    <nc r="I55">
      <v>16</v>
    </nc>
  </rcc>
  <rcc rId="9453" sId="3">
    <nc r="K55">
      <v>20</v>
    </nc>
  </rcc>
  <rcc rId="9454" sId="3">
    <nc r="J55">
      <v>16</v>
    </nc>
  </rcc>
  <rcc rId="9455" sId="3">
    <nc r="O55">
      <v>2</v>
    </nc>
  </rcc>
  <rcc rId="9456" sId="3">
    <nc r="P55">
      <v>7</v>
    </nc>
  </rcc>
  <rcc rId="9457" sId="3">
    <nc r="Q55">
      <v>2</v>
    </nc>
  </rcc>
  <rcc rId="9458" sId="3">
    <nc r="R55">
      <v>10</v>
    </nc>
  </rcc>
  <rcc rId="9459" sId="3">
    <nc r="S55">
      <v>1</v>
    </nc>
  </rcc>
  <rcc rId="9460" sId="3">
    <nc r="T55">
      <v>2</v>
    </nc>
  </rcc>
  <rcc rId="9461" sId="3">
    <nc r="U55">
      <v>6</v>
    </nc>
  </rcc>
  <rcc rId="9462" sId="3">
    <nc r="V55" t="inlineStr">
      <is>
        <t>T1.10B14(1.00)</t>
      </is>
    </nc>
  </rcc>
  <rcc rId="9463" sId="3">
    <nc r="W55" t="inlineStr">
      <is>
        <t>Pass</t>
      </is>
    </nc>
  </rcc>
  <rcc rId="9464" sId="3">
    <nc r="X55" t="inlineStr">
      <is>
        <t xml:space="preserve">All units have valid video and audio output and no reboot was detected.
TX CC error on PID 2802 co-timed on most units, uplink issue.
AUD2 warnings on few units
</t>
      </is>
    </nc>
  </rcc>
  <rcc rId="9465" sId="3">
    <nc r="B56">
      <v>20</v>
    </nc>
  </rcc>
  <rcc rId="9466" sId="3">
    <nc r="C56">
      <v>2</v>
    </nc>
  </rcc>
  <rcc rId="9467" sId="3">
    <nc r="D56">
      <v>35</v>
    </nc>
  </rcc>
  <rcc rId="9468" sId="3">
    <nc r="E56">
      <v>50</v>
    </nc>
  </rcc>
  <rcc rId="9469" sId="3">
    <nc r="F56">
      <v>7</v>
    </nc>
  </rcc>
  <rcc rId="9470" sId="3">
    <nc r="G56">
      <v>26</v>
    </nc>
  </rcc>
  <rcc rId="9471" sId="3">
    <nc r="H56">
      <v>28</v>
    </nc>
  </rcc>
  <rcc rId="9472" sId="3">
    <nc r="I56">
      <v>0</v>
    </nc>
  </rcc>
  <rcc rId="9473" sId="3">
    <nc r="J56">
      <v>0</v>
    </nc>
  </rcc>
  <rcc rId="9474" sId="3">
    <nc r="K56">
      <v>0</v>
    </nc>
  </rcc>
  <rcc rId="9475" sId="3">
    <nc r="L56">
      <v>0</v>
    </nc>
  </rcc>
  <rcc rId="9476" sId="3">
    <nc r="M56">
      <v>0</v>
    </nc>
  </rcc>
  <rcc rId="9477" sId="3">
    <nc r="N56">
      <v>0</v>
    </nc>
  </rcc>
  <rcc rId="9478" sId="3">
    <nc r="O56">
      <v>3</v>
    </nc>
  </rcc>
  <rcc rId="9479" sId="3">
    <nc r="P56">
      <v>7</v>
    </nc>
  </rcc>
  <rcc rId="9480" sId="3">
    <nc r="Q56">
      <v>2</v>
    </nc>
  </rcc>
  <rcc rId="9481" sId="3">
    <nc r="R56">
      <v>2</v>
    </nc>
  </rcc>
  <rcc rId="9482" sId="3">
    <nc r="S56">
      <v>1</v>
    </nc>
  </rcc>
  <rcc rId="9483" sId="3">
    <nc r="T56">
      <v>2</v>
    </nc>
  </rcc>
  <rcc rId="9484" sId="3">
    <nc r="U56">
      <v>6</v>
    </nc>
  </rcc>
  <rcc rId="9485" sId="3">
    <nc r="W56" t="inlineStr">
      <is>
        <t>Fail</t>
      </is>
    </nc>
  </rcc>
  <rcc rId="9486" sId="3">
    <nc r="V56" t="inlineStr">
      <is>
        <t>T1.10B14(1.00)</t>
      </is>
    </nc>
  </rcc>
  <rcc rId="9487" sId="3">
    <nc r="X56" t="inlineStr">
      <is>
        <t xml:space="preserve">All units have valid video and audio output.
AUD2 warnings on most units, known issue CSCuh25081
MPE warnings co-timed on most units, uplink issue
TX CC errors on PID 2802 on all units, uplink issue
VBI warnings on all units
VID warnings on all units
MPE and MC Asserts on all units, co-timed. 
</t>
      </is>
    </nc>
  </rcc>
  <rfmt sheetId="3" sqref="B54:U55">
    <dxf>
      <fill>
        <patternFill>
          <bgColor rgb="FFC6EFCE"/>
        </patternFill>
      </fill>
    </dxf>
  </rfmt>
  <rfmt sheetId="3" sqref="W54:W55">
    <dxf>
      <fill>
        <patternFill>
          <bgColor rgb="FFC6EFCE"/>
        </patternFill>
      </fill>
    </dxf>
  </rfmt>
  <rfmt sheetId="3" sqref="B56:U56">
    <dxf>
      <fill>
        <patternFill>
          <bgColor rgb="FFC6EFCE"/>
        </patternFill>
      </fill>
    </dxf>
  </rfmt>
  <rfmt sheetId="3" sqref="W56">
    <dxf>
      <fill>
        <patternFill>
          <bgColor theme="5" tint="0.59999389629810485"/>
        </patternFill>
      </fill>
    </dxf>
  </rfmt>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88" sId="5">
    <oc r="F17" t="inlineStr">
      <is>
        <t>PVNG - max sym rate = 30.0 Msym 7/8</t>
      </is>
    </oc>
    <nc r="F17"/>
  </rcc>
  <rcc rId="9489" sId="5">
    <oc r="F18" t="inlineStr">
      <is>
        <t>PVNG - max sym rate = 30.0 Msym 7/8</t>
      </is>
    </oc>
    <nc r="F18"/>
  </rcc>
  <rcc rId="9490" sId="5">
    <oc r="F19" t="inlineStr">
      <is>
        <t>PVNG - max sym rate = 30.0 Msym 7/8</t>
      </is>
    </oc>
    <nc r="F19"/>
  </rcc>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B57" start="0" length="0">
    <dxf>
      <fill>
        <patternFill>
          <bgColor rgb="FFC6EFCE"/>
        </patternFill>
      </fill>
    </dxf>
  </rfmt>
  <rfmt sheetId="3" sqref="C57" start="0" length="0">
    <dxf>
      <fill>
        <patternFill>
          <bgColor rgb="FFC6EFCE"/>
        </patternFill>
      </fill>
    </dxf>
  </rfmt>
  <rfmt sheetId="3" sqref="D57" start="0" length="0">
    <dxf>
      <fill>
        <patternFill>
          <bgColor rgb="FFC6EFCE"/>
        </patternFill>
      </fill>
    </dxf>
  </rfmt>
  <rfmt sheetId="3" sqref="E57" start="0" length="0">
    <dxf>
      <fill>
        <patternFill>
          <bgColor rgb="FFC6EFCE"/>
        </patternFill>
      </fill>
    </dxf>
  </rfmt>
  <rfmt sheetId="3" sqref="F57" start="0" length="0">
    <dxf>
      <fill>
        <patternFill>
          <bgColor rgb="FFC6EFCE"/>
        </patternFill>
      </fill>
    </dxf>
  </rfmt>
  <rfmt sheetId="3" sqref="G57" start="0" length="0">
    <dxf>
      <fill>
        <patternFill>
          <bgColor rgb="FFC6EFCE"/>
        </patternFill>
      </fill>
    </dxf>
  </rfmt>
  <rfmt sheetId="3" sqref="H57" start="0" length="0">
    <dxf>
      <fill>
        <patternFill>
          <bgColor rgb="FFC6EFCE"/>
        </patternFill>
      </fill>
    </dxf>
  </rfmt>
  <rfmt sheetId="3" sqref="I57" start="0" length="0">
    <dxf>
      <fill>
        <patternFill>
          <bgColor rgb="FFC6EFCE"/>
        </patternFill>
      </fill>
    </dxf>
  </rfmt>
  <rfmt sheetId="3" sqref="J57" start="0" length="0">
    <dxf>
      <fill>
        <patternFill>
          <bgColor rgb="FFC6EFCE"/>
        </patternFill>
      </fill>
    </dxf>
  </rfmt>
  <rfmt sheetId="3" sqref="K57" start="0" length="0">
    <dxf>
      <fill>
        <patternFill>
          <bgColor rgb="FFC6EFCE"/>
        </patternFill>
      </fill>
    </dxf>
  </rfmt>
  <rfmt sheetId="3" sqref="L57" start="0" length="0">
    <dxf>
      <fill>
        <patternFill>
          <bgColor rgb="FFC6EFCE"/>
        </patternFill>
      </fill>
    </dxf>
  </rfmt>
  <rcc rId="9491" sId="3" odxf="1" dxf="1">
    <nc r="M57">
      <v>0</v>
    </nc>
    <odxf>
      <fill>
        <patternFill>
          <bgColor theme="0"/>
        </patternFill>
      </fill>
    </odxf>
    <ndxf>
      <fill>
        <patternFill>
          <bgColor rgb="FFC6EFCE"/>
        </patternFill>
      </fill>
    </ndxf>
  </rcc>
  <rcc rId="9492" sId="3" odxf="1" dxf="1">
    <nc r="N57">
      <v>0</v>
    </nc>
    <odxf>
      <fill>
        <patternFill>
          <bgColor theme="0"/>
        </patternFill>
      </fill>
    </odxf>
    <ndxf>
      <fill>
        <patternFill>
          <bgColor rgb="FFC6EFCE"/>
        </patternFill>
      </fill>
    </ndxf>
  </rcc>
  <rfmt sheetId="3" sqref="O57" start="0" length="0">
    <dxf>
      <fill>
        <patternFill>
          <bgColor rgb="FFC6EFCE"/>
        </patternFill>
      </fill>
    </dxf>
  </rfmt>
  <rfmt sheetId="3" sqref="P57" start="0" length="0">
    <dxf>
      <fill>
        <patternFill>
          <bgColor rgb="FFC6EFCE"/>
        </patternFill>
      </fill>
    </dxf>
  </rfmt>
  <rfmt sheetId="3" sqref="Q57" start="0" length="0">
    <dxf>
      <fill>
        <patternFill>
          <bgColor rgb="FFC6EFCE"/>
        </patternFill>
      </fill>
    </dxf>
  </rfmt>
  <rfmt sheetId="3" sqref="R57" start="0" length="0">
    <dxf>
      <fill>
        <patternFill>
          <bgColor rgb="FFC6EFCE"/>
        </patternFill>
      </fill>
    </dxf>
  </rfmt>
  <rfmt sheetId="3" sqref="S57" start="0" length="0">
    <dxf>
      <fill>
        <patternFill>
          <bgColor rgb="FFC6EFCE"/>
        </patternFill>
      </fill>
    </dxf>
  </rfmt>
  <rfmt sheetId="3" sqref="T57" start="0" length="0">
    <dxf>
      <fill>
        <patternFill>
          <bgColor rgb="FFC6EFCE"/>
        </patternFill>
      </fill>
    </dxf>
  </rfmt>
  <rfmt sheetId="3" sqref="U57" start="0" length="0">
    <dxf>
      <fill>
        <patternFill>
          <bgColor rgb="FFC6EFCE"/>
        </patternFill>
      </fill>
    </dxf>
  </rfmt>
  <rcc rId="9493" sId="3">
    <nc r="V57" t="inlineStr">
      <is>
        <t>T1.10B14(1.00)</t>
      </is>
    </nc>
  </rcc>
  <rfmt sheetId="3" sqref="B58" start="0" length="0">
    <dxf>
      <fill>
        <patternFill>
          <bgColor rgb="FFC6EFCE"/>
        </patternFill>
      </fill>
    </dxf>
  </rfmt>
  <rfmt sheetId="3" sqref="C58" start="0" length="0">
    <dxf>
      <fill>
        <patternFill>
          <bgColor rgb="FFC6EFCE"/>
        </patternFill>
      </fill>
    </dxf>
  </rfmt>
  <rfmt sheetId="3" sqref="D58" start="0" length="0">
    <dxf>
      <fill>
        <patternFill>
          <bgColor rgb="FFC6EFCE"/>
        </patternFill>
      </fill>
    </dxf>
  </rfmt>
  <rfmt sheetId="3" sqref="E58" start="0" length="0">
    <dxf>
      <fill>
        <patternFill>
          <bgColor rgb="FFC6EFCE"/>
        </patternFill>
      </fill>
    </dxf>
  </rfmt>
  <rfmt sheetId="3" sqref="F58" start="0" length="0">
    <dxf>
      <fill>
        <patternFill>
          <bgColor rgb="FFC6EFCE"/>
        </patternFill>
      </fill>
    </dxf>
  </rfmt>
  <rfmt sheetId="3" sqref="G58" start="0" length="0">
    <dxf>
      <fill>
        <patternFill>
          <bgColor rgb="FFC6EFCE"/>
        </patternFill>
      </fill>
    </dxf>
  </rfmt>
  <rfmt sheetId="3" sqref="H58" start="0" length="0">
    <dxf>
      <fill>
        <patternFill>
          <bgColor rgb="FFC6EFCE"/>
        </patternFill>
      </fill>
    </dxf>
  </rfmt>
  <rfmt sheetId="3" sqref="I58" start="0" length="0">
    <dxf>
      <fill>
        <patternFill>
          <bgColor rgb="FFC6EFCE"/>
        </patternFill>
      </fill>
    </dxf>
  </rfmt>
  <rfmt sheetId="3" sqref="J58" start="0" length="0">
    <dxf>
      <fill>
        <patternFill>
          <bgColor rgb="FFC6EFCE"/>
        </patternFill>
      </fill>
    </dxf>
  </rfmt>
  <rfmt sheetId="3" sqref="K58" start="0" length="0">
    <dxf>
      <fill>
        <patternFill>
          <bgColor rgb="FFC6EFCE"/>
        </patternFill>
      </fill>
    </dxf>
  </rfmt>
  <rfmt sheetId="3" sqref="L58" start="0" length="0">
    <dxf>
      <fill>
        <patternFill>
          <bgColor rgb="FFC6EFCE"/>
        </patternFill>
      </fill>
    </dxf>
  </rfmt>
  <rcc rId="9494" sId="3" odxf="1" dxf="1">
    <nc r="M58">
      <v>0</v>
    </nc>
    <odxf>
      <fill>
        <patternFill>
          <bgColor theme="0"/>
        </patternFill>
      </fill>
    </odxf>
    <ndxf>
      <fill>
        <patternFill>
          <bgColor rgb="FFC6EFCE"/>
        </patternFill>
      </fill>
    </ndxf>
  </rcc>
  <rcc rId="9495" sId="3" odxf="1" dxf="1">
    <nc r="N58">
      <v>0</v>
    </nc>
    <odxf>
      <fill>
        <patternFill>
          <bgColor theme="0"/>
        </patternFill>
      </fill>
    </odxf>
    <ndxf>
      <fill>
        <patternFill>
          <bgColor rgb="FFC6EFCE"/>
        </patternFill>
      </fill>
    </ndxf>
  </rcc>
  <rfmt sheetId="3" sqref="O58" start="0" length="0">
    <dxf>
      <fill>
        <patternFill>
          <bgColor rgb="FFC6EFCE"/>
        </patternFill>
      </fill>
    </dxf>
  </rfmt>
  <rfmt sheetId="3" sqref="P58" start="0" length="0">
    <dxf>
      <fill>
        <patternFill>
          <bgColor rgb="FFC6EFCE"/>
        </patternFill>
      </fill>
    </dxf>
  </rfmt>
  <rfmt sheetId="3" sqref="Q58" start="0" length="0">
    <dxf>
      <fill>
        <patternFill>
          <bgColor rgb="FFC6EFCE"/>
        </patternFill>
      </fill>
    </dxf>
  </rfmt>
  <rfmt sheetId="3" sqref="R58" start="0" length="0">
    <dxf>
      <fill>
        <patternFill>
          <bgColor rgb="FFC6EFCE"/>
        </patternFill>
      </fill>
    </dxf>
  </rfmt>
  <rfmt sheetId="3" sqref="S58" start="0" length="0">
    <dxf>
      <fill>
        <patternFill>
          <bgColor rgb="FFC6EFCE"/>
        </patternFill>
      </fill>
    </dxf>
  </rfmt>
  <rfmt sheetId="3" sqref="T58" start="0" length="0">
    <dxf>
      <fill>
        <patternFill>
          <bgColor rgb="FFC6EFCE"/>
        </patternFill>
      </fill>
    </dxf>
  </rfmt>
  <rfmt sheetId="3" sqref="U58" start="0" length="0">
    <dxf>
      <fill>
        <patternFill>
          <bgColor rgb="FFC6EFCE"/>
        </patternFill>
      </fill>
    </dxf>
  </rfmt>
  <rcc rId="9496" sId="3">
    <nc r="V58" t="inlineStr">
      <is>
        <t>T1.10B14(1.00)</t>
      </is>
    </nc>
  </rcc>
  <rcc rId="9497" sId="3" numFmtId="19">
    <nc r="A57">
      <v>41761</v>
    </nc>
  </rcc>
  <rcc rId="9498" sId="3">
    <nc r="B57">
      <v>16</v>
    </nc>
  </rcc>
  <rcc rId="9499" sId="3">
    <nc r="C57">
      <v>1</v>
    </nc>
  </rcc>
  <rcc rId="9500" sId="3">
    <nc r="D57">
      <v>11</v>
    </nc>
  </rcc>
  <rcc rId="9501" sId="3">
    <nc r="E57">
      <v>43</v>
    </nc>
  </rcc>
  <rcc rId="9502" sId="3">
    <nc r="F57">
      <v>5</v>
    </nc>
  </rcc>
  <rcc rId="9503" sId="3">
    <nc r="G57">
      <v>29</v>
    </nc>
  </rcc>
  <rcc rId="9504" sId="3">
    <nc r="H57">
      <v>29</v>
    </nc>
  </rcc>
  <rcc rId="9505" sId="3">
    <nc r="I57">
      <v>29</v>
    </nc>
  </rcc>
  <rcc rId="9506" sId="3">
    <nc r="J57">
      <v>30</v>
    </nc>
  </rcc>
  <rcc rId="9507" sId="3">
    <nc r="K57">
      <v>30</v>
    </nc>
  </rcc>
  <rcc rId="9508" sId="3">
    <nc r="L57">
      <v>30</v>
    </nc>
  </rcc>
  <rcc rId="9509" sId="3">
    <nc r="O57">
      <v>2</v>
    </nc>
  </rcc>
  <rcc rId="9510" sId="3">
    <nc r="P57">
      <v>5</v>
    </nc>
  </rcc>
  <rcc rId="9511" sId="3">
    <nc r="Q57">
      <v>3</v>
    </nc>
  </rcc>
  <rcc rId="9512" sId="3">
    <nc r="R57">
      <v>12</v>
    </nc>
  </rcc>
  <rcc rId="9513" sId="3">
    <nc r="S57">
      <v>1</v>
    </nc>
  </rcc>
  <rcc rId="9514" sId="3">
    <nc r="T57">
      <v>2</v>
    </nc>
  </rcc>
  <rcc rId="9515" sId="3">
    <nc r="U57">
      <v>5</v>
    </nc>
  </rcc>
  <rcc rId="9516" sId="3">
    <nc r="W57" t="inlineStr">
      <is>
        <t>Pass</t>
      </is>
    </nc>
  </rcc>
  <rcc rId="9517" sId="3">
    <nc r="X57" t="inlineStr">
      <is>
        <t xml:space="preserve">All units have valid video and audio output.
TX CC errors on PID 2802, 2904 on all units, uplink issue
VID warnings unit 104, 120
</t>
      </is>
    </nc>
  </rcc>
  <rcc rId="9518" sId="3">
    <nc r="B58">
      <v>4</v>
    </nc>
  </rcc>
  <rcc rId="9519" sId="3">
    <nc r="C58">
      <v>15</v>
    </nc>
  </rcc>
  <rcc rId="9520" sId="3">
    <nc r="D58">
      <v>4</v>
    </nc>
  </rcc>
  <rcc rId="9521" sId="3">
    <nc r="E58">
      <v>28</v>
    </nc>
  </rcc>
  <rcc rId="9522" sId="3">
    <nc r="F58">
      <v>3</v>
    </nc>
  </rcc>
  <rcc rId="9523" sId="3">
    <nc r="G58">
      <v>21</v>
    </nc>
  </rcc>
  <rcc rId="9524" sId="3">
    <nc r="H58">
      <v>21</v>
    </nc>
  </rcc>
  <rcc rId="9525" sId="3">
    <nc r="I58">
      <v>21</v>
    </nc>
  </rcc>
  <rcc rId="9526" sId="3">
    <nc r="J58">
      <v>22</v>
    </nc>
  </rcc>
  <rcc rId="9527" sId="3">
    <nc r="K58">
      <v>22</v>
    </nc>
  </rcc>
  <rcc rId="9528" sId="3">
    <nc r="L58">
      <v>22</v>
    </nc>
  </rcc>
  <rcc rId="9529" sId="3">
    <nc r="O58">
      <v>3</v>
    </nc>
  </rcc>
  <rcc rId="9530" sId="3">
    <nc r="P58">
      <v>7</v>
    </nc>
  </rcc>
  <rcc rId="9531" sId="3">
    <nc r="Q58">
      <v>3</v>
    </nc>
  </rcc>
  <rcc rId="9532" sId="3">
    <nc r="R58">
      <v>9</v>
    </nc>
  </rcc>
  <rcc rId="9533" sId="3">
    <nc r="S58">
      <v>1</v>
    </nc>
  </rcc>
  <rcc rId="9534" sId="3">
    <nc r="T58">
      <v>2</v>
    </nc>
  </rcc>
  <rcc rId="9535" sId="3">
    <nc r="U58">
      <v>5</v>
    </nc>
  </rcc>
  <rcc rId="9536" sId="3">
    <nc r="W58" t="inlineStr">
      <is>
        <t>Pass</t>
      </is>
    </nc>
  </rcc>
  <rcc rId="9537" sId="3">
    <nc r="X58" t="inlineStr">
      <is>
        <t xml:space="preserve">All units have valid video and audio output.
TX CC errors on PID 2801 on all units, uplink issue
MPE warnings on unit 126
VBI warnings on all units
IPAL assert on unit 113
</t>
      </is>
    </nc>
  </rcc>
  <rcc rId="9538" sId="3" numFmtId="19">
    <nc r="A58">
      <v>41764</v>
    </nc>
  </rcc>
  <rfmt sheetId="3" sqref="B59" start="0" length="0">
    <dxf>
      <fill>
        <patternFill>
          <bgColor rgb="FFC6EFCE"/>
        </patternFill>
      </fill>
    </dxf>
  </rfmt>
  <rfmt sheetId="3" sqref="C59" start="0" length="0">
    <dxf>
      <fill>
        <patternFill>
          <bgColor rgb="FFC6EFCE"/>
        </patternFill>
      </fill>
    </dxf>
  </rfmt>
  <rfmt sheetId="3" sqref="D59" start="0" length="0">
    <dxf>
      <fill>
        <patternFill>
          <bgColor rgb="FFC6EFCE"/>
        </patternFill>
      </fill>
    </dxf>
  </rfmt>
  <rfmt sheetId="3" sqref="E59" start="0" length="0">
    <dxf>
      <fill>
        <patternFill>
          <bgColor rgb="FFC6EFCE"/>
        </patternFill>
      </fill>
    </dxf>
  </rfmt>
  <rfmt sheetId="3" sqref="F59" start="0" length="0">
    <dxf>
      <fill>
        <patternFill>
          <bgColor rgb="FFC6EFCE"/>
        </patternFill>
      </fill>
    </dxf>
  </rfmt>
  <rfmt sheetId="3" sqref="G59" start="0" length="0">
    <dxf>
      <fill>
        <patternFill>
          <bgColor rgb="FFC6EFCE"/>
        </patternFill>
      </fill>
    </dxf>
  </rfmt>
  <rfmt sheetId="3" sqref="H59" start="0" length="0">
    <dxf>
      <fill>
        <patternFill>
          <bgColor rgb="FFC6EFCE"/>
        </patternFill>
      </fill>
    </dxf>
  </rfmt>
  <rfmt sheetId="3" sqref="I59" start="0" length="0">
    <dxf>
      <fill>
        <patternFill>
          <bgColor rgb="FFC6EFCE"/>
        </patternFill>
      </fill>
    </dxf>
  </rfmt>
  <rfmt sheetId="3" sqref="J59" start="0" length="0">
    <dxf>
      <fill>
        <patternFill>
          <bgColor rgb="FFC6EFCE"/>
        </patternFill>
      </fill>
    </dxf>
  </rfmt>
  <rfmt sheetId="3" sqref="K59" start="0" length="0">
    <dxf>
      <fill>
        <patternFill>
          <bgColor rgb="FFC6EFCE"/>
        </patternFill>
      </fill>
    </dxf>
  </rfmt>
  <rfmt sheetId="3" sqref="L59" start="0" length="0">
    <dxf>
      <fill>
        <patternFill>
          <bgColor rgb="FFC6EFCE"/>
        </patternFill>
      </fill>
    </dxf>
  </rfmt>
  <rfmt sheetId="3" sqref="M59" start="0" length="0">
    <dxf>
      <fill>
        <patternFill>
          <bgColor rgb="FFC6EFCE"/>
        </patternFill>
      </fill>
    </dxf>
  </rfmt>
  <rcc rId="9539" sId="3" odxf="1" dxf="1">
    <nc r="N59">
      <v>0</v>
    </nc>
    <odxf>
      <fill>
        <patternFill>
          <bgColor theme="0"/>
        </patternFill>
      </fill>
    </odxf>
    <ndxf>
      <fill>
        <patternFill>
          <bgColor rgb="FFC6EFCE"/>
        </patternFill>
      </fill>
    </ndxf>
  </rcc>
  <rfmt sheetId="3" sqref="O59" start="0" length="0">
    <dxf>
      <fill>
        <patternFill>
          <bgColor rgb="FFC6EFCE"/>
        </patternFill>
      </fill>
    </dxf>
  </rfmt>
  <rfmt sheetId="3" sqref="P59" start="0" length="0">
    <dxf>
      <fill>
        <patternFill>
          <bgColor rgb="FFC6EFCE"/>
        </patternFill>
      </fill>
    </dxf>
  </rfmt>
  <rfmt sheetId="3" sqref="Q59" start="0" length="0">
    <dxf>
      <fill>
        <patternFill>
          <bgColor rgb="FFC6EFCE"/>
        </patternFill>
      </fill>
    </dxf>
  </rfmt>
  <rfmt sheetId="3" sqref="R59" start="0" length="0">
    <dxf>
      <fill>
        <patternFill>
          <bgColor rgb="FFC6EFCE"/>
        </patternFill>
      </fill>
    </dxf>
  </rfmt>
  <rcc rId="9540" sId="3" odxf="1" dxf="1">
    <nc r="S59">
      <v>1</v>
    </nc>
    <odxf>
      <fill>
        <patternFill>
          <bgColor theme="0"/>
        </patternFill>
      </fill>
    </odxf>
    <ndxf>
      <fill>
        <patternFill>
          <bgColor rgb="FFC6EFCE"/>
        </patternFill>
      </fill>
    </ndxf>
  </rcc>
  <rcc rId="9541" sId="3" odxf="1" dxf="1">
    <nc r="T59">
      <v>2</v>
    </nc>
    <odxf>
      <fill>
        <patternFill>
          <bgColor theme="0"/>
        </patternFill>
      </fill>
    </odxf>
    <ndxf>
      <fill>
        <patternFill>
          <bgColor rgb="FFC6EFCE"/>
        </patternFill>
      </fill>
    </ndxf>
  </rcc>
  <rfmt sheetId="3" sqref="U59" start="0" length="0">
    <dxf>
      <fill>
        <patternFill>
          <bgColor rgb="FFC6EFCE"/>
        </patternFill>
      </fill>
    </dxf>
  </rfmt>
  <rcc rId="9542" sId="3">
    <nc r="V59" t="inlineStr">
      <is>
        <t>T1.10B14(1.00)</t>
      </is>
    </nc>
  </rcc>
  <rfmt sheetId="3" sqref="B60" start="0" length="0">
    <dxf>
      <fill>
        <patternFill>
          <bgColor rgb="FFC6EFCE"/>
        </patternFill>
      </fill>
    </dxf>
  </rfmt>
  <rfmt sheetId="3" sqref="C60" start="0" length="0">
    <dxf>
      <fill>
        <patternFill>
          <bgColor rgb="FFC6EFCE"/>
        </patternFill>
      </fill>
    </dxf>
  </rfmt>
  <rfmt sheetId="3" sqref="D60" start="0" length="0">
    <dxf>
      <fill>
        <patternFill>
          <bgColor rgb="FFC6EFCE"/>
        </patternFill>
      </fill>
    </dxf>
  </rfmt>
  <rfmt sheetId="3" sqref="E60" start="0" length="0">
    <dxf>
      <fill>
        <patternFill>
          <bgColor rgb="FFC6EFCE"/>
        </patternFill>
      </fill>
    </dxf>
  </rfmt>
  <rfmt sheetId="3" sqref="F60" start="0" length="0">
    <dxf>
      <fill>
        <patternFill>
          <bgColor rgb="FFC6EFCE"/>
        </patternFill>
      </fill>
    </dxf>
  </rfmt>
  <rfmt sheetId="3" sqref="G60" start="0" length="0">
    <dxf>
      <fill>
        <patternFill>
          <bgColor rgb="FFC6EFCE"/>
        </patternFill>
      </fill>
    </dxf>
  </rfmt>
  <rfmt sheetId="3" sqref="H60" start="0" length="0">
    <dxf>
      <fill>
        <patternFill>
          <bgColor rgb="FFC6EFCE"/>
        </patternFill>
      </fill>
    </dxf>
  </rfmt>
  <rfmt sheetId="3" sqref="I60" start="0" length="0">
    <dxf>
      <fill>
        <patternFill>
          <bgColor rgb="FFC6EFCE"/>
        </patternFill>
      </fill>
    </dxf>
  </rfmt>
  <rfmt sheetId="3" sqref="J60" start="0" length="0">
    <dxf>
      <fill>
        <patternFill>
          <bgColor rgb="FFC6EFCE"/>
        </patternFill>
      </fill>
    </dxf>
  </rfmt>
  <rfmt sheetId="3" sqref="K60" start="0" length="0">
    <dxf>
      <fill>
        <patternFill>
          <bgColor rgb="FFC6EFCE"/>
        </patternFill>
      </fill>
    </dxf>
  </rfmt>
  <rfmt sheetId="3" sqref="L60" start="0" length="0">
    <dxf>
      <fill>
        <patternFill>
          <bgColor rgb="FFC6EFCE"/>
        </patternFill>
      </fill>
    </dxf>
  </rfmt>
  <rfmt sheetId="3" sqref="M60" start="0" length="0">
    <dxf>
      <fill>
        <patternFill>
          <bgColor rgb="FFC6EFCE"/>
        </patternFill>
      </fill>
    </dxf>
  </rfmt>
  <rfmt sheetId="3" sqref="N60" start="0" length="0">
    <dxf>
      <fill>
        <patternFill>
          <bgColor rgb="FFC6EFCE"/>
        </patternFill>
      </fill>
    </dxf>
  </rfmt>
  <rcc rId="9543" sId="3" odxf="1" dxf="1">
    <nc r="O60">
      <v>3</v>
    </nc>
    <odxf>
      <fill>
        <patternFill>
          <bgColor theme="0"/>
        </patternFill>
      </fill>
    </odxf>
    <ndxf>
      <fill>
        <patternFill>
          <bgColor rgb="FFC6EFCE"/>
        </patternFill>
      </fill>
    </ndxf>
  </rcc>
  <rfmt sheetId="3" sqref="P60" start="0" length="0">
    <dxf>
      <fill>
        <patternFill>
          <bgColor rgb="FFC6EFCE"/>
        </patternFill>
      </fill>
    </dxf>
  </rfmt>
  <rfmt sheetId="3" sqref="Q60" start="0" length="0">
    <dxf>
      <fill>
        <patternFill>
          <bgColor rgb="FFC6EFCE"/>
        </patternFill>
      </fill>
    </dxf>
  </rfmt>
  <rfmt sheetId="3" sqref="R60" start="0" length="0">
    <dxf>
      <fill>
        <patternFill>
          <bgColor rgb="FFC6EFCE"/>
        </patternFill>
      </fill>
    </dxf>
  </rfmt>
  <rfmt sheetId="3" sqref="S60" start="0" length="0">
    <dxf>
      <fill>
        <patternFill>
          <bgColor rgb="FFC6EFCE"/>
        </patternFill>
      </fill>
    </dxf>
  </rfmt>
  <rfmt sheetId="3" sqref="T60" start="0" length="0">
    <dxf>
      <fill>
        <patternFill>
          <bgColor rgb="FFC6EFCE"/>
        </patternFill>
      </fill>
    </dxf>
  </rfmt>
  <rfmt sheetId="3" sqref="U60" start="0" length="0">
    <dxf>
      <fill>
        <patternFill>
          <bgColor rgb="FFC6EFCE"/>
        </patternFill>
      </fill>
    </dxf>
  </rfmt>
  <rcc rId="9544" sId="3">
    <nc r="V60" t="inlineStr">
      <is>
        <t>T1.10B14(1.00)</t>
      </is>
    </nc>
  </rcc>
  <rfmt sheetId="3" sqref="B61" start="0" length="0">
    <dxf>
      <fill>
        <patternFill>
          <bgColor rgb="FFC6EFCE"/>
        </patternFill>
      </fill>
    </dxf>
  </rfmt>
  <rfmt sheetId="3" sqref="C61" start="0" length="0">
    <dxf>
      <fill>
        <patternFill>
          <bgColor rgb="FFC6EFCE"/>
        </patternFill>
      </fill>
    </dxf>
  </rfmt>
  <rfmt sheetId="3" sqref="D61" start="0" length="0">
    <dxf>
      <fill>
        <patternFill>
          <bgColor rgb="FFC6EFCE"/>
        </patternFill>
      </fill>
    </dxf>
  </rfmt>
  <rfmt sheetId="3" sqref="E61" start="0" length="0">
    <dxf>
      <fill>
        <patternFill>
          <bgColor rgb="FFC6EFCE"/>
        </patternFill>
      </fill>
    </dxf>
  </rfmt>
  <rfmt sheetId="3" sqref="F61" start="0" length="0">
    <dxf>
      <fill>
        <patternFill>
          <bgColor rgb="FFC6EFCE"/>
        </patternFill>
      </fill>
    </dxf>
  </rfmt>
  <rfmt sheetId="3" sqref="G61" start="0" length="0">
    <dxf>
      <fill>
        <patternFill>
          <bgColor rgb="FFC6EFCE"/>
        </patternFill>
      </fill>
    </dxf>
  </rfmt>
  <rfmt sheetId="3" sqref="H61" start="0" length="0">
    <dxf>
      <fill>
        <patternFill>
          <bgColor rgb="FFC6EFCE"/>
        </patternFill>
      </fill>
    </dxf>
  </rfmt>
  <rfmt sheetId="3" sqref="I61" start="0" length="0">
    <dxf>
      <fill>
        <patternFill>
          <bgColor rgb="FFC6EFCE"/>
        </patternFill>
      </fill>
    </dxf>
  </rfmt>
  <rfmt sheetId="3" sqref="J61" start="0" length="0">
    <dxf>
      <fill>
        <patternFill>
          <bgColor rgb="FFC6EFCE"/>
        </patternFill>
      </fill>
    </dxf>
  </rfmt>
  <rfmt sheetId="3" sqref="K61" start="0" length="0">
    <dxf>
      <fill>
        <patternFill>
          <bgColor rgb="FFC6EFCE"/>
        </patternFill>
      </fill>
    </dxf>
  </rfmt>
  <rfmt sheetId="3" sqref="L61" start="0" length="0">
    <dxf>
      <fill>
        <patternFill>
          <bgColor rgb="FFC6EFCE"/>
        </patternFill>
      </fill>
    </dxf>
  </rfmt>
  <rfmt sheetId="3" sqref="M61" start="0" length="0">
    <dxf>
      <fill>
        <patternFill>
          <bgColor rgb="FFC6EFCE"/>
        </patternFill>
      </fill>
    </dxf>
  </rfmt>
  <rfmt sheetId="3" sqref="N61" start="0" length="0">
    <dxf>
      <fill>
        <patternFill>
          <bgColor rgb="FFC6EFCE"/>
        </patternFill>
      </fill>
    </dxf>
  </rfmt>
  <rfmt sheetId="3" sqref="O61" start="0" length="0">
    <dxf>
      <fill>
        <patternFill>
          <bgColor rgb="FFC6EFCE"/>
        </patternFill>
      </fill>
    </dxf>
  </rfmt>
  <rfmt sheetId="3" sqref="P61" start="0" length="0">
    <dxf>
      <fill>
        <patternFill>
          <bgColor rgb="FFC6EFCE"/>
        </patternFill>
      </fill>
    </dxf>
  </rfmt>
  <rfmt sheetId="3" sqref="Q61" start="0" length="0">
    <dxf>
      <fill>
        <patternFill>
          <bgColor rgb="FFC6EFCE"/>
        </patternFill>
      </fill>
    </dxf>
  </rfmt>
  <rfmt sheetId="3" sqref="R61" start="0" length="0">
    <dxf>
      <fill>
        <patternFill>
          <bgColor rgb="FFC6EFCE"/>
        </patternFill>
      </fill>
    </dxf>
  </rfmt>
  <rfmt sheetId="3" sqref="S61" start="0" length="0">
    <dxf>
      <fill>
        <patternFill>
          <bgColor rgb="FFC6EFCE"/>
        </patternFill>
      </fill>
    </dxf>
  </rfmt>
  <rfmt sheetId="3" sqref="T61" start="0" length="0">
    <dxf>
      <fill>
        <patternFill>
          <bgColor rgb="FFC6EFCE"/>
        </patternFill>
      </fill>
    </dxf>
  </rfmt>
  <rfmt sheetId="3" sqref="U61" start="0" length="0">
    <dxf>
      <fill>
        <patternFill>
          <bgColor rgb="FFC6EFCE"/>
        </patternFill>
      </fill>
    </dxf>
  </rfmt>
  <rcc rId="9545" sId="3">
    <nc r="V61" t="inlineStr">
      <is>
        <t>T1.10B14(1.00)</t>
      </is>
    </nc>
  </rcc>
  <rcc rId="9546" sId="3" numFmtId="19">
    <nc r="A59">
      <v>41765</v>
    </nc>
  </rcc>
  <rcc rId="9547" sId="3" numFmtId="19">
    <nc r="A60">
      <v>41766</v>
    </nc>
  </rcc>
  <rcc rId="9548" sId="3" numFmtId="19">
    <nc r="A61">
      <v>41767</v>
    </nc>
  </rcc>
  <rcc rId="9549" sId="3">
    <nc r="X59" t="inlineStr">
      <is>
        <t xml:space="preserve">All units have valid video and audio output.
TX CC errors on PID 2905 on all units, uplink issue
MPE warning on unit 113
Video warning on unit 120
AUD warnings on a few units. 
</t>
      </is>
    </nc>
  </rcc>
  <rcc rId="9550" sId="3">
    <nc r="B59">
      <v>5</v>
    </nc>
  </rcc>
  <rcc rId="9551" sId="3">
    <nc r="C59">
      <v>16</v>
    </nc>
  </rcc>
  <rcc rId="9552" sId="3">
    <nc r="D59">
      <v>37</v>
    </nc>
  </rcc>
  <rcc rId="9553" sId="3">
    <nc r="E59">
      <v>25</v>
    </nc>
  </rcc>
  <rcc rId="9554" sId="3">
    <nc r="F59">
      <v>15</v>
    </nc>
  </rcc>
  <rcc rId="9555" sId="3">
    <nc r="G59">
      <v>4</v>
    </nc>
  </rcc>
  <rcc rId="9556" sId="3">
    <nc r="H59">
      <v>4</v>
    </nc>
  </rcc>
  <rcc rId="9557" sId="3">
    <nc r="I59">
      <v>8</v>
    </nc>
  </rcc>
  <rcc rId="9558" sId="3">
    <nc r="J59">
      <v>8</v>
    </nc>
  </rcc>
  <rcc rId="9559" sId="3">
    <nc r="K59">
      <v>0</v>
    </nc>
  </rcc>
  <rcc rId="9560" sId="3">
    <nc r="L59">
      <v>0</v>
    </nc>
  </rcc>
  <rcc rId="9561" sId="3">
    <nc r="M59">
      <v>0</v>
    </nc>
  </rcc>
  <rcc rId="9562" sId="3">
    <nc r="O59">
      <v>2</v>
    </nc>
  </rcc>
  <rcc rId="9563" sId="3">
    <nc r="P59">
      <v>4</v>
    </nc>
  </rcc>
  <rcc rId="9564" sId="3">
    <nc r="Q59">
      <v>2</v>
    </nc>
  </rcc>
  <rcc rId="9565" sId="3">
    <nc r="R59">
      <v>11</v>
    </nc>
  </rcc>
  <rcc rId="9566" sId="3">
    <nc r="U59">
      <v>7</v>
    </nc>
  </rcc>
  <rcc rId="9567" sId="3">
    <nc r="W59" t="inlineStr">
      <is>
        <t>Pass</t>
      </is>
    </nc>
  </rcc>
  <rcc rId="9568" sId="3">
    <nc r="X60" t="inlineStr">
      <is>
        <t xml:space="preserve">All units have valid video and audio output.
VID warnings on most units
MPE warnings on most units 
TX CC errors on PID 2801 on all units, uplink issue
AUD2 warnings on all units, issue CSCuh61762
MC Asserts on several units
</t>
      </is>
    </nc>
  </rcc>
  <rcc rId="9569" sId="3">
    <nc r="B60">
      <v>6</v>
    </nc>
  </rcc>
  <rcc rId="9570" sId="3">
    <nc r="C60">
      <v>3</v>
    </nc>
  </rcc>
  <rcc rId="9571" sId="3">
    <nc r="D60">
      <v>5</v>
    </nc>
  </rcc>
  <rcc rId="9572" sId="3">
    <nc r="E60">
      <v>27</v>
    </nc>
  </rcc>
  <rcc rId="9573" sId="3">
    <nc r="F60">
      <v>13</v>
    </nc>
  </rcc>
  <rcc rId="9574" sId="3">
    <nc r="G60">
      <v>35</v>
    </nc>
  </rcc>
  <rcc rId="9575" sId="3">
    <nc r="H60">
      <v>35</v>
    </nc>
  </rcc>
  <rcc rId="9576" sId="3">
    <nc r="I60">
      <v>36</v>
    </nc>
  </rcc>
  <rcc rId="9577" sId="3">
    <nc r="J60">
      <v>36</v>
    </nc>
  </rcc>
  <rcc rId="9578" sId="3">
    <nc r="K60">
      <v>0</v>
    </nc>
  </rcc>
  <rcc rId="9579" sId="3">
    <nc r="L60">
      <v>0</v>
    </nc>
  </rcc>
  <rcc rId="9580" sId="3">
    <nc r="M60">
      <v>0</v>
    </nc>
  </rcc>
  <rcc rId="9581" sId="3">
    <nc r="N60">
      <v>0</v>
    </nc>
  </rcc>
  <rcc rId="9582" sId="3">
    <nc r="P60">
      <v>0</v>
    </nc>
  </rcc>
  <rcc rId="9583" sId="3">
    <nc r="Q60">
      <v>4</v>
    </nc>
  </rcc>
  <rcc rId="9584" sId="3">
    <nc r="R60">
      <v>5</v>
    </nc>
  </rcc>
  <rcc rId="9585" sId="3">
    <nc r="S60">
      <v>1</v>
    </nc>
  </rcc>
  <rcc rId="9586" sId="3">
    <nc r="T60">
      <v>1</v>
    </nc>
  </rcc>
  <rcc rId="9587" sId="3">
    <nc r="U60">
      <v>7</v>
    </nc>
  </rcc>
  <rcc rId="9588" sId="3">
    <nc r="X61" t="inlineStr">
      <is>
        <t xml:space="preserve">All units have valid video and audio output.
MPE warning on units 
Video warning on unit 102, 105, 112
AUD2 warnings on all units, issue CSCuh61762
MC Asserts on most units
</t>
      </is>
    </nc>
  </rcc>
  <rcc rId="9589" sId="3">
    <nc r="W60" t="inlineStr">
      <is>
        <t>C. Pass</t>
      </is>
    </nc>
  </rcc>
  <rcc rId="9590" sId="3">
    <nc r="W61" t="inlineStr">
      <is>
        <t>C. Pass</t>
      </is>
    </nc>
  </rcc>
  <rcc rId="9591" sId="3">
    <nc r="B61">
      <v>13</v>
    </nc>
  </rcc>
  <rcc rId="9592" sId="3">
    <nc r="C61">
      <v>1</v>
    </nc>
  </rcc>
  <rcc rId="9593" sId="3">
    <nc r="D61">
      <v>36</v>
    </nc>
  </rcc>
  <rcc rId="9594" sId="3">
    <nc r="E61">
      <v>23</v>
    </nc>
  </rcc>
  <rcc rId="9595" sId="3">
    <nc r="F61">
      <v>14</v>
    </nc>
  </rcc>
  <rcc rId="9596" sId="3">
    <nc r="G61">
      <v>3</v>
    </nc>
  </rcc>
  <rcc rId="9597" sId="3">
    <nc r="H61">
      <v>26</v>
    </nc>
  </rcc>
  <rcc rId="9598" sId="3">
    <nc r="I61">
      <v>0</v>
    </nc>
  </rcc>
  <rcc rId="9599" sId="3">
    <nc r="J61">
      <v>0</v>
    </nc>
  </rcc>
  <rcc rId="9600" sId="3">
    <nc r="K61">
      <v>0</v>
    </nc>
  </rcc>
  <rcc rId="9601" sId="3">
    <nc r="L61">
      <v>0</v>
    </nc>
  </rcc>
  <rcc rId="9602" sId="3">
    <nc r="M61">
      <v>0</v>
    </nc>
  </rcc>
  <rcc rId="9603" sId="3">
    <nc r="N61">
      <v>0</v>
    </nc>
  </rcc>
  <rcc rId="9604" sId="3">
    <nc r="O61">
      <v>2</v>
    </nc>
  </rcc>
  <rcc rId="9605" sId="3">
    <nc r="P61">
      <v>0</v>
    </nc>
  </rcc>
  <rcc rId="9606" sId="3">
    <nc r="Q61">
      <v>4</v>
    </nc>
  </rcc>
  <rcc rId="9607" sId="3">
    <nc r="R61">
      <v>11</v>
    </nc>
  </rcc>
  <rcc rId="9608" sId="3">
    <nc r="S61">
      <v>2</v>
    </nc>
  </rcc>
  <rcc rId="9609" sId="3">
    <nc r="T61">
      <v>1</v>
    </nc>
  </rcc>
  <rcc rId="9610" sId="3">
    <nc r="U61">
      <v>5</v>
    </nc>
  </rcc>
  <rcc rId="9611" sId="3" odxf="1" dxf="1">
    <nc r="B62">
      <v>13</v>
    </nc>
    <odxf>
      <fill>
        <patternFill>
          <bgColor theme="0"/>
        </patternFill>
      </fill>
    </odxf>
    <ndxf>
      <fill>
        <patternFill>
          <bgColor rgb="FFC6EFCE"/>
        </patternFill>
      </fill>
    </ndxf>
  </rcc>
  <rcc rId="9612" sId="3" odxf="1" dxf="1">
    <nc r="C62">
      <v>1</v>
    </nc>
    <odxf>
      <fill>
        <patternFill>
          <bgColor theme="0"/>
        </patternFill>
      </fill>
    </odxf>
    <ndxf>
      <fill>
        <patternFill>
          <bgColor rgb="FFC6EFCE"/>
        </patternFill>
      </fill>
    </ndxf>
  </rcc>
  <rcc rId="9613" sId="3" odxf="1" dxf="1">
    <nc r="D62">
      <v>36</v>
    </nc>
    <odxf>
      <fill>
        <patternFill>
          <bgColor theme="0"/>
        </patternFill>
      </fill>
    </odxf>
    <ndxf>
      <fill>
        <patternFill>
          <bgColor rgb="FFC6EFCE"/>
        </patternFill>
      </fill>
    </ndxf>
  </rcc>
  <rcc rId="9614" sId="3" odxf="1" dxf="1">
    <nc r="E62">
      <v>23</v>
    </nc>
    <odxf>
      <fill>
        <patternFill>
          <bgColor theme="0"/>
        </patternFill>
      </fill>
    </odxf>
    <ndxf>
      <fill>
        <patternFill>
          <bgColor rgb="FFC6EFCE"/>
        </patternFill>
      </fill>
    </ndxf>
  </rcc>
  <rcc rId="9615" sId="3" odxf="1" dxf="1">
    <nc r="F62">
      <v>14</v>
    </nc>
    <odxf>
      <fill>
        <patternFill>
          <bgColor theme="0"/>
        </patternFill>
      </fill>
    </odxf>
    <ndxf>
      <fill>
        <patternFill>
          <bgColor rgb="FFC6EFCE"/>
        </patternFill>
      </fill>
    </ndxf>
  </rcc>
  <rcc rId="9616" sId="3" odxf="1" dxf="1">
    <nc r="G62">
      <v>3</v>
    </nc>
    <odxf>
      <fill>
        <patternFill>
          <bgColor theme="0"/>
        </patternFill>
      </fill>
    </odxf>
    <ndxf>
      <fill>
        <patternFill>
          <bgColor rgb="FFC6EFCE"/>
        </patternFill>
      </fill>
    </ndxf>
  </rcc>
  <rcc rId="9617" sId="3" odxf="1" dxf="1">
    <nc r="H62">
      <v>26</v>
    </nc>
    <odxf>
      <fill>
        <patternFill>
          <bgColor theme="0"/>
        </patternFill>
      </fill>
    </odxf>
    <ndxf>
      <fill>
        <patternFill>
          <bgColor rgb="FFC6EFCE"/>
        </patternFill>
      </fill>
    </ndxf>
  </rcc>
  <rcc rId="9618" sId="3" odxf="1" dxf="1">
    <nc r="I62">
      <v>0</v>
    </nc>
    <odxf>
      <fill>
        <patternFill>
          <bgColor theme="0"/>
        </patternFill>
      </fill>
    </odxf>
    <ndxf>
      <fill>
        <patternFill>
          <bgColor rgb="FFC6EFCE"/>
        </patternFill>
      </fill>
    </ndxf>
  </rcc>
  <rcc rId="9619" sId="3" odxf="1" dxf="1">
    <nc r="J62">
      <v>0</v>
    </nc>
    <odxf>
      <fill>
        <patternFill>
          <bgColor theme="0"/>
        </patternFill>
      </fill>
    </odxf>
    <ndxf>
      <fill>
        <patternFill>
          <bgColor rgb="FFC6EFCE"/>
        </patternFill>
      </fill>
    </ndxf>
  </rcc>
  <rcc rId="9620" sId="3" odxf="1" dxf="1">
    <nc r="K62">
      <v>0</v>
    </nc>
    <odxf>
      <fill>
        <patternFill>
          <bgColor theme="0"/>
        </patternFill>
      </fill>
    </odxf>
    <ndxf>
      <fill>
        <patternFill>
          <bgColor rgb="FFC6EFCE"/>
        </patternFill>
      </fill>
    </ndxf>
  </rcc>
  <rcc rId="9621" sId="3" odxf="1" dxf="1">
    <nc r="L62">
      <v>0</v>
    </nc>
    <odxf>
      <fill>
        <patternFill>
          <bgColor theme="0"/>
        </patternFill>
      </fill>
    </odxf>
    <ndxf>
      <fill>
        <patternFill>
          <bgColor rgb="FFC6EFCE"/>
        </patternFill>
      </fill>
    </ndxf>
  </rcc>
  <rcc rId="9622" sId="3" odxf="1" dxf="1">
    <nc r="M62">
      <v>0</v>
    </nc>
    <odxf>
      <fill>
        <patternFill>
          <bgColor theme="0"/>
        </patternFill>
      </fill>
    </odxf>
    <ndxf>
      <fill>
        <patternFill>
          <bgColor rgb="FFC6EFCE"/>
        </patternFill>
      </fill>
    </ndxf>
  </rcc>
  <rcc rId="9623" sId="3" odxf="1" dxf="1">
    <nc r="N62">
      <v>0</v>
    </nc>
    <odxf>
      <fill>
        <patternFill>
          <bgColor theme="0"/>
        </patternFill>
      </fill>
    </odxf>
    <ndxf>
      <fill>
        <patternFill>
          <bgColor rgb="FFC6EFCE"/>
        </patternFill>
      </fill>
    </ndxf>
  </rcc>
  <rcc rId="9624" sId="3" odxf="1" dxf="1">
    <nc r="O62">
      <v>2</v>
    </nc>
    <odxf>
      <fill>
        <patternFill>
          <bgColor theme="0"/>
        </patternFill>
      </fill>
    </odxf>
    <ndxf>
      <fill>
        <patternFill>
          <bgColor rgb="FFC6EFCE"/>
        </patternFill>
      </fill>
    </ndxf>
  </rcc>
  <rcc rId="9625" sId="3" odxf="1" dxf="1">
    <nc r="P62">
      <v>0</v>
    </nc>
    <odxf>
      <fill>
        <patternFill>
          <bgColor theme="0"/>
        </patternFill>
      </fill>
    </odxf>
    <ndxf>
      <fill>
        <patternFill>
          <bgColor rgb="FFC6EFCE"/>
        </patternFill>
      </fill>
    </ndxf>
  </rcc>
  <rcc rId="9626" sId="3" odxf="1" dxf="1">
    <nc r="Q62">
      <v>4</v>
    </nc>
    <odxf>
      <fill>
        <patternFill>
          <bgColor theme="0"/>
        </patternFill>
      </fill>
    </odxf>
    <ndxf>
      <fill>
        <patternFill>
          <bgColor rgb="FFC6EFCE"/>
        </patternFill>
      </fill>
    </ndxf>
  </rcc>
  <rcc rId="9627" sId="3" odxf="1" dxf="1">
    <nc r="R62">
      <v>11</v>
    </nc>
    <odxf>
      <fill>
        <patternFill>
          <bgColor theme="0"/>
        </patternFill>
      </fill>
    </odxf>
    <ndxf>
      <fill>
        <patternFill>
          <bgColor rgb="FFC6EFCE"/>
        </patternFill>
      </fill>
    </ndxf>
  </rcc>
  <rcc rId="9628" sId="3" odxf="1" dxf="1">
    <nc r="S62">
      <v>2</v>
    </nc>
    <odxf>
      <fill>
        <patternFill>
          <bgColor theme="0"/>
        </patternFill>
      </fill>
    </odxf>
    <ndxf>
      <fill>
        <patternFill>
          <bgColor rgb="FFC6EFCE"/>
        </patternFill>
      </fill>
    </ndxf>
  </rcc>
  <rcc rId="9629" sId="3" odxf="1" dxf="1">
    <nc r="T62">
      <v>1</v>
    </nc>
    <odxf>
      <fill>
        <patternFill>
          <bgColor theme="0"/>
        </patternFill>
      </fill>
    </odxf>
    <ndxf>
      <fill>
        <patternFill>
          <bgColor rgb="FFC6EFCE"/>
        </patternFill>
      </fill>
    </ndxf>
  </rcc>
  <rcc rId="9630" sId="3" odxf="1" dxf="1">
    <nc r="U62">
      <v>5</v>
    </nc>
    <odxf>
      <fill>
        <patternFill>
          <bgColor theme="0"/>
        </patternFill>
      </fill>
    </odxf>
    <ndxf>
      <fill>
        <patternFill>
          <bgColor rgb="FFC6EFCE"/>
        </patternFill>
      </fill>
    </ndxf>
  </rcc>
  <rcc rId="9631" sId="3">
    <nc r="V62" t="inlineStr">
      <is>
        <t>T1.10B14(1.00)</t>
      </is>
    </nc>
  </rcc>
  <rcc rId="9632" sId="3" numFmtId="19">
    <nc r="A62">
      <v>41768</v>
    </nc>
  </rcc>
  <rcc rId="9633" sId="3">
    <nc r="W62" t="inlineStr">
      <is>
        <t>C. Pass</t>
      </is>
    </nc>
  </rcc>
  <rcc rId="9634" sId="3">
    <nc r="X62" t="inlineStr">
      <is>
        <t xml:space="preserve">All units have valid video and audio output.
MPE warning on units 
Video warning on unit 102, 105, 112
AUD2 warnings on all units, issue CSCuh61762
MC Asserts on most units
</t>
      </is>
    </nc>
  </rcc>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635" sId="3">
    <oc r="X62" t="inlineStr">
      <is>
        <t xml:space="preserve">All units have valid video and audio output.
MPE warning on units 
Video warning on unit 102, 105, 112
AUD2 warnings on all units, issue CSCuh61762
MC Asserts on most units
</t>
      </is>
    </oc>
    <nc r="X62" t="inlineStr">
      <is>
        <t xml:space="preserve">All units have valid video and audio output.
MPE warning on a few units 
TX CC errors on PID 2901, 2801 on most units, uplink issue
AUD2 warnings on a few units, issue CSCuh61762
VBI warnings on most units
FE asserts on unit 111, 122
</t>
      </is>
    </nc>
  </rcc>
  <rcc rId="9636" sId="3">
    <oc r="W62" t="inlineStr">
      <is>
        <t>C. Pass</t>
      </is>
    </oc>
    <nc r="W62" t="inlineStr">
      <is>
        <t>Pass</t>
      </is>
    </nc>
  </rcc>
  <rcc rId="9637" sId="3">
    <oc r="B62">
      <v>13</v>
    </oc>
    <nc r="B62">
      <v>14</v>
    </nc>
  </rcc>
  <rcc rId="9638" sId="3">
    <oc r="C62">
      <v>1</v>
    </oc>
    <nc r="C62">
      <v>15</v>
    </nc>
  </rcc>
  <rcc rId="9639" sId="3">
    <oc r="D62">
      <v>36</v>
    </oc>
    <nc r="D62">
      <v>20</v>
    </nc>
  </rcc>
  <rcc rId="9640" sId="3">
    <oc r="E62">
      <v>23</v>
    </oc>
    <nc r="E62">
      <v>26</v>
    </nc>
  </rcc>
  <rcc rId="9641" sId="3">
    <oc r="F62">
      <v>14</v>
    </oc>
    <nc r="F62">
      <v>1</v>
    </nc>
  </rcc>
  <rcc rId="9642" sId="3">
    <oc r="G62">
      <v>3</v>
    </oc>
    <nc r="G62">
      <v>18</v>
    </nc>
  </rcc>
  <rcc rId="9643" sId="3">
    <oc r="H62">
      <v>26</v>
    </oc>
    <nc r="H62">
      <v>14</v>
    </nc>
  </rcc>
  <rcc rId="9644" sId="3">
    <oc r="O62">
      <v>2</v>
    </oc>
    <nc r="O62">
      <v>3</v>
    </nc>
  </rcc>
  <rcc rId="9645" sId="3">
    <oc r="P62">
      <v>0</v>
    </oc>
    <nc r="P62">
      <v>7</v>
    </nc>
  </rcc>
  <rcc rId="9646" sId="3">
    <oc r="Q62">
      <v>4</v>
    </oc>
    <nc r="Q62">
      <v>1</v>
    </nc>
  </rcc>
  <rcc rId="9647" sId="3">
    <oc r="R62">
      <v>11</v>
    </oc>
    <nc r="R62">
      <v>6</v>
    </nc>
  </rcc>
  <rcc rId="9648" sId="3">
    <oc r="S62">
      <v>2</v>
    </oc>
    <nc r="S62">
      <v>1</v>
    </nc>
  </rcc>
  <rcc rId="9649" sId="3">
    <oc r="T62">
      <v>1</v>
    </oc>
    <nc r="T62">
      <v>2</v>
    </nc>
  </rcc>
  <rcc rId="9650" sId="3">
    <oc r="U62">
      <v>5</v>
    </oc>
    <nc r="U62">
      <v>6</v>
    </nc>
  </rcc>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651" sId="4" numFmtId="19">
    <oc r="I2">
      <v>41757</v>
    </oc>
    <nc r="I2">
      <v>41768</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8" start="0" length="0">
    <dxf>
      <fill>
        <patternFill>
          <bgColor rgb="FFC6EFCE"/>
        </patternFill>
      </fill>
    </dxf>
  </rfmt>
  <rfmt sheetId="4" sqref="B9" start="0" length="0">
    <dxf>
      <fill>
        <patternFill>
          <bgColor rgb="FFCCFFCC"/>
        </patternFill>
      </fill>
    </dxf>
  </rfmt>
  <rfmt sheetId="4" sqref="B9" start="0" length="0">
    <dxf>
      <fill>
        <patternFill>
          <bgColor rgb="FFC6EFCE"/>
        </patternFill>
      </fill>
    </dxf>
  </rfmt>
  <rfmt sheetId="4" sqref="B10" start="0" length="0">
    <dxf>
      <fill>
        <patternFill>
          <bgColor rgb="FFCCFFCC"/>
        </patternFill>
      </fill>
    </dxf>
  </rfmt>
  <rfmt sheetId="4" sqref="B10" start="0" length="0">
    <dxf>
      <fill>
        <patternFill>
          <bgColor rgb="FFC6EFCE"/>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7" start="0" length="0">
    <dxf>
      <fill>
        <patternFill>
          <bgColor rgb="FFC6EFCE"/>
        </patternFill>
      </fill>
    </dxf>
  </rfmt>
  <rfmt sheetId="4" sqref="B18" start="0" length="0">
    <dxf>
      <fill>
        <patternFill>
          <bgColor rgb="FFCCFFCC"/>
        </patternFill>
      </fill>
    </dxf>
  </rfmt>
  <rfmt sheetId="4" sqref="B18" start="0" length="0">
    <dxf>
      <fill>
        <patternFill>
          <bgColor rgb="FFC6EFCE"/>
        </patternFill>
      </fill>
    </dxf>
  </rfmt>
  <rfmt sheetId="4" sqref="B20" start="0" length="0">
    <dxf>
      <fill>
        <patternFill>
          <bgColor rgb="FFCCFFCC"/>
        </patternFill>
      </fill>
    </dxf>
  </rfmt>
  <rfmt sheetId="4" sqref="B20" start="0" length="0">
    <dxf>
      <fill>
        <patternFill>
          <bgColor rgb="FFC6EFCE"/>
        </patternFill>
      </fill>
    </dxf>
  </rfmt>
  <rfmt sheetId="4" sqref="B23" start="0" length="0">
    <dxf>
      <fill>
        <patternFill>
          <bgColor rgb="FFCCFFCC"/>
        </patternFill>
      </fill>
    </dxf>
  </rfmt>
  <rfmt sheetId="4" sqref="B24" start="0" length="0">
    <dxf>
      <fill>
        <patternFill>
          <bgColor rgb="FFCCFFCC"/>
        </patternFill>
      </fill>
    </dxf>
  </rfmt>
  <rfmt sheetId="4" sqref="B24" start="0" length="0">
    <dxf>
      <fill>
        <patternFill>
          <bgColor rgb="FFC6EFCE"/>
        </patternFill>
      </fill>
    </dxf>
  </rfmt>
  <rcc rId="9652" sId="3" numFmtId="13">
    <oc r="B3">
      <v>0.76470588235294112</v>
    </oc>
    <nc r="B3">
      <v>0.47058823529411764</v>
    </nc>
  </rcc>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5" start="0" length="0">
    <dxf>
      <fill>
        <patternFill>
          <bgColor rgb="FFC6EFCE"/>
        </patternFill>
      </fill>
    </dxf>
  </rfmt>
  <rfmt sheetId="4" sqref="E6" start="0" length="0">
    <dxf>
      <fill>
        <patternFill>
          <bgColor rgb="FFCCFFCC"/>
        </patternFill>
      </fill>
    </dxf>
  </rfmt>
  <rfmt sheetId="4" sqref="E6" start="0" length="0">
    <dxf>
      <fill>
        <patternFill>
          <bgColor rgb="FFC6EFCE"/>
        </patternFill>
      </fill>
    </dxf>
  </rfmt>
  <rfmt sheetId="4" sqref="E7" start="0" length="0">
    <dxf>
      <fill>
        <patternFill>
          <bgColor rgb="FFCCFFCC"/>
        </patternFill>
      </fill>
    </dxf>
  </rfmt>
  <rfmt sheetId="4" sqref="E7" start="0" length="0">
    <dxf>
      <fill>
        <patternFill>
          <bgColor rgb="FFC6EFCE"/>
        </patternFill>
      </fill>
    </dxf>
  </rfmt>
  <rfmt sheetId="4" sqref="E10" start="0" length="0">
    <dxf>
      <fill>
        <patternFill>
          <bgColor rgb="FFCCFFCC"/>
        </patternFill>
      </fill>
    </dxf>
  </rfmt>
  <rfmt sheetId="4" sqref="E10" start="0" length="0">
    <dxf>
      <fill>
        <patternFill>
          <bgColor rgb="FFC6EFCE"/>
        </patternFill>
      </fill>
    </dxf>
  </rfmt>
  <rfmt sheetId="4" sqref="E11" start="0" length="0">
    <dxf>
      <fill>
        <patternFill>
          <bgColor rgb="FFCCFFCC"/>
        </patternFill>
      </fill>
    </dxf>
  </rfmt>
  <rfmt sheetId="4" sqref="E19" start="0" length="0">
    <dxf>
      <fill>
        <patternFill>
          <bgColor rgb="FFCCFFCC"/>
        </patternFill>
      </fill>
    </dxf>
  </rfmt>
  <rfmt sheetId="4" sqref="E19" start="0" length="0">
    <dxf>
      <fill>
        <patternFill>
          <bgColor rgb="FFC6EFCE"/>
        </patternFill>
      </fill>
    </dxf>
  </rfmt>
  <rfmt sheetId="4" sqref="E20" start="0" length="0">
    <dxf>
      <fill>
        <patternFill>
          <bgColor rgb="FFCCFFCC"/>
        </patternFill>
      </fill>
    </dxf>
  </rfmt>
  <rfmt sheetId="4" sqref="E20" start="0" length="0">
    <dxf>
      <fill>
        <patternFill>
          <bgColor rgb="FFC6EFCE"/>
        </patternFill>
      </fill>
    </dxf>
  </rfmt>
  <rfmt sheetId="4" sqref="E21" start="0" length="0">
    <dxf>
      <fill>
        <patternFill>
          <bgColor rgb="FFCCFFCC"/>
        </patternFill>
      </fill>
    </dxf>
  </rfmt>
  <rfmt sheetId="4" sqref="E21" start="0" length="0">
    <dxf>
      <fill>
        <patternFill>
          <bgColor rgb="FFC6EFCE"/>
        </patternFill>
      </fill>
    </dxf>
  </rfmt>
  <rfmt sheetId="4" sqref="E22" start="0" length="0">
    <dxf>
      <fill>
        <patternFill>
          <bgColor rgb="FFCCFFCC"/>
        </patternFill>
      </fill>
    </dxf>
  </rfmt>
  <rcc rId="9653" sId="3" numFmtId="13">
    <oc r="C3">
      <v>0.58333333333333337</v>
    </oc>
    <nc r="C3">
      <v>0.16666666666666666</v>
    </nc>
  </rcc>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M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J8" start="0" length="0">
    <dxf>
      <fill>
        <patternFill>
          <bgColor rgb="FFFFFFFF"/>
        </patternFill>
      </fill>
    </dxf>
  </rfmt>
  <rfmt sheetId="4" sqref="K8" start="0" length="0">
    <dxf>
      <fill>
        <patternFill>
          <bgColor rgb="FFFFFFFF"/>
        </patternFill>
      </fill>
    </dxf>
  </rfmt>
  <rfmt sheetId="4" sqref="L8" start="0" length="0">
    <dxf>
      <fill>
        <patternFill>
          <bgColor rgb="FFFFFFFF"/>
        </patternFill>
      </fill>
    </dxf>
  </rfmt>
  <rfmt sheetId="4" sqref="M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K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I5" start="0" length="0">
    <dxf>
      <fill>
        <patternFill>
          <bgColor rgb="FFC6EFCE"/>
        </patternFill>
      </fill>
    </dxf>
  </rfmt>
  <rfmt sheetId="4" sqref="J5" start="0" length="0">
    <dxf>
      <fill>
        <patternFill>
          <bgColor rgb="FFCCFFCC"/>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I6" start="0" length="0">
    <dxf>
      <fill>
        <patternFill>
          <bgColor rgb="FFC6EFCE"/>
        </patternFill>
      </fill>
    </dxf>
  </rfmt>
  <rfmt sheetId="4" sqref="J6" start="0" length="0">
    <dxf>
      <fill>
        <patternFill>
          <bgColor rgb="FFCCFFCC"/>
        </patternFill>
      </fill>
    </dxf>
  </rfmt>
  <rfmt sheetId="4" sqref="K6" start="0" length="0">
    <dxf>
      <fill>
        <patternFill>
          <bgColor rgb="FFCCFFCC"/>
        </patternFill>
      </fill>
    </dxf>
  </rfmt>
  <rfmt sheetId="4" sqref="L6" start="0" length="0">
    <dxf>
      <fill>
        <patternFill>
          <bgColor rgb="FFC6EFCE"/>
        </patternFill>
      </fill>
    </dxf>
  </rfmt>
  <rfmt sheetId="4" sqref="M6" start="0" length="0">
    <dxf>
      <fill>
        <patternFill>
          <bgColor rgb="FFCCFFCC"/>
        </patternFill>
      </fill>
    </dxf>
  </rfmt>
  <rfmt sheetId="4" sqref="N6" start="0" length="0">
    <dxf>
      <fill>
        <patternFill>
          <bgColor rgb="FFC6EFCE"/>
        </patternFill>
      </fill>
    </dxf>
  </rfmt>
  <rfmt sheetId="4" sqref="K7" start="0" length="0">
    <dxf>
      <fill>
        <patternFill>
          <bgColor rgb="FFCCFFCC"/>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J8" start="0" length="0">
    <dxf>
      <fill>
        <patternFill>
          <bgColor rgb="FFCCFFCC"/>
        </patternFill>
      </fill>
    </dxf>
  </rfmt>
  <rfmt sheetId="4" sqref="K8" start="0" length="0">
    <dxf>
      <fill>
        <patternFill>
          <bgColor rgb="FFCCFFCC"/>
        </patternFill>
      </fill>
    </dxf>
  </rfmt>
  <rfmt sheetId="4" sqref="K8" start="0" length="0">
    <dxf>
      <fill>
        <patternFill>
          <bgColor rgb="FFC6EFCE"/>
        </patternFill>
      </fill>
    </dxf>
  </rfmt>
  <rfmt sheetId="4" sqref="L8" start="0" length="0">
    <dxf>
      <fill>
        <patternFill>
          <bgColor rgb="FFCCFFCC"/>
        </patternFill>
      </fill>
    </dxf>
  </rfmt>
  <rfmt sheetId="4" sqref="M8" start="0" length="0">
    <dxf>
      <fill>
        <patternFill>
          <bgColor rgb="FFCCFFCC"/>
        </patternFill>
      </fill>
    </dxf>
  </rfmt>
  <rfmt sheetId="4" sqref="M8" start="0" length="0">
    <dxf>
      <fill>
        <patternFill>
          <bgColor rgb="FFC6EFCE"/>
        </patternFill>
      </fill>
    </dxf>
  </rfmt>
  <rfmt sheetId="4" sqref="N8" start="0" length="0">
    <dxf>
      <fill>
        <patternFill>
          <bgColor rgb="FFC6EFCE"/>
        </patternFill>
      </fill>
    </dxf>
  </rfmt>
  <rfmt sheetId="4" sqref="I9" start="0" length="0">
    <dxf>
      <fill>
        <patternFill>
          <bgColor rgb="FFCCFFCC"/>
        </patternFill>
      </fill>
    </dxf>
  </rfmt>
  <rfmt sheetId="4" sqref="I9" start="0" length="0">
    <dxf>
      <fill>
        <patternFill>
          <bgColor rgb="FFC6EFCE"/>
        </patternFill>
      </fill>
    </dxf>
  </rfmt>
  <rfmt sheetId="4" sqref="J9" start="0" length="0">
    <dxf>
      <fill>
        <patternFill>
          <bgColor rgb="FFCCFFCC"/>
        </patternFill>
      </fill>
    </dxf>
  </rfmt>
  <rfmt sheetId="4" sqref="J9" start="0" length="0">
    <dxf>
      <fill>
        <patternFill>
          <bgColor rgb="FFC6EFCE"/>
        </patternFill>
      </fill>
    </dxf>
  </rfmt>
  <rfmt sheetId="4" sqref="K9" start="0" length="0">
    <dxf>
      <fill>
        <patternFill>
          <bgColor rgb="FFCCFFCC"/>
        </patternFill>
      </fill>
    </dxf>
  </rfmt>
  <rfmt sheetId="4" sqref="L9" start="0" length="0">
    <dxf>
      <fill>
        <patternFill>
          <bgColor rgb="FFCCFFCC"/>
        </patternFill>
      </fill>
    </dxf>
  </rfmt>
  <rfmt sheetId="4" sqref="M9" start="0" length="0">
    <dxf>
      <fill>
        <patternFill>
          <bgColor rgb="FFCCFFCC"/>
        </patternFill>
      </fill>
    </dxf>
  </rfmt>
  <rfmt sheetId="4" sqref="M9" start="0" length="0">
    <dxf>
      <fill>
        <patternFill>
          <bgColor rgb="FFC6EFCE"/>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L10" start="0" length="0">
    <dxf>
      <fill>
        <patternFill>
          <bgColor rgb="FFCCFFCC"/>
        </patternFill>
      </fill>
    </dxf>
  </rfmt>
  <rfmt sheetId="4" sqref="M10" start="0" length="0">
    <dxf>
      <fill>
        <patternFill>
          <bgColor rgb="FFCCFFCC"/>
        </patternFill>
      </fill>
    </dxf>
  </rfmt>
  <rfmt sheetId="4" sqref="M10" start="0" length="0">
    <dxf>
      <fill>
        <patternFill>
          <bgColor rgb="FFC6EFCE"/>
        </patternFill>
      </fill>
    </dxf>
  </rfmt>
  <rfmt sheetId="4" sqref="N10" start="0" length="0">
    <dxf>
      <fill>
        <patternFill>
          <bgColor rgb="FFCCFFCC"/>
        </patternFill>
      </fill>
    </dxf>
  </rfmt>
  <rfmt sheetId="4" sqref="K12" start="0" length="0">
    <dxf>
      <fill>
        <patternFill>
          <bgColor rgb="FFCCFFCC"/>
        </patternFill>
      </fill>
    </dxf>
  </rfmt>
  <rfmt sheetId="4" sqref="L12" start="0" length="0">
    <dxf>
      <fill>
        <patternFill>
          <bgColor rgb="FFCCFFCC"/>
        </patternFill>
      </fill>
    </dxf>
  </rfmt>
  <rcc rId="9654" sId="3">
    <oc r="D5" t="inlineStr">
      <is>
        <t>1, 22, 25, 2, 20, 26, 3, 6, 9, 21, 37, 15, 40, 41, 42, 43, 44, 45, 48, 49</t>
      </is>
    </oc>
    <nc r="D5" t="inlineStr">
      <is>
        <t>1, 22, 25, 2, 3, 6, 9, 21, 15, 40, 41, 42, 43, 44, 45, 48, 49</t>
      </is>
    </nc>
  </rcc>
  <rcc rId="9655" sId="3" numFmtId="13">
    <oc r="D4">
      <v>0.59183673469387754</v>
    </oc>
    <nc r="D4">
      <v>0.65306122448979587</v>
    </nc>
  </rcc>
  <rcc rId="9656" sId="3" numFmtId="13">
    <oc r="D3">
      <v>0.55102040816326525</v>
    </oc>
    <nc r="D3">
      <v>0.42857142857142855</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I30"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K21" start="0" length="0">
    <dxf>
      <fill>
        <patternFill>
          <bgColor rgb="FFCCFFCC"/>
        </patternFill>
      </fill>
    </dxf>
  </rfmt>
  <rfmt sheetId="4" sqref="K21" start="0" length="0">
    <dxf>
      <fill>
        <patternFill>
          <bgColor rgb="FFC6EFCE"/>
        </patternFill>
      </fill>
    </dxf>
  </rfmt>
  <rfmt sheetId="4" sqref="H22" start="0" length="0">
    <dxf>
      <fill>
        <patternFill>
          <bgColor rgb="FFCCFFCC"/>
        </patternFill>
      </fill>
    </dxf>
  </rfmt>
  <rfmt sheetId="4" sqref="I22" start="0" length="0">
    <dxf>
      <fill>
        <patternFill>
          <bgColor rgb="FFCCFFCC"/>
        </patternFill>
      </fill>
    </dxf>
  </rfmt>
  <rfmt sheetId="4" sqref="J22" start="0" length="0">
    <dxf>
      <fill>
        <patternFill>
          <bgColor rgb="FFC6EFCE"/>
        </patternFill>
      </fill>
    </dxf>
  </rfmt>
  <rfmt sheetId="4" sqref="K22" start="0" length="0">
    <dxf>
      <fill>
        <patternFill>
          <bgColor rgb="FFC6EFCE"/>
        </patternFill>
      </fill>
    </dxf>
  </rfmt>
  <rfmt sheetId="4" sqref="J23" start="0" length="0">
    <dxf>
      <fill>
        <patternFill>
          <bgColor rgb="FFCCFFCC"/>
        </patternFill>
      </fill>
    </dxf>
  </rfmt>
  <rfmt sheetId="4" sqref="J23" start="0" length="0">
    <dxf>
      <fill>
        <patternFill>
          <bgColor rgb="FFC6EFCE"/>
        </patternFill>
      </fill>
    </dxf>
  </rfmt>
  <rfmt sheetId="4" sqref="J24" start="0" length="0">
    <dxf>
      <fill>
        <patternFill>
          <bgColor rgb="FFCCFFCC"/>
        </patternFill>
      </fill>
    </dxf>
  </rfmt>
  <rfmt sheetId="4" sqref="H25" start="0" length="0">
    <dxf>
      <fill>
        <patternFill>
          <bgColor rgb="FFCCFFCC"/>
        </patternFill>
      </fill>
    </dxf>
  </rfmt>
  <rfmt sheetId="4" sqref="H25" start="0" length="0">
    <dxf>
      <fill>
        <patternFill>
          <bgColor rgb="FFC6EFCE"/>
        </patternFill>
      </fill>
    </dxf>
  </rfmt>
  <rfmt sheetId="4" sqref="I25" start="0" length="0">
    <dxf>
      <fill>
        <patternFill>
          <bgColor rgb="FFCCFFCC"/>
        </patternFill>
      </fill>
    </dxf>
  </rfmt>
  <rfmt sheetId="4" sqref="J25" start="0" length="0">
    <dxf>
      <fill>
        <patternFill>
          <bgColor rgb="FFCCFFCC"/>
        </patternFill>
      </fill>
    </dxf>
  </rfmt>
  <rfmt sheetId="4" sqref="K25" start="0" length="0">
    <dxf>
      <fill>
        <patternFill>
          <bgColor rgb="FFCCFFCC"/>
        </patternFill>
      </fill>
    </dxf>
  </rfmt>
  <rfmt sheetId="4" sqref="H26" start="0" length="0">
    <dxf>
      <fill>
        <patternFill>
          <bgColor rgb="FFCCFFCC"/>
        </patternFill>
      </fill>
    </dxf>
  </rfmt>
  <rfmt sheetId="4" sqref="H26" start="0" length="0">
    <dxf>
      <fill>
        <patternFill>
          <bgColor rgb="FFC6EFCE"/>
        </patternFill>
      </fill>
    </dxf>
  </rfmt>
  <rfmt sheetId="4" sqref="H27" start="0" length="0">
    <dxf>
      <fill>
        <patternFill>
          <bgColor rgb="FFCCFFCC"/>
        </patternFill>
      </fill>
    </dxf>
  </rfmt>
  <rfmt sheetId="4" sqref="H27" start="0" length="0">
    <dxf>
      <fill>
        <patternFill>
          <bgColor rgb="FFC6EFCE"/>
        </patternFill>
      </fill>
    </dxf>
  </rfmt>
  <rfmt sheetId="4" sqref="I27" start="0" length="0">
    <dxf>
      <fill>
        <patternFill>
          <bgColor rgb="FFCCFFCC"/>
        </patternFill>
      </fill>
    </dxf>
  </rfmt>
  <rfmt sheetId="4" sqref="I27" start="0" length="0">
    <dxf>
      <fill>
        <patternFill>
          <bgColor rgb="FFC6EFCE"/>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I30" start="0" length="0">
    <dxf>
      <fill>
        <patternFill>
          <bgColor rgb="FFCCFFCC"/>
        </patternFill>
      </fill>
    </dxf>
  </rfmt>
  <rfmt sheetId="4" sqref="J30" start="0" length="0">
    <dxf>
      <fill>
        <patternFill>
          <bgColor rgb="FFCCFFCC"/>
        </patternFill>
      </fill>
    </dxf>
  </rfmt>
  <rfmt sheetId="4" sqref="J30" start="0" length="0">
    <dxf>
      <fill>
        <patternFill>
          <bgColor rgb="FFC6EFCE"/>
        </patternFill>
      </fill>
    </dxf>
  </rfmt>
  <rfmt sheetId="4" sqref="K30" start="0" length="0">
    <dxf>
      <fill>
        <patternFill>
          <bgColor rgb="FFCCFFCC"/>
        </patternFill>
      </fill>
    </dxf>
  </rfmt>
  <rfmt sheetId="4" sqref="J31" start="0" length="0">
    <dxf>
      <fill>
        <patternFill>
          <bgColor rgb="FFC6EFCE"/>
        </patternFill>
      </fill>
    </dxf>
  </rfmt>
  <rfmt sheetId="4" sqref="K31" start="0" length="0">
    <dxf>
      <fill>
        <patternFill>
          <bgColor rgb="FFCCFFCC"/>
        </patternFill>
      </fill>
    </dxf>
  </rfmt>
  <rfmt sheetId="4" sqref="I32" start="0" length="0">
    <dxf>
      <fill>
        <patternFill>
          <bgColor rgb="FFCCFFCC"/>
        </patternFill>
      </fill>
    </dxf>
  </rfmt>
  <rfmt sheetId="4" sqref="I32" start="0" length="0">
    <dxf>
      <fill>
        <patternFill>
          <bgColor rgb="FFC6EFCE"/>
        </patternFill>
      </fill>
    </dxf>
  </rfmt>
  <rfmt sheetId="4" sqref="J32" start="0" length="0">
    <dxf>
      <fill>
        <patternFill>
          <bgColor rgb="FFCCFFCC"/>
        </patternFill>
      </fill>
    </dxf>
  </rfmt>
  <rcc rId="9657" sId="3">
    <oc r="E5" t="inlineStr">
      <is>
        <t>1, 3, 5, 2, 4, 6, 7, 9, 11, 8, 10, 12, 16, 13, 14, 19, 21, 22, 26, 35, 36, 37, 40, 41, 45, 46, 49, 53</t>
      </is>
    </oc>
    <nc r="E5" t="inlineStr">
      <is>
        <t>1, 3, 5, 2, 4, 6, 7, 9, 11, 8, 10, 12, 16, 13, 14, 19, 21, 35, 36, 37, 40, 41, 45, 46, 49, 53</t>
      </is>
    </nc>
  </rcc>
  <rfmt sheetId="4" sqref="J33" start="0" length="0">
    <dxf>
      <fill>
        <patternFill>
          <bgColor rgb="FFCCFFCC"/>
        </patternFill>
      </fill>
    </dxf>
  </rfmt>
  <rcc rId="9658" sId="3" numFmtId="13">
    <oc r="E4">
      <v>0.47169811320754718</v>
    </oc>
    <nc r="E4">
      <v>0.50943396226415094</v>
    </nc>
  </rcc>
  <rcc rId="9659" sId="3" numFmtId="13">
    <oc r="E3">
      <v>0.43396226415094341</v>
    </oc>
    <nc r="E3">
      <v>0.30188679245283018</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N16" start="0" length="0">
    <dxf>
      <fill>
        <patternFill>
          <bgColor rgb="FFC6EFCE"/>
        </patternFill>
      </fill>
    </dxf>
  </rfmt>
  <rfmt sheetId="4" sqref="O16" start="0" length="0">
    <dxf>
      <fill>
        <patternFill>
          <bgColor rgb="FFCCFFCC"/>
        </patternFill>
      </fill>
    </dxf>
  </rfmt>
  <rfmt sheetId="4" sqref="O16" start="0" length="0">
    <dxf>
      <fill>
        <patternFill>
          <bgColor rgb="FFC6EFCE"/>
        </patternFill>
      </fill>
    </dxf>
  </rfmt>
  <rfmt sheetId="4" sqref="P16" start="0" length="0">
    <dxf>
      <fill>
        <patternFill>
          <bgColor rgb="FFCCFFCC"/>
        </patternFill>
      </fill>
    </dxf>
  </rfmt>
  <rfmt sheetId="4" sqref="P16" start="0" length="0">
    <dxf>
      <fill>
        <patternFill>
          <bgColor rgb="FFC6EFCE"/>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N18" start="0" length="0">
    <dxf>
      <fill>
        <patternFill>
          <bgColor rgb="FFC6EFCE"/>
        </patternFill>
      </fill>
    </dxf>
  </rfmt>
  <rfmt sheetId="4" sqref="O18" start="0" length="0">
    <dxf>
      <fill>
        <patternFill>
          <bgColor rgb="FFCCFFCC"/>
        </patternFill>
      </fill>
    </dxf>
  </rfmt>
  <rfmt sheetId="4" sqref="O18" start="0" length="0">
    <dxf>
      <fill>
        <patternFill>
          <bgColor rgb="FFC6EFCE"/>
        </patternFill>
      </fill>
    </dxf>
  </rfmt>
  <rfmt sheetId="4" sqref="P18" start="0" length="0">
    <dxf>
      <fill>
        <patternFill>
          <bgColor rgb="FFCCFFCC"/>
        </patternFill>
      </fill>
    </dxf>
  </rfmt>
  <rfmt sheetId="4" sqref="P18" start="0" length="0">
    <dxf>
      <fill>
        <patternFill>
          <bgColor rgb="FFC6EFCE"/>
        </patternFill>
      </fill>
    </dxf>
  </rfmt>
  <rfmt sheetId="4" sqref="N19" start="0" length="0">
    <dxf>
      <fill>
        <patternFill>
          <bgColor rgb="FFCCFFCC"/>
        </patternFill>
      </fill>
    </dxf>
  </rfmt>
  <rfmt sheetId="4" sqref="N19" start="0" length="0">
    <dxf>
      <fill>
        <patternFill>
          <bgColor rgb="FFC6EFCE"/>
        </patternFill>
      </fill>
    </dxf>
  </rfmt>
  <rfmt sheetId="4" sqref="O19" start="0" length="0">
    <dxf>
      <fill>
        <patternFill>
          <bgColor rgb="FFCCFFCC"/>
        </patternFill>
      </fill>
    </dxf>
  </rfmt>
  <rfmt sheetId="4" sqref="P19" start="0" length="0">
    <dxf>
      <fill>
        <patternFill>
          <bgColor rgb="FFCCFFCC"/>
        </patternFill>
      </fill>
    </dxf>
  </rfmt>
  <rfmt sheetId="4" sqref="P20" start="0" length="0">
    <dxf>
      <fill>
        <patternFill>
          <bgColor rgb="FFCCFFCC"/>
        </patternFill>
      </fill>
    </dxf>
  </rfmt>
  <rfmt sheetId="4" sqref="P20" start="0" length="0">
    <dxf>
      <fill>
        <patternFill>
          <bgColor rgb="FFC6EFCE"/>
        </patternFill>
      </fill>
    </dxf>
  </rfmt>
  <rfmt sheetId="4" sqref="P21" start="0" length="0">
    <dxf>
      <fill>
        <patternFill>
          <bgColor rgb="FFCCFFCC"/>
        </patternFill>
      </fill>
    </dxf>
  </rfmt>
  <rfmt sheetId="4" sqref="P21" start="0" length="0">
    <dxf>
      <fill>
        <patternFill>
          <bgColor rgb="FFC6EFCE"/>
        </patternFill>
      </fill>
    </dxf>
  </rfmt>
  <rcc rId="9660" sId="3" numFmtId="13">
    <oc r="F3">
      <v>0.9285714285714286</v>
    </oc>
    <nc r="F3">
      <v>0.35714285714285715</v>
    </nc>
  </rcc>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661" sId="3" numFmtId="13">
    <oc r="G3">
      <v>0.56756756756756754</v>
    </oc>
    <nc r="G3">
      <v>0.35135135135135137</v>
    </nc>
  </rcc>
  <rcc rId="9662" sId="3">
    <oc r="H5" t="inlineStr">
      <is>
        <t>4, 10, 12, 28, 30, 15, 14, 22, 24, 33, 34, 36</t>
      </is>
    </oc>
    <nc r="H5" t="inlineStr">
      <is>
        <t>10, 12, 30, 15, 22, 24, 33, 34, 36</t>
      </is>
    </nc>
  </rcc>
  <rcc rId="9663" sId="3" numFmtId="13">
    <oc r="H4">
      <v>0.67567567567567566</v>
    </oc>
    <nc r="H4">
      <v>0.7567567567567568</v>
    </nc>
  </rcc>
  <rcc rId="9664" sId="3" numFmtId="13">
    <oc r="H3">
      <v>0.6216216216216216</v>
    </oc>
    <nc r="H3">
      <v>0.45945945945945948</v>
    </nc>
  </rcc>
  <rcc rId="9665" sId="3">
    <oc r="I5" t="inlineStr">
      <is>
        <t>8, 2, 4, 10, 12, 25, 26, 37, 30, 19, 15, 16, 22, 32, 35</t>
      </is>
    </oc>
    <nc r="I5" t="inlineStr">
      <is>
        <t>2, 4, 10, 12, 25, 26, 37, 30, 19, 15, 22, 32, 35</t>
      </is>
    </nc>
  </rcc>
  <rcc rId="9666" sId="3" numFmtId="13">
    <oc r="I4">
      <v>0.59459459459459463</v>
    </oc>
    <nc r="I4">
      <v>0.64864864864864868</v>
    </nc>
  </rcc>
  <rcc rId="9667" sId="3" numFmtId="13">
    <oc r="I3">
      <v>0.54054054054054057</v>
    </oc>
    <nc r="I3">
      <v>0.43243243243243246</v>
    </nc>
  </rcc>
  <rcc rId="9668" sId="3">
    <oc r="J5" t="inlineStr">
      <is>
        <t>7, 8, 3, 2, 4, 9, 27, 28, 25, 37, 19, 15, 16, 22, 34, 32, 35</t>
      </is>
    </oc>
    <nc r="J5" t="inlineStr">
      <is>
        <t>7, 2, 4, 9, 27, 28, 25, 37, 19, 15, 34, 32, 35</t>
      </is>
    </nc>
  </rcc>
  <rcc rId="9669" sId="3" numFmtId="13">
    <oc r="J4">
      <v>0.54054054054054057</v>
    </oc>
    <nc r="J4">
      <v>0.64864864864864868</v>
    </nc>
  </rcc>
  <rcc rId="9670" sId="3" numFmtId="13">
    <oc r="J3">
      <v>0.48648648648648651</v>
    </oc>
    <nc r="J3">
      <v>0.43243243243243246</v>
    </nc>
  </rcc>
  <rcc rId="9671" sId="3">
    <oc r="K5" t="inlineStr">
      <is>
        <t>7, 6, 8, 3, 4, 9, 11, 27, 28, 25, 37, 29, 19, 20, 13, 15, 16, 21, 23, 34, 31, 32, 35, 36</t>
      </is>
    </oc>
    <nc r="K5" t="inlineStr">
      <is>
        <t>6, 8, 3, 4, 9, 11, 27, 28, 25, 37, 29, 19, 13, 15, 16, 21, 23, 34, 31, 32, 35, 36</t>
      </is>
    </nc>
  </rcc>
  <rcc rId="9672" sId="3" numFmtId="13">
    <oc r="K4">
      <v>0.35135135135135137</v>
    </oc>
    <nc r="K4">
      <v>0.40540540540540543</v>
    </nc>
  </rcc>
  <rcc rId="9673" sId="3" numFmtId="13">
    <oc r="K3">
      <v>0.29729729729729731</v>
    </oc>
    <nc r="K3">
      <v>0.24324324324324326</v>
    </nc>
  </rcc>
  <rcc rId="9674" sId="3">
    <oc r="L5" t="inlineStr">
      <is>
        <t>7, 6, 8, 1, 3, 4, 9, 11, 27, 28, 25, 37, 29, 17, 19, 20, 13, 15, 16, 21, 23, 34, 31, 32, 35, 36</t>
      </is>
    </oc>
    <nc r="L5" t="inlineStr">
      <is>
        <t>6, 8, 1, 3, 4, 9, 11, 27, 28, 25, 37, 29, 17, 19, 13, 15, 16, 21, 23, 34, 31, 32, 35, 36</t>
      </is>
    </nc>
  </rcc>
  <rcc rId="9675" sId="3" numFmtId="13">
    <oc r="L4">
      <v>0.29729729729729731</v>
    </oc>
    <nc r="L4">
      <v>0.35135135135135137</v>
    </nc>
  </rcc>
  <rcc rId="9676" sId="3" numFmtId="13">
    <oc r="L3">
      <v>0.27027027027027029</v>
    </oc>
    <nc r="L3">
      <v>0.21621621621621623</v>
    </nc>
  </rcc>
  <rcc rId="9677" sId="3">
    <oc r="M5" t="inlineStr">
      <is>
        <t>5, 7, 6, 8, 1, 3, 4, 9, 10, 11, 27, 28, 25, 26, 37, 29, 17, 19, 20, 13, 15, 16, 21, 23, 34, 31, 32, 35, 36</t>
      </is>
    </oc>
    <nc r="M5" t="inlineStr">
      <is>
        <t>5, 6, 8, 1, 3, 4, 9, 10, 11, 27, 28, 25, 26, 37, 29, 17, 19, 13, 15, 16, 21, 23, 34, 31, 32, 35, 36</t>
      </is>
    </nc>
  </rcc>
  <rcc rId="9678" sId="3" numFmtId="13">
    <oc r="M4">
      <v>0.21621621621621623</v>
    </oc>
    <nc r="M4">
      <v>0.27027027027027029</v>
    </nc>
  </rcc>
  <rcc rId="9679" sId="3">
    <oc r="N5" t="inlineStr">
      <is>
        <t>5, 7, 6, 8, 1, 3, 4, 9, 10, 11, 27, 28, 25, 26, 37, 29, 17, 19, 20, 13, 15, 16, 21, 23, 34, 31, 32, 35, 36</t>
      </is>
    </oc>
    <nc r="N5" t="inlineStr">
      <is>
        <t>5, 6, 8, 1, 3, 4, 9, 10, 11, 27, 28, 25, 26, 37, 29, 17, 19, 13, 15, 16, 21, 23, 34, 31, 32, 35, 36</t>
      </is>
    </nc>
  </rcc>
  <rcc rId="9680" sId="3" numFmtId="13">
    <oc r="N4">
      <v>0.21621621621621623</v>
    </oc>
    <nc r="N4">
      <v>0.27027027027027029</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R6" start="0" length="0">
    <dxf>
      <fill>
        <patternFill>
          <bgColor rgb="FFC6EFCE"/>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Q7" start="0" length="0">
    <dxf>
      <fill>
        <patternFill>
          <bgColor rgb="FFC6EFCE"/>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R10" start="0" length="0">
    <dxf>
      <fill>
        <patternFill>
          <bgColor rgb="FFC6EFCE"/>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S12" start="0" length="0">
    <dxf>
      <fill>
        <patternFill>
          <bgColor rgb="FFCCFFCC"/>
        </patternFill>
      </fill>
    </dxf>
  </rfmt>
  <rfmt sheetId="4" sqref="S12" start="0" length="0">
    <dxf>
      <fill>
        <patternFill>
          <bgColor rgb="FFC6EFCE"/>
        </patternFill>
      </fill>
    </dxf>
  </rfmt>
  <rfmt sheetId="4" sqref="Q13" start="0" length="0">
    <dxf>
      <fill>
        <patternFill>
          <bgColor rgb="FFCCFFCC"/>
        </patternFill>
      </fill>
    </dxf>
  </rfmt>
  <rfmt sheetId="4" sqref="Q13" start="0" length="0">
    <dxf>
      <fill>
        <patternFill>
          <bgColor rgb="FFC6EFCE"/>
        </patternFill>
      </fill>
    </dxf>
  </rfmt>
  <rcc rId="9681" sId="3" numFmtId="13">
    <oc r="P3">
      <v>0.7142857142857143</v>
    </oc>
    <nc r="P3">
      <v>0.42857142857142855</v>
    </nc>
  </rcc>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8" start="0" length="0">
    <dxf>
      <fill>
        <patternFill>
          <bgColor rgb="FFC6EFCE"/>
        </patternFill>
      </fill>
    </dxf>
  </rfmt>
  <rfmt sheetId="4" sqref="V19" start="0" length="0">
    <dxf>
      <fill>
        <patternFill>
          <bgColor rgb="FFCCFFCC"/>
        </patternFill>
      </fill>
    </dxf>
  </rfmt>
  <rfmt sheetId="4" sqref="V19" start="0" length="0">
    <dxf>
      <fill>
        <patternFill>
          <bgColor rgb="FFC6EFCE"/>
        </patternFill>
      </fill>
    </dxf>
  </rfmt>
  <rfmt sheetId="4" sqref="V20" start="0" length="0">
    <dxf>
      <fill>
        <patternFill>
          <bgColor rgb="FFCCFFCC"/>
        </patternFill>
      </fill>
    </dxf>
  </rfmt>
  <rfmt sheetId="4" sqref="V20" start="0" length="0">
    <dxf>
      <fill>
        <patternFill>
          <bgColor rgb="FFC6EFCE"/>
        </patternFill>
      </fill>
    </dxf>
  </rfmt>
  <rfmt sheetId="4" sqref="V21" start="0" length="0">
    <dxf>
      <fill>
        <patternFill>
          <bgColor rgb="FFCCFFCC"/>
        </patternFill>
      </fill>
    </dxf>
  </rfmt>
  <rfmt sheetId="4" sqref="V21" start="0" length="0">
    <dxf>
      <fill>
        <patternFill>
          <bgColor rgb="FFC6EFCE"/>
        </patternFill>
      </fill>
    </dxf>
  </rfmt>
  <rcc rId="9682" sId="3" numFmtId="13">
    <oc r="Q3">
      <v>0.5</v>
    </oc>
    <nc r="Q3">
      <v>0</v>
    </nc>
  </rcc>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N25" start="0" length="0">
    <dxf>
      <fill>
        <patternFill>
          <bgColor rgb="FFC6EFCE"/>
        </patternFill>
      </fill>
    </dxf>
  </rfmt>
  <rfmt sheetId="4" sqref="O25" start="0" length="0">
    <dxf>
      <fill>
        <patternFill>
          <bgColor rgb="FFCCFFCC"/>
        </patternFill>
      </fill>
    </dxf>
  </rfmt>
  <rfmt sheetId="4" sqref="O25" start="0" length="0">
    <dxf>
      <fill>
        <patternFill>
          <bgColor rgb="FFC6EFCE"/>
        </patternFill>
      </fill>
    </dxf>
  </rfmt>
  <rfmt sheetId="4" sqref="P25" start="0" length="0">
    <dxf>
      <fill>
        <patternFill>
          <bgColor rgb="FFCCFFCC"/>
        </patternFill>
      </fill>
    </dxf>
  </rfmt>
  <rfmt sheetId="4" sqref="P25" start="0" length="0">
    <dxf>
      <fill>
        <patternFill>
          <bgColor rgb="FFC6EFCE"/>
        </patternFill>
      </fill>
    </dxf>
  </rfmt>
  <rfmt sheetId="4" sqref="N26" start="0" length="0">
    <dxf>
      <fill>
        <patternFill>
          <bgColor rgb="FFCCFFCC"/>
        </patternFill>
      </fill>
    </dxf>
  </rfmt>
  <rfmt sheetId="4" sqref="N26" start="0" length="0">
    <dxf>
      <fill>
        <patternFill>
          <bgColor rgb="FFC6EFCE"/>
        </patternFill>
      </fill>
    </dxf>
  </rfmt>
  <rfmt sheetId="4" sqref="O26" start="0" length="0">
    <dxf>
      <fill>
        <patternFill>
          <bgColor rgb="FFCCFFCC"/>
        </patternFill>
      </fill>
    </dxf>
  </rfmt>
  <rfmt sheetId="4" sqref="O26" start="0" length="0">
    <dxf>
      <fill>
        <patternFill>
          <bgColor rgb="FFC6EFCE"/>
        </patternFill>
      </fill>
    </dxf>
  </rfmt>
  <rfmt sheetId="4" sqref="P26" start="0" length="0">
    <dxf>
      <fill>
        <patternFill>
          <bgColor rgb="FFCCFFCC"/>
        </patternFill>
      </fill>
    </dxf>
  </rfmt>
  <rfmt sheetId="4" sqref="P26" start="0" length="0">
    <dxf>
      <fill>
        <patternFill>
          <bgColor rgb="FFC6EFCE"/>
        </patternFill>
      </fill>
    </dxf>
  </rfmt>
  <rfmt sheetId="4" sqref="S26" start="0" length="0">
    <dxf>
      <fill>
        <patternFill>
          <bgColor rgb="FFCCFFCC"/>
        </patternFill>
      </fill>
    </dxf>
  </rfmt>
  <rfmt sheetId="4" sqref="S26" start="0" length="0">
    <dxf>
      <fill>
        <patternFill>
          <bgColor rgb="FFC6EFCE"/>
        </patternFill>
      </fill>
    </dxf>
  </rfmt>
  <rfmt sheetId="4" sqref="N27" start="0" length="0">
    <dxf>
      <fill>
        <patternFill>
          <bgColor rgb="FFCCFFCC"/>
        </patternFill>
      </fill>
    </dxf>
  </rfmt>
  <rfmt sheetId="4" sqref="N27" start="0" length="0">
    <dxf>
      <fill>
        <patternFill>
          <bgColor rgb="FFC6EFCE"/>
        </patternFill>
      </fill>
    </dxf>
  </rfmt>
  <rcc rId="9683" sId="3" numFmtId="13">
    <oc r="R3">
      <v>0.75</v>
    </oc>
    <nc r="R3">
      <v>0</v>
    </nc>
  </rcc>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0" start="0" length="0">
    <dxf>
      <fill>
        <patternFill>
          <bgColor rgb="FFC6EFCE"/>
        </patternFill>
      </fill>
    </dxf>
  </rfmt>
  <rfmt sheetId="4" sqref="V11" start="0" length="0">
    <dxf>
      <fill>
        <patternFill>
          <bgColor rgb="FFCCFFCC"/>
        </patternFill>
      </fill>
    </dxf>
  </rfmt>
  <rfmt sheetId="4" sqref="V11" start="0" length="0">
    <dxf>
      <fill>
        <patternFill>
          <bgColor rgb="FFC6EFCE"/>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4" start="0" length="0">
    <dxf>
      <fill>
        <patternFill>
          <bgColor rgb="FFC6EFCE"/>
        </patternFill>
      </fill>
    </dxf>
  </rfmt>
  <rfmt sheetId="4" sqref="V15" start="0" length="0">
    <dxf>
      <fill>
        <patternFill>
          <bgColor rgb="FFCCFFCC"/>
        </patternFill>
      </fill>
    </dxf>
  </rfmt>
  <rfmt sheetId="4" sqref="V15" start="0" length="0">
    <dxf>
      <fill>
        <patternFill>
          <bgColor rgb="FFC6EFCE"/>
        </patternFill>
      </fill>
    </dxf>
  </rfmt>
  <rcc rId="9684" sId="3" numFmtId="13">
    <oc r="T3">
      <v>0.5</v>
    </oc>
    <nc r="T3">
      <v>0</v>
    </nc>
  </rcc>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H39" start="0" length="0">
    <dxf>
      <fill>
        <patternFill>
          <bgColor rgb="FFC6EFCE"/>
        </patternFill>
      </fill>
    </dxf>
  </rfmt>
  <rfmt sheetId="4" sqref="I39" start="0" length="0">
    <dxf>
      <fill>
        <patternFill>
          <bgColor rgb="FFCCFFCC"/>
        </patternFill>
      </fill>
    </dxf>
  </rfmt>
  <rfmt sheetId="4" sqref="I39" start="0" length="0">
    <dxf>
      <fill>
        <patternFill>
          <bgColor rgb="FFC6EFCE"/>
        </patternFill>
      </fill>
    </dxf>
  </rfmt>
  <rfmt sheetId="4" sqref="J39" start="0" length="0">
    <dxf>
      <fill>
        <patternFill>
          <bgColor rgb="FFCCFFCC"/>
        </patternFill>
      </fill>
    </dxf>
  </rfmt>
  <rfmt sheetId="4" sqref="J39" start="0" length="0">
    <dxf>
      <fill>
        <patternFill>
          <bgColor rgb="FFC6EFCE"/>
        </patternFill>
      </fill>
    </dxf>
  </rfmt>
  <rcc rId="9685" sId="3" numFmtId="13">
    <oc r="U3">
      <v>0.2857142857142857</v>
    </oc>
    <nc r="U3">
      <v>0</v>
    </nc>
  </rcc>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B63" start="0" length="0">
    <dxf>
      <fill>
        <patternFill>
          <bgColor rgb="FFC6EFCE"/>
        </patternFill>
      </fill>
    </dxf>
  </rfmt>
  <rfmt sheetId="3" sqref="C63" start="0" length="0">
    <dxf>
      <fill>
        <patternFill>
          <bgColor rgb="FFC6EFCE"/>
        </patternFill>
      </fill>
    </dxf>
  </rfmt>
  <rfmt sheetId="3" sqref="D63" start="0" length="0">
    <dxf>
      <fill>
        <patternFill>
          <bgColor rgb="FFC6EFCE"/>
        </patternFill>
      </fill>
    </dxf>
  </rfmt>
  <rfmt sheetId="3" sqref="E63" start="0" length="0">
    <dxf>
      <fill>
        <patternFill>
          <bgColor rgb="FFC6EFCE"/>
        </patternFill>
      </fill>
    </dxf>
  </rfmt>
  <rfmt sheetId="3" sqref="F63" start="0" length="0">
    <dxf>
      <fill>
        <patternFill>
          <bgColor rgb="FFC6EFCE"/>
        </patternFill>
      </fill>
    </dxf>
  </rfmt>
  <rfmt sheetId="3" sqref="G63" start="0" length="0">
    <dxf>
      <fill>
        <patternFill>
          <bgColor rgb="FFC6EFCE"/>
        </patternFill>
      </fill>
    </dxf>
  </rfmt>
  <rfmt sheetId="3" sqref="H63" start="0" length="0">
    <dxf>
      <fill>
        <patternFill>
          <bgColor rgb="FFC6EFCE"/>
        </patternFill>
      </fill>
    </dxf>
  </rfmt>
  <rfmt sheetId="3" sqref="I63" start="0" length="0">
    <dxf>
      <fill>
        <patternFill>
          <bgColor rgb="FFC6EFCE"/>
        </patternFill>
      </fill>
    </dxf>
  </rfmt>
  <rfmt sheetId="3" sqref="J63" start="0" length="0">
    <dxf>
      <fill>
        <patternFill>
          <bgColor rgb="FFC6EFCE"/>
        </patternFill>
      </fill>
    </dxf>
  </rfmt>
  <rfmt sheetId="3" sqref="K63" start="0" length="0">
    <dxf>
      <fill>
        <patternFill>
          <bgColor rgb="FFC6EFCE"/>
        </patternFill>
      </fill>
    </dxf>
  </rfmt>
  <rfmt sheetId="3" sqref="L63" start="0" length="0">
    <dxf>
      <fill>
        <patternFill>
          <bgColor rgb="FFC6EFCE"/>
        </patternFill>
      </fill>
    </dxf>
  </rfmt>
  <rfmt sheetId="3" sqref="M63" start="0" length="0">
    <dxf>
      <fill>
        <patternFill>
          <bgColor rgb="FFC6EFCE"/>
        </patternFill>
      </fill>
    </dxf>
  </rfmt>
  <rcc rId="9686" sId="3" odxf="1" dxf="1">
    <nc r="N63">
      <v>0</v>
    </nc>
    <odxf>
      <fill>
        <patternFill>
          <bgColor theme="0"/>
        </patternFill>
      </fill>
    </odxf>
    <ndxf>
      <fill>
        <patternFill>
          <bgColor rgb="FFC6EFCE"/>
        </patternFill>
      </fill>
    </ndxf>
  </rcc>
  <rcc rId="9687" sId="3" odxf="1" dxf="1">
    <nc r="O63">
      <v>3</v>
    </nc>
    <odxf>
      <fill>
        <patternFill>
          <bgColor theme="0"/>
        </patternFill>
      </fill>
    </odxf>
    <ndxf>
      <fill>
        <patternFill>
          <bgColor rgb="FFC6EFCE"/>
        </patternFill>
      </fill>
    </ndxf>
  </rcc>
  <rfmt sheetId="3" sqref="P63" start="0" length="0">
    <dxf>
      <fill>
        <patternFill>
          <bgColor rgb="FFC6EFCE"/>
        </patternFill>
      </fill>
    </dxf>
  </rfmt>
  <rfmt sheetId="3" sqref="Q63" start="0" length="0">
    <dxf>
      <fill>
        <patternFill>
          <bgColor rgb="FFC6EFCE"/>
        </patternFill>
      </fill>
    </dxf>
  </rfmt>
  <rfmt sheetId="3" sqref="R63" start="0" length="0">
    <dxf>
      <fill>
        <patternFill>
          <bgColor rgb="FFC6EFCE"/>
        </patternFill>
      </fill>
    </dxf>
  </rfmt>
  <rfmt sheetId="3" sqref="S63" start="0" length="0">
    <dxf>
      <fill>
        <patternFill>
          <bgColor rgb="FFC6EFCE"/>
        </patternFill>
      </fill>
    </dxf>
  </rfmt>
  <rcc rId="9688" sId="3" odxf="1" dxf="1">
    <nc r="T63">
      <v>2</v>
    </nc>
    <odxf>
      <fill>
        <patternFill>
          <bgColor theme="0"/>
        </patternFill>
      </fill>
    </odxf>
    <ndxf>
      <fill>
        <patternFill>
          <bgColor rgb="FFC6EFCE"/>
        </patternFill>
      </fill>
    </ndxf>
  </rcc>
  <rfmt sheetId="3" sqref="U63" start="0" length="0">
    <dxf>
      <fill>
        <patternFill>
          <bgColor rgb="FFC6EFCE"/>
        </patternFill>
      </fill>
    </dxf>
  </rfmt>
  <rcc rId="9689" sId="3">
    <nc r="V63" t="inlineStr">
      <is>
        <t>T1.10B14(1.00)</t>
      </is>
    </nc>
  </rcc>
  <rfmt sheetId="3" sqref="B64" start="0" length="0">
    <dxf>
      <fill>
        <patternFill>
          <bgColor rgb="FFC6EFCE"/>
        </patternFill>
      </fill>
    </dxf>
  </rfmt>
  <rfmt sheetId="3" sqref="C64" start="0" length="0">
    <dxf>
      <fill>
        <patternFill>
          <bgColor rgb="FFC6EFCE"/>
        </patternFill>
      </fill>
    </dxf>
  </rfmt>
  <rfmt sheetId="3" sqref="D64" start="0" length="0">
    <dxf>
      <fill>
        <patternFill>
          <bgColor rgb="FFC6EFCE"/>
        </patternFill>
      </fill>
    </dxf>
  </rfmt>
  <rfmt sheetId="3" sqref="E64" start="0" length="0">
    <dxf>
      <fill>
        <patternFill>
          <bgColor rgb="FFC6EFCE"/>
        </patternFill>
      </fill>
    </dxf>
  </rfmt>
  <rfmt sheetId="3" sqref="F64" start="0" length="0">
    <dxf>
      <fill>
        <patternFill>
          <bgColor rgb="FFC6EFCE"/>
        </patternFill>
      </fill>
    </dxf>
  </rfmt>
  <rfmt sheetId="3" sqref="G64" start="0" length="0">
    <dxf>
      <fill>
        <patternFill>
          <bgColor rgb="FFC6EFCE"/>
        </patternFill>
      </fill>
    </dxf>
  </rfmt>
  <rfmt sheetId="3" sqref="H64" start="0" length="0">
    <dxf>
      <fill>
        <patternFill>
          <bgColor rgb="FFC6EFCE"/>
        </patternFill>
      </fill>
    </dxf>
  </rfmt>
  <rfmt sheetId="3" sqref="I64" start="0" length="0">
    <dxf>
      <fill>
        <patternFill>
          <bgColor rgb="FFC6EFCE"/>
        </patternFill>
      </fill>
    </dxf>
  </rfmt>
  <rfmt sheetId="3" sqref="J64" start="0" length="0">
    <dxf>
      <fill>
        <patternFill>
          <bgColor rgb="FFC6EFCE"/>
        </patternFill>
      </fill>
    </dxf>
  </rfmt>
  <rfmt sheetId="3" sqref="K64" start="0" length="0">
    <dxf>
      <fill>
        <patternFill>
          <bgColor rgb="FFC6EFCE"/>
        </patternFill>
      </fill>
    </dxf>
  </rfmt>
  <rfmt sheetId="3" sqref="L64" start="0" length="0">
    <dxf>
      <fill>
        <patternFill>
          <bgColor rgb="FFC6EFCE"/>
        </patternFill>
      </fill>
    </dxf>
  </rfmt>
  <rcc rId="9690" sId="3" odxf="1" dxf="1">
    <nc r="M64">
      <v>0</v>
    </nc>
    <odxf>
      <fill>
        <patternFill>
          <bgColor theme="0"/>
        </patternFill>
      </fill>
    </odxf>
    <ndxf>
      <fill>
        <patternFill>
          <bgColor rgb="FFC6EFCE"/>
        </patternFill>
      </fill>
    </ndxf>
  </rcc>
  <rcc rId="9691" sId="3" odxf="1" dxf="1">
    <nc r="N64">
      <v>0</v>
    </nc>
    <odxf>
      <fill>
        <patternFill>
          <bgColor theme="0"/>
        </patternFill>
      </fill>
    </odxf>
    <ndxf>
      <fill>
        <patternFill>
          <bgColor rgb="FFC6EFCE"/>
        </patternFill>
      </fill>
    </ndxf>
  </rcc>
  <rcc rId="9692" sId="3" odxf="1" dxf="1">
    <nc r="O64">
      <v>2</v>
    </nc>
    <odxf>
      <fill>
        <patternFill>
          <bgColor theme="0"/>
        </patternFill>
      </fill>
    </odxf>
    <ndxf>
      <fill>
        <patternFill>
          <bgColor rgb="FFC6EFCE"/>
        </patternFill>
      </fill>
    </ndxf>
  </rcc>
  <rfmt sheetId="3" sqref="P64" start="0" length="0">
    <dxf>
      <fill>
        <patternFill>
          <bgColor rgb="FFC6EFCE"/>
        </patternFill>
      </fill>
    </dxf>
  </rfmt>
  <rfmt sheetId="3" sqref="Q64" start="0" length="0">
    <dxf>
      <fill>
        <patternFill>
          <bgColor rgb="FFC6EFCE"/>
        </patternFill>
      </fill>
    </dxf>
  </rfmt>
  <rfmt sheetId="3" sqref="R64" start="0" length="0">
    <dxf>
      <fill>
        <patternFill>
          <bgColor rgb="FFC6EFCE"/>
        </patternFill>
      </fill>
    </dxf>
  </rfmt>
  <rfmt sheetId="3" sqref="S64" start="0" length="0">
    <dxf>
      <fill>
        <patternFill>
          <bgColor rgb="FFC6EFCE"/>
        </patternFill>
      </fill>
    </dxf>
  </rfmt>
  <rcc rId="9693" sId="3" odxf="1" dxf="1">
    <nc r="T64">
      <v>2</v>
    </nc>
    <odxf>
      <fill>
        <patternFill>
          <bgColor theme="0"/>
        </patternFill>
      </fill>
    </odxf>
    <ndxf>
      <fill>
        <patternFill>
          <bgColor rgb="FFC6EFCE"/>
        </patternFill>
      </fill>
    </ndxf>
  </rcc>
  <rfmt sheetId="3" sqref="U64" start="0" length="0">
    <dxf>
      <fill>
        <patternFill>
          <bgColor rgb="FFC6EFCE"/>
        </patternFill>
      </fill>
    </dxf>
  </rfmt>
  <rcc rId="9694" sId="3">
    <nc r="V64" t="inlineStr">
      <is>
        <t>T1.10B14(1.00)</t>
      </is>
    </nc>
  </rcc>
  <rfmt sheetId="3" sqref="B65" start="0" length="0">
    <dxf>
      <fill>
        <patternFill>
          <bgColor rgb="FFC6EFCE"/>
        </patternFill>
      </fill>
    </dxf>
  </rfmt>
  <rfmt sheetId="3" sqref="C65" start="0" length="0">
    <dxf>
      <fill>
        <patternFill>
          <bgColor rgb="FFC6EFCE"/>
        </patternFill>
      </fill>
    </dxf>
  </rfmt>
  <rfmt sheetId="3" sqref="D65" start="0" length="0">
    <dxf>
      <fill>
        <patternFill>
          <bgColor rgb="FFC6EFCE"/>
        </patternFill>
      </fill>
    </dxf>
  </rfmt>
  <rfmt sheetId="3" sqref="E65" start="0" length="0">
    <dxf>
      <fill>
        <patternFill>
          <bgColor rgb="FFC6EFCE"/>
        </patternFill>
      </fill>
    </dxf>
  </rfmt>
  <rfmt sheetId="3" sqref="F65" start="0" length="0">
    <dxf>
      <fill>
        <patternFill>
          <bgColor rgb="FFC6EFCE"/>
        </patternFill>
      </fill>
    </dxf>
  </rfmt>
  <rfmt sheetId="3" sqref="G65" start="0" length="0">
    <dxf>
      <fill>
        <patternFill>
          <bgColor rgb="FFC6EFCE"/>
        </patternFill>
      </fill>
    </dxf>
  </rfmt>
  <rfmt sheetId="3" sqref="H65" start="0" length="0">
    <dxf>
      <fill>
        <patternFill>
          <bgColor rgb="FFC6EFCE"/>
        </patternFill>
      </fill>
    </dxf>
  </rfmt>
  <rfmt sheetId="3" sqref="I65" start="0" length="0">
    <dxf>
      <fill>
        <patternFill>
          <bgColor rgb="FFC6EFCE"/>
        </patternFill>
      </fill>
    </dxf>
  </rfmt>
  <rfmt sheetId="3" sqref="J65" start="0" length="0">
    <dxf>
      <fill>
        <patternFill>
          <bgColor rgb="FFC6EFCE"/>
        </patternFill>
      </fill>
    </dxf>
  </rfmt>
  <rcc rId="9695" sId="3" odxf="1" dxf="1">
    <nc r="K65">
      <v>0</v>
    </nc>
    <odxf>
      <fill>
        <patternFill>
          <bgColor theme="0"/>
        </patternFill>
      </fill>
    </odxf>
    <ndxf>
      <fill>
        <patternFill>
          <bgColor rgb="FFC6EFCE"/>
        </patternFill>
      </fill>
    </ndxf>
  </rcc>
  <rcc rId="9696" sId="3" odxf="1" dxf="1">
    <nc r="L65">
      <v>0</v>
    </nc>
    <odxf>
      <fill>
        <patternFill>
          <bgColor theme="0"/>
        </patternFill>
      </fill>
    </odxf>
    <ndxf>
      <fill>
        <patternFill>
          <bgColor rgb="FFC6EFCE"/>
        </patternFill>
      </fill>
    </ndxf>
  </rcc>
  <rcc rId="9697" sId="3" odxf="1" dxf="1">
    <nc r="M65">
      <v>0</v>
    </nc>
    <odxf>
      <fill>
        <patternFill>
          <bgColor theme="0"/>
        </patternFill>
      </fill>
    </odxf>
    <ndxf>
      <fill>
        <patternFill>
          <bgColor rgb="FFC6EFCE"/>
        </patternFill>
      </fill>
    </ndxf>
  </rcc>
  <rcc rId="9698" sId="3" odxf="1" dxf="1">
    <nc r="N65">
      <v>0</v>
    </nc>
    <odxf>
      <fill>
        <patternFill>
          <bgColor theme="0"/>
        </patternFill>
      </fill>
    </odxf>
    <ndxf>
      <fill>
        <patternFill>
          <bgColor rgb="FFC6EFCE"/>
        </patternFill>
      </fill>
    </ndxf>
  </rcc>
  <rcc rId="9699" sId="3" odxf="1" dxf="1">
    <nc r="O65">
      <v>3</v>
    </nc>
    <odxf>
      <fill>
        <patternFill>
          <bgColor theme="0"/>
        </patternFill>
      </fill>
    </odxf>
    <ndxf>
      <fill>
        <patternFill>
          <bgColor rgb="FFC6EFCE"/>
        </patternFill>
      </fill>
    </ndxf>
  </rcc>
  <rfmt sheetId="3" sqref="P65" start="0" length="0">
    <dxf>
      <fill>
        <patternFill>
          <bgColor rgb="FFC6EFCE"/>
        </patternFill>
      </fill>
    </dxf>
  </rfmt>
  <rfmt sheetId="3" sqref="Q65" start="0" length="0">
    <dxf>
      <fill>
        <patternFill>
          <bgColor rgb="FFC6EFCE"/>
        </patternFill>
      </fill>
    </dxf>
  </rfmt>
  <rfmt sheetId="3" sqref="R65" start="0" length="0">
    <dxf>
      <fill>
        <patternFill>
          <bgColor rgb="FFC6EFCE"/>
        </patternFill>
      </fill>
    </dxf>
  </rfmt>
  <rcc rId="9700" sId="3" odxf="1" dxf="1">
    <nc r="S65">
      <v>1</v>
    </nc>
    <odxf>
      <fill>
        <patternFill>
          <bgColor theme="0"/>
        </patternFill>
      </fill>
    </odxf>
    <ndxf>
      <fill>
        <patternFill>
          <bgColor rgb="FFC6EFCE"/>
        </patternFill>
      </fill>
    </ndxf>
  </rcc>
  <rcc rId="9701" sId="3" odxf="1" dxf="1">
    <nc r="T65">
      <v>1</v>
    </nc>
    <odxf>
      <fill>
        <patternFill>
          <bgColor theme="0"/>
        </patternFill>
      </fill>
    </odxf>
    <ndxf>
      <fill>
        <patternFill>
          <bgColor rgb="FFC6EFCE"/>
        </patternFill>
      </fill>
    </ndxf>
  </rcc>
  <rfmt sheetId="3" sqref="U65" start="0" length="0">
    <dxf>
      <fill>
        <patternFill>
          <bgColor rgb="FFC6EFCE"/>
        </patternFill>
      </fill>
    </dxf>
  </rfmt>
  <rcc rId="9702" sId="3">
    <nc r="V65" t="inlineStr">
      <is>
        <t>T1.10B14(1.00)</t>
      </is>
    </nc>
  </rcc>
  <rfmt sheetId="3" sqref="B66" start="0" length="0">
    <dxf>
      <fill>
        <patternFill>
          <bgColor rgb="FFC6EFCE"/>
        </patternFill>
      </fill>
    </dxf>
  </rfmt>
  <rfmt sheetId="3" sqref="C66" start="0" length="0">
    <dxf>
      <fill>
        <patternFill>
          <bgColor rgb="FFC6EFCE"/>
        </patternFill>
      </fill>
    </dxf>
  </rfmt>
  <rfmt sheetId="3" sqref="D66" start="0" length="0">
    <dxf>
      <fill>
        <patternFill>
          <bgColor rgb="FFC6EFCE"/>
        </patternFill>
      </fill>
    </dxf>
  </rfmt>
  <rfmt sheetId="3" sqref="E66" start="0" length="0">
    <dxf>
      <fill>
        <patternFill>
          <bgColor rgb="FFC6EFCE"/>
        </patternFill>
      </fill>
    </dxf>
  </rfmt>
  <rfmt sheetId="3" sqref="F66" start="0" length="0">
    <dxf>
      <fill>
        <patternFill>
          <bgColor rgb="FFC6EFCE"/>
        </patternFill>
      </fill>
    </dxf>
  </rfmt>
  <rfmt sheetId="3" sqref="G66" start="0" length="0">
    <dxf>
      <fill>
        <patternFill>
          <bgColor rgb="FFC6EFCE"/>
        </patternFill>
      </fill>
    </dxf>
  </rfmt>
  <rfmt sheetId="3" sqref="H66" start="0" length="0">
    <dxf>
      <fill>
        <patternFill>
          <bgColor rgb="FFC6EFCE"/>
        </patternFill>
      </fill>
    </dxf>
  </rfmt>
  <rcc rId="9703" sId="3" odxf="1" dxf="1">
    <nc r="I66">
      <v>0</v>
    </nc>
    <odxf>
      <fill>
        <patternFill>
          <bgColor theme="0"/>
        </patternFill>
      </fill>
    </odxf>
    <ndxf>
      <fill>
        <patternFill>
          <bgColor rgb="FFC6EFCE"/>
        </patternFill>
      </fill>
    </ndxf>
  </rcc>
  <rcc rId="9704" sId="3" odxf="1" dxf="1">
    <nc r="J66">
      <v>0</v>
    </nc>
    <odxf>
      <fill>
        <patternFill>
          <bgColor theme="0"/>
        </patternFill>
      </fill>
    </odxf>
    <ndxf>
      <fill>
        <patternFill>
          <bgColor rgb="FFC6EFCE"/>
        </patternFill>
      </fill>
    </ndxf>
  </rcc>
  <rcc rId="9705" sId="3" odxf="1" dxf="1">
    <nc r="K66">
      <v>0</v>
    </nc>
    <odxf>
      <fill>
        <patternFill>
          <bgColor theme="0"/>
        </patternFill>
      </fill>
    </odxf>
    <ndxf>
      <fill>
        <patternFill>
          <bgColor rgb="FFC6EFCE"/>
        </patternFill>
      </fill>
    </ndxf>
  </rcc>
  <rcc rId="9706" sId="3" odxf="1" dxf="1">
    <nc r="L66">
      <v>0</v>
    </nc>
    <odxf>
      <fill>
        <patternFill>
          <bgColor theme="0"/>
        </patternFill>
      </fill>
    </odxf>
    <ndxf>
      <fill>
        <patternFill>
          <bgColor rgb="FFC6EFCE"/>
        </patternFill>
      </fill>
    </ndxf>
  </rcc>
  <rcc rId="9707" sId="3" odxf="1" dxf="1">
    <nc r="M66">
      <v>0</v>
    </nc>
    <odxf>
      <fill>
        <patternFill>
          <bgColor theme="0"/>
        </patternFill>
      </fill>
    </odxf>
    <ndxf>
      <fill>
        <patternFill>
          <bgColor rgb="FFC6EFCE"/>
        </patternFill>
      </fill>
    </ndxf>
  </rcc>
  <rcc rId="9708" sId="3" odxf="1" dxf="1">
    <nc r="N66">
      <v>0</v>
    </nc>
    <odxf>
      <fill>
        <patternFill>
          <bgColor theme="0"/>
        </patternFill>
      </fill>
    </odxf>
    <ndxf>
      <fill>
        <patternFill>
          <bgColor rgb="FFC6EFCE"/>
        </patternFill>
      </fill>
    </ndxf>
  </rcc>
  <rcc rId="9709" sId="3" odxf="1" dxf="1">
    <nc r="O66">
      <v>2</v>
    </nc>
    <odxf>
      <fill>
        <patternFill>
          <bgColor theme="0"/>
        </patternFill>
      </fill>
    </odxf>
    <ndxf>
      <fill>
        <patternFill>
          <bgColor rgb="FFC6EFCE"/>
        </patternFill>
      </fill>
    </ndxf>
  </rcc>
  <rfmt sheetId="3" sqref="P66" start="0" length="0">
    <dxf>
      <fill>
        <patternFill>
          <bgColor rgb="FFC6EFCE"/>
        </patternFill>
      </fill>
    </dxf>
  </rfmt>
  <rfmt sheetId="3" sqref="Q66" start="0" length="0">
    <dxf>
      <fill>
        <patternFill>
          <bgColor rgb="FFC6EFCE"/>
        </patternFill>
      </fill>
    </dxf>
  </rfmt>
  <rfmt sheetId="3" sqref="R66" start="0" length="0">
    <dxf>
      <fill>
        <patternFill>
          <bgColor rgb="FFC6EFCE"/>
        </patternFill>
      </fill>
    </dxf>
  </rfmt>
  <rcc rId="9710" sId="3" odxf="1" dxf="1">
    <nc r="S66">
      <v>2</v>
    </nc>
    <odxf>
      <fill>
        <patternFill>
          <bgColor theme="0"/>
        </patternFill>
      </fill>
    </odxf>
    <ndxf>
      <fill>
        <patternFill>
          <bgColor rgb="FFC6EFCE"/>
        </patternFill>
      </fill>
    </ndxf>
  </rcc>
  <rfmt sheetId="3" sqref="T66" start="0" length="0">
    <dxf>
      <fill>
        <patternFill>
          <bgColor rgb="FFC6EFCE"/>
        </patternFill>
      </fill>
    </dxf>
  </rfmt>
  <rfmt sheetId="3" sqref="U66" start="0" length="0">
    <dxf>
      <fill>
        <patternFill>
          <bgColor rgb="FFC6EFCE"/>
        </patternFill>
      </fill>
    </dxf>
  </rfmt>
  <rcc rId="9711" sId="3">
    <nc r="V66" t="inlineStr">
      <is>
        <t>T1.10B14(1.00)</t>
      </is>
    </nc>
  </rcc>
  <rfmt sheetId="3" sqref="B67" start="0" length="0">
    <dxf>
      <fill>
        <patternFill>
          <bgColor rgb="FFC6EFCE"/>
        </patternFill>
      </fill>
    </dxf>
  </rfmt>
  <rfmt sheetId="3" sqref="C67" start="0" length="0">
    <dxf>
      <fill>
        <patternFill>
          <bgColor rgb="FFC6EFCE"/>
        </patternFill>
      </fill>
    </dxf>
  </rfmt>
  <rfmt sheetId="3" sqref="D67" start="0" length="0">
    <dxf>
      <fill>
        <patternFill>
          <bgColor rgb="FFC6EFCE"/>
        </patternFill>
      </fill>
    </dxf>
  </rfmt>
  <rfmt sheetId="3" sqref="E67" start="0" length="0">
    <dxf>
      <fill>
        <patternFill>
          <bgColor rgb="FFC6EFCE"/>
        </patternFill>
      </fill>
    </dxf>
  </rfmt>
  <rfmt sheetId="3" sqref="F67" start="0" length="0">
    <dxf>
      <fill>
        <patternFill>
          <bgColor rgb="FFC6EFCE"/>
        </patternFill>
      </fill>
    </dxf>
  </rfmt>
  <rfmt sheetId="3" sqref="G67" start="0" length="0">
    <dxf>
      <fill>
        <patternFill>
          <bgColor rgb="FFC6EFCE"/>
        </patternFill>
      </fill>
    </dxf>
  </rfmt>
  <rfmt sheetId="3" sqref="H67" start="0" length="0">
    <dxf>
      <fill>
        <patternFill>
          <bgColor rgb="FFC6EFCE"/>
        </patternFill>
      </fill>
    </dxf>
  </rfmt>
  <rcc rId="9712" sId="3" odxf="1" dxf="1">
    <nc r="I67">
      <v>0</v>
    </nc>
    <odxf>
      <fill>
        <patternFill>
          <bgColor theme="0"/>
        </patternFill>
      </fill>
    </odxf>
    <ndxf>
      <fill>
        <patternFill>
          <bgColor rgb="FFC6EFCE"/>
        </patternFill>
      </fill>
    </ndxf>
  </rcc>
  <rcc rId="9713" sId="3" odxf="1" dxf="1">
    <nc r="J67">
      <v>0</v>
    </nc>
    <odxf>
      <fill>
        <patternFill>
          <bgColor theme="0"/>
        </patternFill>
      </fill>
    </odxf>
    <ndxf>
      <fill>
        <patternFill>
          <bgColor rgb="FFC6EFCE"/>
        </patternFill>
      </fill>
    </ndxf>
  </rcc>
  <rcc rId="9714" sId="3" odxf="1" dxf="1">
    <nc r="K67">
      <v>0</v>
    </nc>
    <odxf>
      <fill>
        <patternFill>
          <bgColor theme="0"/>
        </patternFill>
      </fill>
    </odxf>
    <ndxf>
      <fill>
        <patternFill>
          <bgColor rgb="FFC6EFCE"/>
        </patternFill>
      </fill>
    </ndxf>
  </rcc>
  <rcc rId="9715" sId="3" odxf="1" dxf="1">
    <nc r="L67">
      <v>0</v>
    </nc>
    <odxf>
      <fill>
        <patternFill>
          <bgColor theme="0"/>
        </patternFill>
      </fill>
    </odxf>
    <ndxf>
      <fill>
        <patternFill>
          <bgColor rgb="FFC6EFCE"/>
        </patternFill>
      </fill>
    </ndxf>
  </rcc>
  <rcc rId="9716" sId="3" odxf="1" dxf="1">
    <nc r="M67">
      <v>0</v>
    </nc>
    <odxf>
      <fill>
        <patternFill>
          <bgColor theme="0"/>
        </patternFill>
      </fill>
    </odxf>
    <ndxf>
      <fill>
        <patternFill>
          <bgColor rgb="FFC6EFCE"/>
        </patternFill>
      </fill>
    </ndxf>
  </rcc>
  <rcc rId="9717" sId="3" odxf="1" dxf="1">
    <nc r="N67">
      <v>0</v>
    </nc>
    <odxf>
      <fill>
        <patternFill>
          <bgColor theme="0"/>
        </patternFill>
      </fill>
    </odxf>
    <ndxf>
      <fill>
        <patternFill>
          <bgColor rgb="FFC6EFCE"/>
        </patternFill>
      </fill>
    </ndxf>
  </rcc>
  <rcc rId="9718" sId="3" odxf="1" dxf="1">
    <nc r="O67">
      <v>3</v>
    </nc>
    <odxf>
      <fill>
        <patternFill>
          <bgColor theme="0"/>
        </patternFill>
      </fill>
    </odxf>
    <ndxf>
      <fill>
        <patternFill>
          <bgColor rgb="FFC6EFCE"/>
        </patternFill>
      </fill>
    </ndxf>
  </rcc>
  <rfmt sheetId="3" sqref="P67" start="0" length="0">
    <dxf>
      <fill>
        <patternFill>
          <bgColor rgb="FFC6EFCE"/>
        </patternFill>
      </fill>
    </dxf>
  </rfmt>
  <rfmt sheetId="3" sqref="Q67" start="0" length="0">
    <dxf>
      <fill>
        <patternFill>
          <bgColor rgb="FFC6EFCE"/>
        </patternFill>
      </fill>
    </dxf>
  </rfmt>
  <rfmt sheetId="3" sqref="R67" start="0" length="0">
    <dxf>
      <fill>
        <patternFill>
          <bgColor rgb="FFC6EFCE"/>
        </patternFill>
      </fill>
    </dxf>
  </rfmt>
  <rfmt sheetId="3" sqref="S67" start="0" length="0">
    <dxf>
      <fill>
        <patternFill>
          <bgColor rgb="FFC6EFCE"/>
        </patternFill>
      </fill>
    </dxf>
  </rfmt>
  <rcc rId="9719" sId="3" odxf="1" dxf="1">
    <nc r="T67">
      <v>2</v>
    </nc>
    <odxf>
      <fill>
        <patternFill>
          <bgColor theme="0"/>
        </patternFill>
      </fill>
    </odxf>
    <ndxf>
      <fill>
        <patternFill>
          <bgColor rgb="FFC6EFCE"/>
        </patternFill>
      </fill>
    </ndxf>
  </rcc>
  <rcc rId="9720" sId="3" odxf="1" dxf="1">
    <nc r="U67">
      <v>6</v>
    </nc>
    <odxf>
      <fill>
        <patternFill>
          <bgColor theme="0"/>
        </patternFill>
      </fill>
    </odxf>
    <ndxf>
      <fill>
        <patternFill>
          <bgColor rgb="FFC6EFCE"/>
        </patternFill>
      </fill>
    </ndxf>
  </rcc>
  <rcc rId="9721" sId="3">
    <nc r="V67" t="inlineStr">
      <is>
        <t>T1.10B14(1.00)</t>
      </is>
    </nc>
  </rcc>
  <rcc rId="9722" sId="3" numFmtId="19">
    <nc r="A63">
      <v>41771</v>
    </nc>
  </rcc>
  <rcc rId="9723" sId="3" numFmtId="19">
    <nc r="A64">
      <v>41772</v>
    </nc>
  </rcc>
  <rcc rId="9724" sId="3" numFmtId="19">
    <nc r="A65">
      <v>41773</v>
    </nc>
  </rcc>
  <rcc rId="9725" sId="3" numFmtId="19">
    <nc r="A66">
      <v>41774</v>
    </nc>
  </rcc>
  <rcc rId="9726" sId="3" numFmtId="19">
    <nc r="A67">
      <v>41775</v>
    </nc>
  </rcc>
  <rcc rId="9727" sId="3">
    <nc r="X63" t="inlineStr">
      <is>
        <t xml:space="preserve">Video/Audio output cannot be verified due to low signal
MPE warning on all units 
Video warning on most units
TX CC errors on PID 2903 on most units, uplink issue
VBI warnings on all units
MC and TXB_MGX1 Asserts on most units
MPE asserts on a few units
</t>
      </is>
    </nc>
  </rcc>
  <rcc rId="9728" sId="3">
    <nc r="B63">
      <v>13</v>
    </nc>
  </rcc>
  <rcc rId="9729" sId="3">
    <nc r="C63">
      <v>3</v>
    </nc>
  </rcc>
  <rcc rId="9730" sId="3">
    <nc r="D63">
      <v>29</v>
    </nc>
  </rcc>
  <rcc rId="9731" sId="3">
    <nc r="E63">
      <v>18</v>
    </nc>
  </rcc>
  <rcc rId="9732" sId="3">
    <nc r="F63">
      <v>13</v>
    </nc>
  </rcc>
  <rcc rId="9733" sId="3">
    <nc r="G63">
      <v>25</v>
    </nc>
  </rcc>
  <rcc rId="9734" sId="3">
    <nc r="H63">
      <v>27</v>
    </nc>
  </rcc>
  <rcc rId="9735" sId="3">
    <nc r="I63">
      <v>0</v>
    </nc>
  </rcc>
  <rcc rId="9736" sId="3">
    <nc r="J63">
      <v>0</v>
    </nc>
  </rcc>
  <rcc rId="9737" sId="3">
    <nc r="K63">
      <v>0</v>
    </nc>
  </rcc>
  <rcc rId="9738" sId="3">
    <nc r="L63">
      <v>0</v>
    </nc>
  </rcc>
  <rcc rId="9739" sId="3">
    <nc r="M63">
      <v>0</v>
    </nc>
  </rcc>
  <rcc rId="9740" sId="3">
    <nc r="P63">
      <v>6</v>
    </nc>
  </rcc>
  <rcc rId="9741" sId="3">
    <nc r="Q63">
      <v>1</v>
    </nc>
  </rcc>
  <rcc rId="9742" sId="3">
    <nc r="R63">
      <v>1</v>
    </nc>
  </rcc>
  <rcc rId="9743" sId="3">
    <nc r="S63">
      <v>1</v>
    </nc>
  </rcc>
  <rcc rId="9744" sId="3">
    <nc r="U63">
      <v>6</v>
    </nc>
  </rcc>
  <rcc rId="9745" sId="3">
    <nc r="X64" t="inlineStr">
      <is>
        <t>Subtitle warnings on unit 102</t>
      </is>
    </nc>
  </rcc>
  <rcc rId="9746" sId="3">
    <nc r="B64">
      <v>14</v>
    </nc>
  </rcc>
  <rcc rId="9747" sId="3">
    <nc r="C64">
      <v>16</v>
    </nc>
  </rcc>
  <rcc rId="9748" sId="3">
    <nc r="D64">
      <v>7</v>
    </nc>
  </rcc>
  <rcc rId="9749" sId="3">
    <nc r="E64">
      <v>21</v>
    </nc>
  </rcc>
  <rcc rId="9750" sId="3">
    <nc r="F64">
      <v>12</v>
    </nc>
  </rcc>
  <rcc rId="9751" sId="3">
    <nc r="G64">
      <v>23</v>
    </nc>
  </rcc>
  <rcc rId="9752" sId="3">
    <nc r="H64">
      <v>23</v>
    </nc>
  </rcc>
  <rcc rId="9753" sId="3">
    <nc r="I64">
      <v>23</v>
    </nc>
  </rcc>
  <rcc rId="9754" sId="3">
    <nc r="J64">
      <v>24</v>
    </nc>
  </rcc>
  <rcc rId="9755" sId="3">
    <nc r="K64">
      <v>24</v>
    </nc>
  </rcc>
  <rcc rId="9756" sId="3">
    <nc r="L64">
      <v>24</v>
    </nc>
  </rcc>
  <rcc rId="9757" sId="3">
    <nc r="P64">
      <v>0</v>
    </nc>
  </rcc>
  <rcc rId="9758" sId="3">
    <nc r="Q64">
      <v>3</v>
    </nc>
  </rcc>
  <rcc rId="9759" sId="3">
    <nc r="R64">
      <v>2</v>
    </nc>
  </rcc>
  <rcc rId="9760" sId="3">
    <nc r="S64">
      <v>2</v>
    </nc>
  </rcc>
  <rcc rId="9761" sId="3">
    <nc r="U64">
      <v>6</v>
    </nc>
  </rcc>
  <rcc rId="9762" sId="3">
    <nc r="X65" t="inlineStr">
      <is>
        <t xml:space="preserve">All units have valid video and audio output.
Video warning on unit 120
TX CC errors on PID 2901, 2801 on most units, uplink issue
MPE warnings on all units, uplink issue
IPAL asserts on 111, 112, 113, 116, 117
</t>
      </is>
    </nc>
  </rcc>
  <rcc rId="9763" sId="3">
    <nc r="B65">
      <v>13</v>
    </nc>
  </rcc>
  <rcc rId="9764" sId="3">
    <nc r="C65">
      <v>15</v>
    </nc>
  </rcc>
  <rcc rId="9765" sId="3">
    <nc r="D65">
      <v>46</v>
    </nc>
  </rcc>
  <rcc rId="9766" sId="3">
    <nc r="E65">
      <v>52</v>
    </nc>
  </rcc>
  <rcc rId="9767" sId="3">
    <nc r="F65">
      <v>13</v>
    </nc>
  </rcc>
  <rcc rId="9768" sId="3">
    <nc r="G65">
      <v>1</v>
    </nc>
  </rcc>
  <rcc rId="9769" sId="3">
    <nc r="H65">
      <v>25</v>
    </nc>
  </rcc>
  <rcc rId="9770" sId="3">
    <nc r="I65">
      <v>0</v>
    </nc>
  </rcc>
  <rcc rId="9771" sId="3">
    <nc r="J65">
      <v>0</v>
    </nc>
  </rcc>
  <rcc rId="9772" sId="3">
    <nc r="P65">
      <v>7</v>
    </nc>
  </rcc>
  <rcc rId="9773" sId="3">
    <nc r="Q65">
      <v>1</v>
    </nc>
  </rcc>
  <rcc rId="9774" sId="3">
    <nc r="R65">
      <v>6</v>
    </nc>
  </rcc>
  <rcc rId="9775" sId="3">
    <nc r="U65">
      <v>6</v>
    </nc>
  </rcc>
  <rcc rId="9776" sId="3">
    <nc r="X66" t="inlineStr">
      <is>
        <t xml:space="preserve">All units have valid video and audio output.
VID warnings on unit 120
MPE warnings on unit 132
TX CC errors on PID 2901 on most units, uplink issue
VBI warnings on all units
</t>
      </is>
    </nc>
  </rcc>
  <rcc rId="9777" sId="3">
    <nc r="B66">
      <v>14</v>
    </nc>
  </rcc>
  <rcc rId="9778" sId="3">
    <nc r="C66">
      <v>16</v>
    </nc>
  </rcc>
  <rcc rId="9779" sId="3">
    <nc r="D66">
      <v>30</v>
    </nc>
  </rcc>
  <rcc rId="9780" sId="3">
    <nc r="E66">
      <v>19</v>
    </nc>
  </rcc>
  <rcc rId="9781" sId="3">
    <nc r="F66">
      <v>5</v>
    </nc>
  </rcc>
  <rcc rId="9782" sId="3">
    <nc r="G66">
      <v>25</v>
    </nc>
  </rcc>
  <rcc rId="9783" sId="3">
    <nc r="H66">
      <v>27</v>
    </nc>
  </rcc>
  <rcc rId="9784" sId="3">
    <nc r="P66">
      <v>7</v>
    </nc>
  </rcc>
  <rcc rId="9785" sId="3">
    <nc r="Q66">
      <v>2</v>
    </nc>
  </rcc>
  <rcc rId="9786" sId="3">
    <nc r="R66">
      <v>9</v>
    </nc>
  </rcc>
  <rcc rId="9787" sId="3">
    <nc r="T66">
      <v>2</v>
    </nc>
  </rcc>
  <rcc rId="9788" sId="3">
    <nc r="U66">
      <v>7</v>
    </nc>
  </rcc>
  <rcc rId="9789" sId="3">
    <nc r="B67">
      <v>14</v>
    </nc>
  </rcc>
  <rcc rId="9790" sId="3">
    <nc r="X67" t="inlineStr">
      <is>
        <t xml:space="preserve">All units have valid video and audio output.
AUD2 warnings on several units
MPE warnings on all units
TX CC errors on PID 3340 on most units, uplink issue
FE asserts on units 120
Several asserts on unit 105
</t>
      </is>
    </nc>
  </rcc>
  <rcc rId="9791" sId="3">
    <nc r="C67">
      <v>6</v>
    </nc>
  </rcc>
  <rcc rId="9792" sId="3">
    <nc r="D67">
      <v>21</v>
    </nc>
  </rcc>
  <rcc rId="9793" sId="3">
    <nc r="E67">
      <v>30</v>
    </nc>
  </rcc>
  <rcc rId="9794" sId="3">
    <nc r="F67">
      <v>14</v>
    </nc>
  </rcc>
  <rcc rId="9795" sId="3">
    <nc r="G67">
      <v>18</v>
    </nc>
  </rcc>
  <rcc rId="9796" sId="3">
    <nc r="H67">
      <v>14</v>
    </nc>
  </rcc>
  <rcc rId="9797" sId="3">
    <nc r="P67">
      <v>0</v>
    </nc>
  </rcc>
  <rcc rId="9798" sId="3">
    <nc r="Q67">
      <v>3</v>
    </nc>
  </rcc>
  <rcc rId="9799" sId="3">
    <nc r="R67">
      <v>10</v>
    </nc>
  </rcc>
  <rcc rId="9800" sId="3">
    <nc r="S67">
      <v>2</v>
    </nc>
  </rcc>
  <rfmt sheetId="3" sqref="W57" start="0" length="0">
    <dxf>
      <fill>
        <patternFill>
          <bgColor rgb="FFC6EFCE"/>
        </patternFill>
      </fill>
    </dxf>
  </rfmt>
  <rfmt sheetId="3" sqref="W58" start="0" length="0">
    <dxf>
      <fill>
        <patternFill>
          <bgColor rgb="FFC6EFCE"/>
        </patternFill>
      </fill>
    </dxf>
  </rfmt>
  <rfmt sheetId="3" sqref="W59" start="0" length="0">
    <dxf>
      <fill>
        <patternFill>
          <bgColor rgb="FFC6EFCE"/>
        </patternFill>
      </fill>
    </dxf>
  </rfmt>
  <rfmt sheetId="3" sqref="W62" start="0" length="0">
    <dxf>
      <fill>
        <patternFill>
          <bgColor rgb="FFC6EFCE"/>
        </patternFill>
      </fill>
    </dxf>
  </rfmt>
  <rcc rId="9801" sId="3" odxf="1" s="1" dxf="1">
    <nc r="W64" t="inlineStr">
      <is>
        <t>Pass</t>
      </is>
    </nc>
    <ndxf>
      <font>
        <sz val="9"/>
        <color indexed="8"/>
        <name val="Calibri"/>
        <scheme val="none"/>
      </font>
      <fill>
        <patternFill>
          <bgColor rgb="FFC6EFCE"/>
        </patternFill>
      </fill>
    </ndxf>
  </rcc>
  <rcc rId="9802" sId="3" odxf="1" dxf="1">
    <nc r="W65" t="inlineStr">
      <is>
        <t>Pass</t>
      </is>
    </nc>
    <ndxf>
      <fill>
        <patternFill>
          <bgColor rgb="FFC6EFCE"/>
        </patternFill>
      </fill>
    </ndxf>
  </rcc>
  <rcc rId="9803" sId="3" odxf="1" dxf="1">
    <nc r="W66" t="inlineStr">
      <is>
        <t>Pass</t>
      </is>
    </nc>
    <ndxf>
      <fill>
        <patternFill>
          <bgColor rgb="FFC6EFCE"/>
        </patternFill>
      </fill>
    </ndxf>
  </rcc>
  <rcc rId="9804" sId="3" odxf="1" dxf="1">
    <nc r="W67" t="inlineStr">
      <is>
        <t>Pass</t>
      </is>
    </nc>
    <ndxf>
      <fill>
        <patternFill>
          <bgColor rgb="FFC6EFCE"/>
        </patternFill>
      </fill>
    </ndxf>
  </rcc>
  <rfmt sheetId="3" s="1" sqref="W60" start="0" length="0">
    <dxf>
      <font>
        <sz val="10"/>
        <color indexed="8"/>
        <name val="Times New Roman"/>
        <scheme val="none"/>
      </font>
      <fill>
        <patternFill>
          <fgColor indexed="64"/>
          <bgColor rgb="FFFFFF99"/>
        </patternFill>
      </fill>
    </dxf>
  </rfmt>
  <rfmt sheetId="3" sqref="W61" start="0" length="0">
    <dxf>
      <font>
        <sz val="9"/>
        <color indexed="8"/>
        <name val="Times New Roman"/>
        <scheme val="none"/>
      </font>
      <fill>
        <patternFill>
          <bgColor rgb="FFFFFF99"/>
        </patternFill>
      </fill>
    </dxf>
  </rfmt>
  <rcc rId="9805" sId="3" odxf="1" dxf="1">
    <nc r="W63" t="inlineStr">
      <is>
        <t>C.Pass</t>
      </is>
    </nc>
    <ndxf>
      <font>
        <sz val="9"/>
        <color indexed="8"/>
        <name val="Times New Roman"/>
        <scheme val="none"/>
      </font>
      <fill>
        <patternFill>
          <bgColor rgb="FFFFFF99"/>
        </patternFill>
      </fill>
    </ndxf>
  </rcc>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806" sId="4" numFmtId="19">
    <oc r="I2">
      <v>41768</v>
    </oc>
    <nc r="I2">
      <v>41775</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8" start="0" length="0">
    <dxf>
      <fill>
        <patternFill>
          <bgColor rgb="FFC6EFCE"/>
        </patternFill>
      </fill>
    </dxf>
  </rfmt>
  <rfmt sheetId="4" sqref="B9" start="0" length="0">
    <dxf>
      <fill>
        <patternFill>
          <bgColor rgb="FFCCFFCC"/>
        </patternFill>
      </fill>
    </dxf>
  </rfmt>
  <rfmt sheetId="4" sqref="B9" start="0" length="0">
    <dxf>
      <fill>
        <patternFill>
          <bgColor rgb="FFC6EFCE"/>
        </patternFill>
      </fill>
    </dxf>
  </rfmt>
  <rfmt sheetId="4" sqref="B10" start="0" length="0">
    <dxf>
      <fill>
        <patternFill>
          <bgColor rgb="FFCCFFCC"/>
        </patternFill>
      </fill>
    </dxf>
  </rfmt>
  <rfmt sheetId="4" sqref="B10" start="0" length="0">
    <dxf>
      <fill>
        <patternFill>
          <bgColor rgb="FFC6EFCE"/>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7" start="0" length="0">
    <dxf>
      <fill>
        <patternFill>
          <bgColor rgb="FFC6EFCE"/>
        </patternFill>
      </fill>
    </dxf>
  </rfmt>
  <rfmt sheetId="4" sqref="B18" start="0" length="0">
    <dxf>
      <fill>
        <patternFill>
          <bgColor rgb="FFCCFFCC"/>
        </patternFill>
      </fill>
    </dxf>
  </rfmt>
  <rfmt sheetId="4" sqref="B18" start="0" length="0">
    <dxf>
      <fill>
        <patternFill>
          <bgColor rgb="FFC6EFCE"/>
        </patternFill>
      </fill>
    </dxf>
  </rfmt>
  <rfmt sheetId="4" sqref="B20" start="0" length="0">
    <dxf>
      <fill>
        <patternFill>
          <bgColor rgb="FFCCFFCC"/>
        </patternFill>
      </fill>
    </dxf>
  </rfmt>
  <rfmt sheetId="4" sqref="B20" start="0" length="0">
    <dxf>
      <fill>
        <patternFill>
          <bgColor rgb="FFC6EFCE"/>
        </patternFill>
      </fill>
    </dxf>
  </rfmt>
  <rfmt sheetId="4" sqref="B23" start="0" length="0">
    <dxf>
      <fill>
        <patternFill>
          <bgColor rgb="FFCCFFCC"/>
        </patternFill>
      </fill>
    </dxf>
  </rfmt>
  <rfmt sheetId="4" sqref="B24" start="0" length="0">
    <dxf>
      <fill>
        <patternFill>
          <bgColor rgb="FFCCFFCC"/>
        </patternFill>
      </fill>
    </dxf>
  </rfmt>
  <rfmt sheetId="4" sqref="B24" start="0" length="0">
    <dxf>
      <fill>
        <patternFill>
          <bgColor rgb="FFC6EFCE"/>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5" start="0" length="0">
    <dxf>
      <fill>
        <patternFill>
          <bgColor rgb="FFC6EFCE"/>
        </patternFill>
      </fill>
    </dxf>
  </rfmt>
  <rfmt sheetId="4" sqref="E6" start="0" length="0">
    <dxf>
      <fill>
        <patternFill>
          <bgColor rgb="FFCCFFCC"/>
        </patternFill>
      </fill>
    </dxf>
  </rfmt>
  <rfmt sheetId="4" sqref="E6" start="0" length="0">
    <dxf>
      <fill>
        <patternFill>
          <bgColor rgb="FFC6EFCE"/>
        </patternFill>
      </fill>
    </dxf>
  </rfmt>
  <rfmt sheetId="4" sqref="E7" start="0" length="0">
    <dxf>
      <fill>
        <patternFill>
          <bgColor rgb="FFCCFFCC"/>
        </patternFill>
      </fill>
    </dxf>
  </rfmt>
  <rfmt sheetId="4" sqref="E7" start="0" length="0">
    <dxf>
      <fill>
        <patternFill>
          <bgColor rgb="FFC6EFCE"/>
        </patternFill>
      </fill>
    </dxf>
  </rfmt>
  <rfmt sheetId="4" sqref="E10" start="0" length="0">
    <dxf>
      <fill>
        <patternFill>
          <bgColor rgb="FFCCFFCC"/>
        </patternFill>
      </fill>
    </dxf>
  </rfmt>
  <rfmt sheetId="4" sqref="E10" start="0" length="0">
    <dxf>
      <fill>
        <patternFill>
          <bgColor rgb="FFC6EFCE"/>
        </patternFill>
      </fill>
    </dxf>
  </rfmt>
  <rfmt sheetId="4" sqref="E11" start="0" length="0">
    <dxf>
      <fill>
        <patternFill>
          <bgColor rgb="FFCCFFCC"/>
        </patternFill>
      </fill>
    </dxf>
  </rfmt>
  <rfmt sheetId="4" sqref="E19" start="0" length="0">
    <dxf>
      <fill>
        <patternFill>
          <bgColor rgb="FFCCFFCC"/>
        </patternFill>
      </fill>
    </dxf>
  </rfmt>
  <rfmt sheetId="4" sqref="E19" start="0" length="0">
    <dxf>
      <fill>
        <patternFill>
          <bgColor rgb="FFC6EFCE"/>
        </patternFill>
      </fill>
    </dxf>
  </rfmt>
  <rfmt sheetId="4" sqref="E20" start="0" length="0">
    <dxf>
      <fill>
        <patternFill>
          <bgColor rgb="FFCCFFCC"/>
        </patternFill>
      </fill>
    </dxf>
  </rfmt>
  <rfmt sheetId="4" sqref="E20" start="0" length="0">
    <dxf>
      <fill>
        <patternFill>
          <bgColor rgb="FFC6EFCE"/>
        </patternFill>
      </fill>
    </dxf>
  </rfmt>
  <rfmt sheetId="4" sqref="E21" start="0" length="0">
    <dxf>
      <fill>
        <patternFill>
          <bgColor rgb="FFCCFFCC"/>
        </patternFill>
      </fill>
    </dxf>
  </rfmt>
  <rfmt sheetId="4" sqref="E21" start="0" length="0">
    <dxf>
      <fill>
        <patternFill>
          <bgColor rgb="FFC6EFCE"/>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L6" start="0" length="0">
    <dxf>
      <fill>
        <patternFill>
          <bgColor rgb="FFFFFFFF"/>
        </patternFill>
      </fill>
    </dxf>
  </rfmt>
  <rfmt sheetId="4" sqref="M6" start="0" length="0">
    <dxf>
      <fill>
        <patternFill>
          <bgColor rgb="FFFFFFFF"/>
        </patternFill>
      </fill>
    </dxf>
  </rfmt>
  <rfmt sheetId="4" sqref="N6" start="0" length="0">
    <dxf>
      <fill>
        <patternFill>
          <bgColor rgb="FFFFFFFF"/>
        </patternFill>
      </fill>
    </dxf>
  </rfmt>
  <rfmt sheetId="4" sqref="K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J8" start="0" length="0">
    <dxf>
      <fill>
        <patternFill>
          <bgColor rgb="FFFFFFFF"/>
        </patternFill>
      </fill>
    </dxf>
  </rfmt>
  <rfmt sheetId="4" sqref="K8" start="0" length="0">
    <dxf>
      <fill>
        <patternFill>
          <bgColor rgb="FFFFFFFF"/>
        </patternFill>
      </fill>
    </dxf>
  </rfmt>
  <rfmt sheetId="4" sqref="L8" start="0" length="0">
    <dxf>
      <fill>
        <patternFill>
          <bgColor rgb="FFFFFFFF"/>
        </patternFill>
      </fill>
    </dxf>
  </rfmt>
  <rfmt sheetId="4" sqref="M8" start="0" length="0">
    <dxf>
      <fill>
        <patternFill>
          <bgColor rgb="FFFFFFFF"/>
        </patternFill>
      </fill>
    </dxf>
  </rfmt>
  <rfmt sheetId="4" sqref="N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K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I5" start="0" length="0">
    <dxf>
      <fill>
        <patternFill>
          <bgColor rgb="FFC6EFCE"/>
        </patternFill>
      </fill>
    </dxf>
  </rfmt>
  <rfmt sheetId="4" sqref="J5" start="0" length="0">
    <dxf>
      <fill>
        <patternFill>
          <bgColor rgb="FFCCFFCC"/>
        </patternFill>
      </fill>
    </dxf>
  </rfmt>
  <rfmt sheetId="4" sqref="J5" start="0" length="0">
    <dxf>
      <fill>
        <patternFill>
          <bgColor rgb="FFC6EFCE"/>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I6" start="0" length="0">
    <dxf>
      <fill>
        <patternFill>
          <bgColor rgb="FFC6EFCE"/>
        </patternFill>
      </fill>
    </dxf>
  </rfmt>
  <rfmt sheetId="4" sqref="J6" start="0" length="0">
    <dxf>
      <fill>
        <patternFill>
          <bgColor rgb="FFCCFFCC"/>
        </patternFill>
      </fill>
    </dxf>
  </rfmt>
  <rfmt sheetId="4" sqref="K6" start="0" length="0">
    <dxf>
      <fill>
        <patternFill>
          <bgColor rgb="FFCCFFCC"/>
        </patternFill>
      </fill>
    </dxf>
  </rfmt>
  <rfmt sheetId="4" sqref="L6" start="0" length="0">
    <dxf>
      <fill>
        <patternFill>
          <bgColor rgb="FFC6EFCE"/>
        </patternFill>
      </fill>
    </dxf>
  </rfmt>
  <rfmt sheetId="4" sqref="M6" start="0" length="0">
    <dxf>
      <fill>
        <patternFill>
          <bgColor rgb="FFCCFFCC"/>
        </patternFill>
      </fill>
    </dxf>
  </rfmt>
  <rfmt sheetId="4" sqref="N6" start="0" length="0">
    <dxf>
      <fill>
        <patternFill>
          <bgColor rgb="FFC6EFCE"/>
        </patternFill>
      </fill>
    </dxf>
  </rfmt>
  <rfmt sheetId="4" sqref="K7" start="0" length="0">
    <dxf>
      <fill>
        <patternFill>
          <bgColor rgb="FFCCFFCC"/>
        </patternFill>
      </fill>
    </dxf>
  </rfmt>
  <rfmt sheetId="4" sqref="L7" start="0" length="0">
    <dxf>
      <fill>
        <patternFill>
          <bgColor rgb="FFC6EFCE"/>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J8" start="0" length="0">
    <dxf>
      <fill>
        <patternFill>
          <bgColor rgb="FFCCFFCC"/>
        </patternFill>
      </fill>
    </dxf>
  </rfmt>
  <rfmt sheetId="4" sqref="K8" start="0" length="0">
    <dxf>
      <fill>
        <patternFill>
          <bgColor rgb="FFCCFFCC"/>
        </patternFill>
      </fill>
    </dxf>
  </rfmt>
  <rfmt sheetId="4" sqref="K8" start="0" length="0">
    <dxf>
      <fill>
        <patternFill>
          <bgColor rgb="FFC6EFCE"/>
        </patternFill>
      </fill>
    </dxf>
  </rfmt>
  <rfmt sheetId="4" sqref="L8" start="0" length="0">
    <dxf>
      <fill>
        <patternFill>
          <bgColor rgb="FFCCFFCC"/>
        </patternFill>
      </fill>
    </dxf>
  </rfmt>
  <rfmt sheetId="4" sqref="M8" start="0" length="0">
    <dxf>
      <fill>
        <patternFill>
          <bgColor rgb="FFCCFFCC"/>
        </patternFill>
      </fill>
    </dxf>
  </rfmt>
  <rfmt sheetId="4" sqref="M8" start="0" length="0">
    <dxf>
      <fill>
        <patternFill>
          <bgColor rgb="FFC6EFCE"/>
        </patternFill>
      </fill>
    </dxf>
  </rfmt>
  <rfmt sheetId="4" sqref="N8" start="0" length="0">
    <dxf>
      <fill>
        <patternFill>
          <bgColor rgb="FFC6EFCE"/>
        </patternFill>
      </fill>
    </dxf>
  </rfmt>
  <rfmt sheetId="4" sqref="I9" start="0" length="0">
    <dxf>
      <fill>
        <patternFill>
          <bgColor rgb="FFCCFFCC"/>
        </patternFill>
      </fill>
    </dxf>
  </rfmt>
  <rfmt sheetId="4" sqref="I9" start="0" length="0">
    <dxf>
      <fill>
        <patternFill>
          <bgColor rgb="FFC6EFCE"/>
        </patternFill>
      </fill>
    </dxf>
  </rfmt>
  <rfmt sheetId="4" sqref="J9" start="0" length="0">
    <dxf>
      <fill>
        <patternFill>
          <bgColor rgb="FFCCFFCC"/>
        </patternFill>
      </fill>
    </dxf>
  </rfmt>
  <rfmt sheetId="4" sqref="J9" start="0" length="0">
    <dxf>
      <fill>
        <patternFill>
          <bgColor rgb="FFC6EFCE"/>
        </patternFill>
      </fill>
    </dxf>
  </rfmt>
  <rfmt sheetId="4" sqref="K9" start="0" length="0">
    <dxf>
      <fill>
        <patternFill>
          <bgColor rgb="FFCCFFCC"/>
        </patternFill>
      </fill>
    </dxf>
  </rfmt>
  <rfmt sheetId="4" sqref="K9" start="0" length="0">
    <dxf>
      <fill>
        <patternFill>
          <bgColor rgb="FFC6EFCE"/>
        </patternFill>
      </fill>
    </dxf>
  </rfmt>
  <rfmt sheetId="4" sqref="L9" start="0" length="0">
    <dxf>
      <fill>
        <patternFill>
          <bgColor rgb="FFCCFFCC"/>
        </patternFill>
      </fill>
    </dxf>
  </rfmt>
  <rfmt sheetId="4" sqref="M9" start="0" length="0">
    <dxf>
      <fill>
        <patternFill>
          <bgColor rgb="FFCCFFCC"/>
        </patternFill>
      </fill>
    </dxf>
  </rfmt>
  <rfmt sheetId="4" sqref="M9" start="0" length="0">
    <dxf>
      <fill>
        <patternFill>
          <bgColor rgb="FFC6EFCE"/>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K10" start="0" length="0">
    <dxf>
      <fill>
        <patternFill>
          <bgColor rgb="FFC6EFCE"/>
        </patternFill>
      </fill>
    </dxf>
  </rfmt>
  <rfmt sheetId="4" sqref="L10" start="0" length="0">
    <dxf>
      <fill>
        <patternFill>
          <bgColor rgb="FFCCFFCC"/>
        </patternFill>
      </fill>
    </dxf>
  </rfmt>
  <rfmt sheetId="4" sqref="M10" start="0" length="0">
    <dxf>
      <fill>
        <patternFill>
          <bgColor rgb="FFCCFFCC"/>
        </patternFill>
      </fill>
    </dxf>
  </rfmt>
  <rfmt sheetId="4" sqref="M10" start="0" length="0">
    <dxf>
      <fill>
        <patternFill>
          <bgColor rgb="FFC6EFCE"/>
        </patternFill>
      </fill>
    </dxf>
  </rfmt>
  <rfmt sheetId="4" sqref="N10" start="0" length="0">
    <dxf>
      <fill>
        <patternFill>
          <bgColor rgb="FFCCFFCC"/>
        </patternFill>
      </fill>
    </dxf>
  </rfmt>
  <rfmt sheetId="4" sqref="K12" start="0" length="0">
    <dxf>
      <fill>
        <patternFill>
          <bgColor rgb="FFCCFFCC"/>
        </patternFill>
      </fill>
    </dxf>
  </rfmt>
  <rfmt sheetId="4" sqref="K12" start="0" length="0">
    <dxf>
      <fill>
        <patternFill>
          <bgColor rgb="FFC6EFCE"/>
        </patternFill>
      </fill>
    </dxf>
  </rfmt>
  <rfmt sheetId="4" sqref="L12" start="0" length="0">
    <dxf>
      <fill>
        <patternFill>
          <bgColor rgb="FFCCFFCC"/>
        </patternFill>
      </fill>
    </dxf>
  </rfmt>
  <rcc rId="9807" sId="3">
    <oc r="D5" t="inlineStr">
      <is>
        <t>1, 22, 25, 2, 3, 6, 9, 21, 15, 40, 41, 42, 43, 44, 45, 48, 49</t>
      </is>
    </oc>
    <nc r="D5" t="inlineStr">
      <is>
        <t>1, 22, 25, 2, 3, 6, 9, 15, 40, 41, 42, 43, 44, 45, 48, 49</t>
      </is>
    </nc>
  </rcc>
  <rcc rId="9808" sId="3" numFmtId="13">
    <oc r="D4">
      <v>0.65306122448979587</v>
    </oc>
    <nc r="D4">
      <v>0.67346938775510201</v>
    </nc>
  </rcc>
  <rcc rId="9809" sId="3" numFmtId="13">
    <oc r="D3">
      <v>0.42857142857142855</v>
    </oc>
    <nc r="D3">
      <v>0.34693877551020408</v>
    </nc>
  </rcc>
  <rfmt sheetId="4" sqref="K17" start="0" length="0">
    <dxf>
      <fill>
        <patternFill>
          <bgColor rgb="FFFFFFFF"/>
        </patternFill>
      </fill>
    </dxf>
  </rfmt>
  <rfmt sheetId="4" sqref="H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2" start="0" length="0">
    <dxf>
      <fill>
        <patternFill>
          <bgColor rgb="FFFFFFFF"/>
        </patternFill>
      </fill>
    </dxf>
  </rfmt>
  <rfmt sheetId="4" sqref="K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I30"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J31"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I21" start="0" length="0">
    <dxf>
      <fill>
        <patternFill>
          <bgColor rgb="FFC6EFCE"/>
        </patternFill>
      </fill>
    </dxf>
  </rfmt>
  <rfmt sheetId="4" sqref="J21" start="0" length="0">
    <dxf>
      <fill>
        <patternFill>
          <bgColor rgb="FFC6EFCE"/>
        </patternFill>
      </fill>
    </dxf>
  </rfmt>
  <rfmt sheetId="4" sqref="K21" start="0" length="0">
    <dxf>
      <fill>
        <patternFill>
          <bgColor rgb="FFCCFFCC"/>
        </patternFill>
      </fill>
    </dxf>
  </rfmt>
  <rfmt sheetId="4" sqref="K21" start="0" length="0">
    <dxf>
      <fill>
        <patternFill>
          <bgColor rgb="FFC6EFCE"/>
        </patternFill>
      </fill>
    </dxf>
  </rfmt>
  <rfmt sheetId="4" sqref="H22" start="0" length="0">
    <dxf>
      <fill>
        <patternFill>
          <bgColor rgb="FFCCFFCC"/>
        </patternFill>
      </fill>
    </dxf>
  </rfmt>
  <rfmt sheetId="4" sqref="H22" start="0" length="0">
    <dxf>
      <fill>
        <patternFill>
          <bgColor rgb="FFC6EFCE"/>
        </patternFill>
      </fill>
    </dxf>
  </rfmt>
  <rfmt sheetId="4" sqref="I22" start="0" length="0">
    <dxf>
      <fill>
        <patternFill>
          <bgColor rgb="FFCCFFCC"/>
        </patternFill>
      </fill>
    </dxf>
  </rfmt>
  <rfmt sheetId="4" sqref="J22" start="0" length="0">
    <dxf>
      <fill>
        <patternFill>
          <bgColor rgb="FFC6EFCE"/>
        </patternFill>
      </fill>
    </dxf>
  </rfmt>
  <rfmt sheetId="4" sqref="K22" start="0" length="0">
    <dxf>
      <fill>
        <patternFill>
          <bgColor rgb="FFC6EFCE"/>
        </patternFill>
      </fill>
    </dxf>
  </rfmt>
  <rfmt sheetId="4" sqref="J23" start="0" length="0">
    <dxf>
      <fill>
        <patternFill>
          <bgColor rgb="FFCCFFCC"/>
        </patternFill>
      </fill>
    </dxf>
  </rfmt>
  <rfmt sheetId="4" sqref="J23" start="0" length="0">
    <dxf>
      <fill>
        <patternFill>
          <bgColor rgb="FFC6EFCE"/>
        </patternFill>
      </fill>
    </dxf>
  </rfmt>
  <rfmt sheetId="4" sqref="J24" start="0" length="0">
    <dxf>
      <fill>
        <patternFill>
          <bgColor rgb="FFCCFFCC"/>
        </patternFill>
      </fill>
    </dxf>
  </rfmt>
  <rfmt sheetId="4" sqref="H25" start="0" length="0">
    <dxf>
      <fill>
        <patternFill>
          <bgColor rgb="FFCCFFCC"/>
        </patternFill>
      </fill>
    </dxf>
  </rfmt>
  <rfmt sheetId="4" sqref="H25" start="0" length="0">
    <dxf>
      <fill>
        <patternFill>
          <bgColor rgb="FFC6EFCE"/>
        </patternFill>
      </fill>
    </dxf>
  </rfmt>
  <rfmt sheetId="4" sqref="I25" start="0" length="0">
    <dxf>
      <fill>
        <patternFill>
          <bgColor rgb="FFCCFFCC"/>
        </patternFill>
      </fill>
    </dxf>
  </rfmt>
  <rfmt sheetId="4" sqref="J25" start="0" length="0">
    <dxf>
      <fill>
        <patternFill>
          <bgColor rgb="FFCCFFCC"/>
        </patternFill>
      </fill>
    </dxf>
  </rfmt>
  <rfmt sheetId="4" sqref="J25" start="0" length="0">
    <dxf>
      <fill>
        <patternFill>
          <bgColor rgb="FFC6EFCE"/>
        </patternFill>
      </fill>
    </dxf>
  </rfmt>
  <rfmt sheetId="4" sqref="K25" start="0" length="0">
    <dxf>
      <fill>
        <patternFill>
          <bgColor rgb="FFCCFFCC"/>
        </patternFill>
      </fill>
    </dxf>
  </rfmt>
  <rfmt sheetId="4" sqref="H26" start="0" length="0">
    <dxf>
      <fill>
        <patternFill>
          <bgColor rgb="FFCCFFCC"/>
        </patternFill>
      </fill>
    </dxf>
  </rfmt>
  <rfmt sheetId="4" sqref="H26" start="0" length="0">
    <dxf>
      <fill>
        <patternFill>
          <bgColor rgb="FFC6EFCE"/>
        </patternFill>
      </fill>
    </dxf>
  </rfmt>
  <rfmt sheetId="4" sqref="H27" start="0" length="0">
    <dxf>
      <fill>
        <patternFill>
          <bgColor rgb="FFCCFFCC"/>
        </patternFill>
      </fill>
    </dxf>
  </rfmt>
  <rfmt sheetId="4" sqref="H27" start="0" length="0">
    <dxf>
      <fill>
        <patternFill>
          <bgColor rgb="FFC6EFCE"/>
        </patternFill>
      </fill>
    </dxf>
  </rfmt>
  <rfmt sheetId="4" sqref="I27" start="0" length="0">
    <dxf>
      <fill>
        <patternFill>
          <bgColor rgb="FFCCFFCC"/>
        </patternFill>
      </fill>
    </dxf>
  </rfmt>
  <rfmt sheetId="4" sqref="I27" start="0" length="0">
    <dxf>
      <fill>
        <patternFill>
          <bgColor rgb="FFC6EFCE"/>
        </patternFill>
      </fill>
    </dxf>
  </rfmt>
  <rfmt sheetId="4" sqref="J27" start="0" length="0">
    <dxf>
      <fill>
        <patternFill>
          <bgColor rgb="FFCCFFCC"/>
        </patternFill>
      </fill>
    </dxf>
  </rfmt>
  <rfmt sheetId="4" sqref="J28" start="0" length="0">
    <dxf>
      <fill>
        <patternFill>
          <bgColor rgb="FFCCFFCC"/>
        </patternFill>
      </fill>
    </dxf>
  </rfmt>
  <rfmt sheetId="4" sqref="J29" start="0" length="0">
    <dxf>
      <fill>
        <patternFill>
          <bgColor rgb="FFCCFFCC"/>
        </patternFill>
      </fill>
    </dxf>
  </rfmt>
  <rfmt sheetId="4" sqref="I30" start="0" length="0">
    <dxf>
      <fill>
        <patternFill>
          <bgColor rgb="FFCCFFCC"/>
        </patternFill>
      </fill>
    </dxf>
  </rfmt>
  <rfmt sheetId="4" sqref="J30" start="0" length="0">
    <dxf>
      <fill>
        <patternFill>
          <bgColor rgb="FFCCFFCC"/>
        </patternFill>
      </fill>
    </dxf>
  </rfmt>
  <rfmt sheetId="4" sqref="J30" start="0" length="0">
    <dxf>
      <fill>
        <patternFill>
          <bgColor rgb="FFC6EFCE"/>
        </patternFill>
      </fill>
    </dxf>
  </rfmt>
  <rfmt sheetId="4" sqref="K30" start="0" length="0">
    <dxf>
      <fill>
        <patternFill>
          <bgColor rgb="FFCCFFCC"/>
        </patternFill>
      </fill>
    </dxf>
  </rfmt>
  <rfmt sheetId="4" sqref="J31" start="0" length="0">
    <dxf>
      <fill>
        <patternFill>
          <bgColor rgb="FFC6EFCE"/>
        </patternFill>
      </fill>
    </dxf>
  </rfmt>
  <rfmt sheetId="4" sqref="K31" start="0" length="0">
    <dxf>
      <fill>
        <patternFill>
          <bgColor rgb="FFCCFFCC"/>
        </patternFill>
      </fill>
    </dxf>
  </rfmt>
  <rfmt sheetId="4" sqref="I32" start="0" length="0">
    <dxf>
      <fill>
        <patternFill>
          <bgColor rgb="FFCCFFCC"/>
        </patternFill>
      </fill>
    </dxf>
  </rfmt>
  <rfmt sheetId="4" sqref="I32" start="0" length="0">
    <dxf>
      <fill>
        <patternFill>
          <bgColor rgb="FFC6EFCE"/>
        </patternFill>
      </fill>
    </dxf>
  </rfmt>
  <rfmt sheetId="4" sqref="J32" start="0" length="0">
    <dxf>
      <fill>
        <patternFill>
          <bgColor rgb="FFCCFFCC"/>
        </patternFill>
      </fill>
    </dxf>
  </rfmt>
  <rcc rId="9810" sId="3">
    <oc r="E5" t="inlineStr">
      <is>
        <t>1, 3, 5, 2, 4, 6, 7, 9, 11, 8, 10, 12, 16, 13, 14, 19, 21, 35, 36, 37, 40, 41, 45, 46, 49, 53</t>
      </is>
    </oc>
    <nc r="E5" t="inlineStr">
      <is>
        <t>1, 3, 5, 2, 4, 6, 7, 9, 11, 8, 10, 12, 16, 13, 14, 35, 36, 37, 40, 41, 45, 46, 49, 53</t>
      </is>
    </nc>
  </rcc>
  <rfmt sheetId="4" sqref="J33" start="0" length="0">
    <dxf>
      <fill>
        <patternFill>
          <bgColor rgb="FFCCFFCC"/>
        </patternFill>
      </fill>
    </dxf>
  </rfmt>
  <rfmt sheetId="4" sqref="J33" start="0" length="0">
    <dxf>
      <fill>
        <patternFill>
          <bgColor rgb="FFC6EFCE"/>
        </patternFill>
      </fill>
    </dxf>
  </rfmt>
  <rcc rId="9811" sId="3" numFmtId="13">
    <oc r="E4">
      <v>0.50943396226415094</v>
    </oc>
    <nc r="E4">
      <v>0.54716981132075471</v>
    </nc>
  </rcc>
  <rcc rId="9812" sId="3" numFmtId="13">
    <oc r="E3">
      <v>0.30188679245283018</v>
    </oc>
    <nc r="E3">
      <v>0.24528301886792453</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N16" start="0" length="0">
    <dxf>
      <fill>
        <patternFill>
          <bgColor rgb="FFC6EFCE"/>
        </patternFill>
      </fill>
    </dxf>
  </rfmt>
  <rfmt sheetId="4" sqref="O16" start="0" length="0">
    <dxf>
      <fill>
        <patternFill>
          <bgColor rgb="FFCCFFCC"/>
        </patternFill>
      </fill>
    </dxf>
  </rfmt>
  <rfmt sheetId="4" sqref="O16" start="0" length="0">
    <dxf>
      <fill>
        <patternFill>
          <bgColor rgb="FFC6EFCE"/>
        </patternFill>
      </fill>
    </dxf>
  </rfmt>
  <rfmt sheetId="4" sqref="P16" start="0" length="0">
    <dxf>
      <fill>
        <patternFill>
          <bgColor rgb="FFCCFFCC"/>
        </patternFill>
      </fill>
    </dxf>
  </rfmt>
  <rfmt sheetId="4" sqref="P16" start="0" length="0">
    <dxf>
      <fill>
        <patternFill>
          <bgColor rgb="FFC6EFCE"/>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N18" start="0" length="0">
    <dxf>
      <fill>
        <patternFill>
          <bgColor rgb="FFC6EFCE"/>
        </patternFill>
      </fill>
    </dxf>
  </rfmt>
  <rfmt sheetId="4" sqref="O18" start="0" length="0">
    <dxf>
      <fill>
        <patternFill>
          <bgColor rgb="FFCCFFCC"/>
        </patternFill>
      </fill>
    </dxf>
  </rfmt>
  <rfmt sheetId="4" sqref="O18" start="0" length="0">
    <dxf>
      <fill>
        <patternFill>
          <bgColor rgb="FFC6EFCE"/>
        </patternFill>
      </fill>
    </dxf>
  </rfmt>
  <rfmt sheetId="4" sqref="P18" start="0" length="0">
    <dxf>
      <fill>
        <patternFill>
          <bgColor rgb="FFCCFFCC"/>
        </patternFill>
      </fill>
    </dxf>
  </rfmt>
  <rfmt sheetId="4" sqref="P18" start="0" length="0">
    <dxf>
      <fill>
        <patternFill>
          <bgColor rgb="FFC6EFCE"/>
        </patternFill>
      </fill>
    </dxf>
  </rfmt>
  <rfmt sheetId="4" sqref="N19" start="0" length="0">
    <dxf>
      <fill>
        <patternFill>
          <bgColor rgb="FFCCFFCC"/>
        </patternFill>
      </fill>
    </dxf>
  </rfmt>
  <rfmt sheetId="4" sqref="N19" start="0" length="0">
    <dxf>
      <fill>
        <patternFill>
          <bgColor rgb="FFC6EFCE"/>
        </patternFill>
      </fill>
    </dxf>
  </rfmt>
  <rfmt sheetId="4" sqref="O19" start="0" length="0">
    <dxf>
      <fill>
        <patternFill>
          <bgColor rgb="FFCCFFCC"/>
        </patternFill>
      </fill>
    </dxf>
  </rfmt>
  <rfmt sheetId="4" sqref="P19" start="0" length="0">
    <dxf>
      <fill>
        <patternFill>
          <bgColor rgb="FFCCFFCC"/>
        </patternFill>
      </fill>
    </dxf>
  </rfmt>
  <rfmt sheetId="4" sqref="P19" start="0" length="0">
    <dxf>
      <fill>
        <patternFill>
          <bgColor rgb="FFC6EFCE"/>
        </patternFill>
      </fill>
    </dxf>
  </rfmt>
  <rfmt sheetId="4" sqref="P20" start="0" length="0">
    <dxf>
      <fill>
        <patternFill>
          <bgColor rgb="FFCCFFCC"/>
        </patternFill>
      </fill>
    </dxf>
  </rfmt>
  <rfmt sheetId="4" sqref="P20" start="0" length="0">
    <dxf>
      <fill>
        <patternFill>
          <bgColor rgb="FFC6EFCE"/>
        </patternFill>
      </fill>
    </dxf>
  </rfmt>
  <rfmt sheetId="4" sqref="P21" start="0" length="0">
    <dxf>
      <fill>
        <patternFill>
          <bgColor rgb="FFCCFFCC"/>
        </patternFill>
      </fill>
    </dxf>
  </rfmt>
  <rfmt sheetId="4" sqref="P21" start="0" length="0">
    <dxf>
      <fill>
        <patternFill>
          <bgColor rgb="FFC6EFCE"/>
        </patternFill>
      </fill>
    </dxf>
  </rfmt>
  <rcc rId="9813" sId="3" numFmtId="13">
    <oc r="F3">
      <v>0.35714285714285715</v>
    </oc>
    <nc r="F3">
      <v>0.2857142857142857</v>
    </nc>
  </rcc>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814" sId="3" numFmtId="13">
    <oc r="G3">
      <v>0.35135135135135137</v>
    </oc>
    <nc r="G3">
      <v>0.29729729729729731</v>
    </nc>
  </rcc>
  <rcc rId="9815" sId="3" numFmtId="13">
    <oc r="H3">
      <v>0.45945945945945948</v>
    </oc>
    <nc r="H3">
      <v>0.3783783783783784</v>
    </nc>
  </rcc>
  <rcc rId="9816" sId="3" numFmtId="13">
    <oc r="I3">
      <v>0.43243243243243246</v>
    </oc>
    <nc r="I3">
      <v>0.40540540540540543</v>
    </nc>
  </rcc>
  <rcc rId="9817" sId="3" numFmtId="13">
    <oc r="J3">
      <v>0.43243243243243246</v>
    </oc>
    <nc r="J3">
      <v>0.40540540540540543</v>
    </nc>
  </rcc>
  <rcc rId="9818" sId="3" numFmtId="13">
    <oc r="K3">
      <v>0.24324324324324326</v>
    </oc>
    <nc r="K3">
      <v>0.21621621621621623</v>
    </nc>
  </rcc>
  <rcc rId="9819" sId="3" numFmtId="13">
    <oc r="L3">
      <v>0.21621621621621623</v>
    </oc>
    <nc r="L3">
      <v>0.1891891891891892</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R6" start="0" length="0">
    <dxf>
      <fill>
        <patternFill>
          <bgColor rgb="FFC6EFCE"/>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Q7" start="0" length="0">
    <dxf>
      <fill>
        <patternFill>
          <bgColor rgb="FFC6EFCE"/>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R10" start="0" length="0">
    <dxf>
      <fill>
        <patternFill>
          <bgColor rgb="FFC6EFCE"/>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R12" start="0" length="0">
    <dxf>
      <fill>
        <patternFill>
          <bgColor rgb="FFC6EFCE"/>
        </patternFill>
      </fill>
    </dxf>
  </rfmt>
  <rfmt sheetId="4" sqref="S12" start="0" length="0">
    <dxf>
      <fill>
        <patternFill>
          <bgColor rgb="FFCCFFCC"/>
        </patternFill>
      </fill>
    </dxf>
  </rfmt>
  <rfmt sheetId="4" sqref="S12" start="0" length="0">
    <dxf>
      <fill>
        <patternFill>
          <bgColor rgb="FFC6EFCE"/>
        </patternFill>
      </fill>
    </dxf>
  </rfmt>
  <rfmt sheetId="4" sqref="Q13" start="0" length="0">
    <dxf>
      <fill>
        <patternFill>
          <bgColor rgb="FFCCFFCC"/>
        </patternFill>
      </fill>
    </dxf>
  </rfmt>
  <rfmt sheetId="4" sqref="Q13" start="0" length="0">
    <dxf>
      <fill>
        <patternFill>
          <bgColor rgb="FFC6EFCE"/>
        </patternFill>
      </fill>
    </dxf>
  </rfmt>
  <rcc rId="9820" sId="3" numFmtId="13">
    <oc r="P3">
      <v>0.42857142857142855</v>
    </oc>
    <nc r="P3">
      <v>0.2857142857142857</v>
    </nc>
  </rcc>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8" start="0" length="0">
    <dxf>
      <fill>
        <patternFill>
          <bgColor rgb="FFC6EFCE"/>
        </patternFill>
      </fill>
    </dxf>
  </rfmt>
  <rfmt sheetId="4" sqref="V19" start="0" length="0">
    <dxf>
      <fill>
        <patternFill>
          <bgColor rgb="FFCCFFCC"/>
        </patternFill>
      </fill>
    </dxf>
  </rfmt>
  <rfmt sheetId="4" sqref="V19" start="0" length="0">
    <dxf>
      <fill>
        <patternFill>
          <bgColor rgb="FFC6EFCE"/>
        </patternFill>
      </fill>
    </dxf>
  </rfmt>
  <rfmt sheetId="4" sqref="V20" start="0" length="0">
    <dxf>
      <fill>
        <patternFill>
          <bgColor rgb="FFCCFFCC"/>
        </patternFill>
      </fill>
    </dxf>
  </rfmt>
  <rfmt sheetId="4" sqref="V20" start="0" length="0">
    <dxf>
      <fill>
        <patternFill>
          <bgColor rgb="FFC6EFCE"/>
        </patternFill>
      </fill>
    </dxf>
  </rfmt>
  <rfmt sheetId="4" sqref="V21" start="0" length="0">
    <dxf>
      <fill>
        <patternFill>
          <bgColor rgb="FFCCFFCC"/>
        </patternFill>
      </fill>
    </dxf>
  </rfmt>
  <rfmt sheetId="4" sqref="V21" start="0" length="0">
    <dxf>
      <fill>
        <patternFill>
          <bgColor rgb="FFC6EFCE"/>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N25" start="0" length="0">
    <dxf>
      <fill>
        <patternFill>
          <bgColor rgb="FFC6EFCE"/>
        </patternFill>
      </fill>
    </dxf>
  </rfmt>
  <rfmt sheetId="4" sqref="O25" start="0" length="0">
    <dxf>
      <fill>
        <patternFill>
          <bgColor rgb="FFCCFFCC"/>
        </patternFill>
      </fill>
    </dxf>
  </rfmt>
  <rfmt sheetId="4" sqref="O25" start="0" length="0">
    <dxf>
      <fill>
        <patternFill>
          <bgColor rgb="FFC6EFCE"/>
        </patternFill>
      </fill>
    </dxf>
  </rfmt>
  <rfmt sheetId="4" sqref="P25" start="0" length="0">
    <dxf>
      <fill>
        <patternFill>
          <bgColor rgb="FFCCFFCC"/>
        </patternFill>
      </fill>
    </dxf>
  </rfmt>
  <rfmt sheetId="4" sqref="P25" start="0" length="0">
    <dxf>
      <fill>
        <patternFill>
          <bgColor rgb="FFC6EFCE"/>
        </patternFill>
      </fill>
    </dxf>
  </rfmt>
  <rfmt sheetId="4" sqref="N26" start="0" length="0">
    <dxf>
      <fill>
        <patternFill>
          <bgColor rgb="FFCCFFCC"/>
        </patternFill>
      </fill>
    </dxf>
  </rfmt>
  <rfmt sheetId="4" sqref="N26" start="0" length="0">
    <dxf>
      <fill>
        <patternFill>
          <bgColor rgb="FFC6EFCE"/>
        </patternFill>
      </fill>
    </dxf>
  </rfmt>
  <rfmt sheetId="4" sqref="O26" start="0" length="0">
    <dxf>
      <fill>
        <patternFill>
          <bgColor rgb="FFCCFFCC"/>
        </patternFill>
      </fill>
    </dxf>
  </rfmt>
  <rfmt sheetId="4" sqref="O26" start="0" length="0">
    <dxf>
      <fill>
        <patternFill>
          <bgColor rgb="FFC6EFCE"/>
        </patternFill>
      </fill>
    </dxf>
  </rfmt>
  <rfmt sheetId="4" sqref="P26" start="0" length="0">
    <dxf>
      <fill>
        <patternFill>
          <bgColor rgb="FFCCFFCC"/>
        </patternFill>
      </fill>
    </dxf>
  </rfmt>
  <rfmt sheetId="4" sqref="P26" start="0" length="0">
    <dxf>
      <fill>
        <patternFill>
          <bgColor rgb="FFC6EFCE"/>
        </patternFill>
      </fill>
    </dxf>
  </rfmt>
  <rfmt sheetId="4" sqref="S26" start="0" length="0">
    <dxf>
      <fill>
        <patternFill>
          <bgColor rgb="FFCCFFCC"/>
        </patternFill>
      </fill>
    </dxf>
  </rfmt>
  <rfmt sheetId="4" sqref="S26" start="0" length="0">
    <dxf>
      <fill>
        <patternFill>
          <bgColor rgb="FFC6EFCE"/>
        </patternFill>
      </fill>
    </dxf>
  </rfmt>
  <rfmt sheetId="4" sqref="N27" start="0" length="0">
    <dxf>
      <fill>
        <patternFill>
          <bgColor rgb="FFCCFFCC"/>
        </patternFill>
      </fill>
    </dxf>
  </rfmt>
  <rfmt sheetId="4" sqref="N27" start="0" length="0">
    <dxf>
      <fill>
        <patternFill>
          <bgColor rgb="FFC6EFCE"/>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0" start="0" length="0">
    <dxf>
      <fill>
        <patternFill>
          <bgColor rgb="FFC6EFCE"/>
        </patternFill>
      </fill>
    </dxf>
  </rfmt>
  <rfmt sheetId="4" sqref="V11" start="0" length="0">
    <dxf>
      <fill>
        <patternFill>
          <bgColor rgb="FFCCFFCC"/>
        </patternFill>
      </fill>
    </dxf>
  </rfmt>
  <rfmt sheetId="4" sqref="V11" start="0" length="0">
    <dxf>
      <fill>
        <patternFill>
          <bgColor rgb="FFC6EFCE"/>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4" start="0" length="0">
    <dxf>
      <fill>
        <patternFill>
          <bgColor rgb="FFC6EFCE"/>
        </patternFill>
      </fill>
    </dxf>
  </rfmt>
  <rfmt sheetId="4" sqref="V15" start="0" length="0">
    <dxf>
      <fill>
        <patternFill>
          <bgColor rgb="FFCCFFCC"/>
        </patternFill>
      </fill>
    </dxf>
  </rfmt>
  <rfmt sheetId="4" sqref="V15" start="0" length="0">
    <dxf>
      <fill>
        <patternFill>
          <bgColor rgb="FFC6EFCE"/>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H39" start="0" length="0">
    <dxf>
      <fill>
        <patternFill>
          <bgColor rgb="FFC6EFCE"/>
        </patternFill>
      </fill>
    </dxf>
  </rfmt>
  <rfmt sheetId="4" sqref="I39" start="0" length="0">
    <dxf>
      <fill>
        <patternFill>
          <bgColor rgb="FFCCFFCC"/>
        </patternFill>
      </fill>
    </dxf>
  </rfmt>
  <rfmt sheetId="4" sqref="I39" start="0" length="0">
    <dxf>
      <fill>
        <patternFill>
          <bgColor rgb="FFC6EFCE"/>
        </patternFill>
      </fill>
    </dxf>
  </rfmt>
  <rfmt sheetId="4" sqref="J39" start="0" length="0">
    <dxf>
      <fill>
        <patternFill>
          <bgColor rgb="FFCCFFCC"/>
        </patternFill>
      </fill>
    </dxf>
  </rfmt>
  <rfmt sheetId="4" sqref="J39" start="0" length="0">
    <dxf>
      <fill>
        <patternFill>
          <bgColor rgb="FFC6EFCE"/>
        </patternFill>
      </fill>
    </dxf>
  </rfmt>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B68" start="0" length="0">
    <dxf>
      <fill>
        <patternFill>
          <bgColor rgb="FFC6EFCE"/>
        </patternFill>
      </fill>
    </dxf>
  </rfmt>
  <rfmt sheetId="3" sqref="C68" start="0" length="0">
    <dxf>
      <fill>
        <patternFill>
          <bgColor rgb="FFC6EFCE"/>
        </patternFill>
      </fill>
    </dxf>
  </rfmt>
  <rfmt sheetId="3" sqref="D68" start="0" length="0">
    <dxf>
      <fill>
        <patternFill>
          <bgColor rgb="FFC6EFCE"/>
        </patternFill>
      </fill>
    </dxf>
  </rfmt>
  <rfmt sheetId="3" sqref="E68" start="0" length="0">
    <dxf>
      <fill>
        <patternFill>
          <bgColor rgb="FFC6EFCE"/>
        </patternFill>
      </fill>
    </dxf>
  </rfmt>
  <rfmt sheetId="3" sqref="F68" start="0" length="0">
    <dxf>
      <fill>
        <patternFill>
          <bgColor rgb="FFC6EFCE"/>
        </patternFill>
      </fill>
    </dxf>
  </rfmt>
  <rfmt sheetId="3" sqref="G68" start="0" length="0">
    <dxf>
      <fill>
        <patternFill>
          <bgColor rgb="FFC6EFCE"/>
        </patternFill>
      </fill>
    </dxf>
  </rfmt>
  <rfmt sheetId="3" sqref="H68" start="0" length="0">
    <dxf>
      <fill>
        <patternFill>
          <bgColor rgb="FFC6EFCE"/>
        </patternFill>
      </fill>
    </dxf>
  </rfmt>
  <rcc rId="9821" sId="3" odxf="1" dxf="1">
    <nc r="I68">
      <v>0</v>
    </nc>
    <odxf>
      <fill>
        <patternFill>
          <bgColor theme="0"/>
        </patternFill>
      </fill>
    </odxf>
    <ndxf>
      <fill>
        <patternFill>
          <bgColor rgb="FFC6EFCE"/>
        </patternFill>
      </fill>
    </ndxf>
  </rcc>
  <rcc rId="9822" sId="3" odxf="1" dxf="1">
    <nc r="J68">
      <v>0</v>
    </nc>
    <odxf>
      <fill>
        <patternFill>
          <bgColor theme="0"/>
        </patternFill>
      </fill>
    </odxf>
    <ndxf>
      <fill>
        <patternFill>
          <bgColor rgb="FFC6EFCE"/>
        </patternFill>
      </fill>
    </ndxf>
  </rcc>
  <rcc rId="9823" sId="3" odxf="1" dxf="1">
    <nc r="K68">
      <v>0</v>
    </nc>
    <odxf>
      <fill>
        <patternFill>
          <bgColor theme="0"/>
        </patternFill>
      </fill>
    </odxf>
    <ndxf>
      <fill>
        <patternFill>
          <bgColor rgb="FFC6EFCE"/>
        </patternFill>
      </fill>
    </ndxf>
  </rcc>
  <rcc rId="9824" sId="3" odxf="1" dxf="1">
    <nc r="L68">
      <v>0</v>
    </nc>
    <odxf>
      <fill>
        <patternFill>
          <bgColor theme="0"/>
        </patternFill>
      </fill>
    </odxf>
    <ndxf>
      <fill>
        <patternFill>
          <bgColor rgb="FFC6EFCE"/>
        </patternFill>
      </fill>
    </ndxf>
  </rcc>
  <rcc rId="9825" sId="3" odxf="1" dxf="1">
    <nc r="M68">
      <v>0</v>
    </nc>
    <odxf>
      <fill>
        <patternFill>
          <bgColor theme="0"/>
        </patternFill>
      </fill>
    </odxf>
    <ndxf>
      <fill>
        <patternFill>
          <bgColor rgb="FFC6EFCE"/>
        </patternFill>
      </fill>
    </ndxf>
  </rcc>
  <rcc rId="9826" sId="3" odxf="1" dxf="1">
    <nc r="N68">
      <v>0</v>
    </nc>
    <odxf>
      <fill>
        <patternFill>
          <bgColor theme="0"/>
        </patternFill>
      </fill>
    </odxf>
    <ndxf>
      <fill>
        <patternFill>
          <bgColor rgb="FFC6EFCE"/>
        </patternFill>
      </fill>
    </ndxf>
  </rcc>
  <rfmt sheetId="3" sqref="O68" start="0" length="0">
    <dxf>
      <fill>
        <patternFill>
          <bgColor rgb="FFC6EFCE"/>
        </patternFill>
      </fill>
    </dxf>
  </rfmt>
  <rfmt sheetId="3" sqref="P68" start="0" length="0">
    <dxf>
      <fill>
        <patternFill>
          <bgColor rgb="FFC6EFCE"/>
        </patternFill>
      </fill>
    </dxf>
  </rfmt>
  <rfmt sheetId="3" sqref="Q68" start="0" length="0">
    <dxf>
      <fill>
        <patternFill>
          <bgColor rgb="FFC6EFCE"/>
        </patternFill>
      </fill>
    </dxf>
  </rfmt>
  <rfmt sheetId="3" sqref="R68" start="0" length="0">
    <dxf>
      <fill>
        <patternFill>
          <bgColor rgb="FFC6EFCE"/>
        </patternFill>
      </fill>
    </dxf>
  </rfmt>
  <rfmt sheetId="3" sqref="S68" start="0" length="0">
    <dxf>
      <fill>
        <patternFill>
          <bgColor rgb="FFC6EFCE"/>
        </patternFill>
      </fill>
    </dxf>
  </rfmt>
  <rfmt sheetId="3" sqref="T68" start="0" length="0">
    <dxf>
      <fill>
        <patternFill>
          <bgColor rgb="FFC6EFCE"/>
        </patternFill>
      </fill>
    </dxf>
  </rfmt>
  <rfmt sheetId="3" sqref="U68" start="0" length="0">
    <dxf>
      <fill>
        <patternFill>
          <bgColor rgb="FFC6EFCE"/>
        </patternFill>
      </fill>
    </dxf>
  </rfmt>
  <rcc rId="9827" sId="3" odxf="1" dxf="1">
    <nc r="W68" t="inlineStr">
      <is>
        <t>Pass</t>
      </is>
    </nc>
    <odxf>
      <fill>
        <patternFill>
          <bgColor theme="0"/>
        </patternFill>
      </fill>
    </odxf>
    <ndxf>
      <fill>
        <patternFill>
          <bgColor rgb="FFC6EFCE"/>
        </patternFill>
      </fill>
    </ndxf>
  </rcc>
  <rcc rId="9828" sId="3" numFmtId="19">
    <nc r="A68">
      <v>41779</v>
    </nc>
  </rcc>
  <rcc rId="9829" sId="3">
    <nc r="B68">
      <v>16</v>
    </nc>
  </rcc>
  <rcc rId="9830" sId="3">
    <nc r="C68">
      <v>17</v>
    </nc>
  </rcc>
  <rcc rId="9831" sId="3">
    <nc r="D68">
      <v>17</v>
    </nc>
  </rcc>
  <rcc rId="9832" sId="3">
    <nc r="E68">
      <v>37</v>
    </nc>
  </rcc>
  <rcc rId="9833" sId="3">
    <nc r="F68">
      <v>8</v>
    </nc>
  </rcc>
  <rcc rId="9834" sId="3">
    <nc r="G68">
      <v>17</v>
    </nc>
  </rcc>
  <rcc rId="9835" sId="3">
    <nc r="H68">
      <v>13</v>
    </nc>
  </rcc>
  <rcc rId="9836" sId="3">
    <nc r="O68">
      <v>3</v>
    </nc>
  </rcc>
  <rcc rId="9837" sId="3">
    <nc r="P68">
      <v>5</v>
    </nc>
  </rcc>
  <rcc rId="9838" sId="3">
    <nc r="Q68">
      <v>1</v>
    </nc>
  </rcc>
  <rcc rId="9839" sId="3">
    <nc r="R68">
      <v>5</v>
    </nc>
  </rcc>
  <rcc rId="9840" sId="3">
    <nc r="S68">
      <v>1</v>
    </nc>
  </rcc>
  <rcc rId="9841" sId="3">
    <nc r="T68">
      <v>2</v>
    </nc>
  </rcc>
  <rcc rId="9842" sId="3">
    <nc r="U68">
      <v>6</v>
    </nc>
  </rcc>
  <rcc rId="9843" sId="3">
    <nc r="X68" t="inlineStr">
      <is>
        <t xml:space="preserve">All units have valid video and audio output.
VID warnings on several units
MPE warnings on all units
TX CC errors on PID 2904 on all units, uplink issue
AUD2 warnings on unit 132, issue CSCuh61762
MC Asserts on unit 131
</t>
      </is>
    </nc>
  </rcc>
  <rcc rId="9844" sId="3">
    <oc r="V66" t="inlineStr">
      <is>
        <t>T1.10B14(1.00)</t>
      </is>
    </oc>
    <nc r="V66" t="inlineStr">
      <is>
        <t>R01.10.00DD</t>
      </is>
    </nc>
  </rcc>
  <rcc rId="9845" sId="3">
    <oc r="V67" t="inlineStr">
      <is>
        <t>T1.10B14(1.00)</t>
      </is>
    </oc>
    <nc r="V67" t="inlineStr">
      <is>
        <t>R01.10.00DD</t>
      </is>
    </nc>
  </rcc>
  <rcc rId="9846" sId="3">
    <nc r="V68" t="inlineStr">
      <is>
        <t>R01.10.00DD</t>
      </is>
    </nc>
  </rcc>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847" sId="4" numFmtId="19">
    <oc r="I2">
      <v>41775</v>
    </oc>
    <nc r="I2">
      <v>41779</v>
    </nc>
  </rcc>
  <rcc rId="9848" sId="4">
    <oc r="K2" t="inlineStr">
      <is>
        <t>T1.10B14(1.00)</t>
      </is>
    </oc>
    <nc r="K2" t="inlineStr">
      <is>
        <t>R01.10.00DD</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8" start="0" length="0">
    <dxf>
      <fill>
        <patternFill>
          <bgColor rgb="FFC6EFCE"/>
        </patternFill>
      </fill>
    </dxf>
  </rfmt>
  <rfmt sheetId="4" sqref="B9" start="0" length="0">
    <dxf>
      <fill>
        <patternFill>
          <bgColor rgb="FFCCFFCC"/>
        </patternFill>
      </fill>
    </dxf>
  </rfmt>
  <rfmt sheetId="4" sqref="B9" start="0" length="0">
    <dxf>
      <fill>
        <patternFill>
          <bgColor rgb="FFC6EFCE"/>
        </patternFill>
      </fill>
    </dxf>
  </rfmt>
  <rfmt sheetId="4" sqref="B10" start="0" length="0">
    <dxf>
      <fill>
        <patternFill>
          <bgColor rgb="FFCCFFCC"/>
        </patternFill>
      </fill>
    </dxf>
  </rfmt>
  <rfmt sheetId="4" sqref="B10" start="0" length="0">
    <dxf>
      <fill>
        <patternFill>
          <bgColor rgb="FFC6EFCE"/>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7" start="0" length="0">
    <dxf>
      <fill>
        <patternFill>
          <bgColor rgb="FFC6EFCE"/>
        </patternFill>
      </fill>
    </dxf>
  </rfmt>
  <rfmt sheetId="4" sqref="B18" start="0" length="0">
    <dxf>
      <fill>
        <patternFill>
          <bgColor rgb="FFCCFFCC"/>
        </patternFill>
      </fill>
    </dxf>
  </rfmt>
  <rfmt sheetId="4" sqref="B18" start="0" length="0">
    <dxf>
      <fill>
        <patternFill>
          <bgColor rgb="FFC6EFCE"/>
        </patternFill>
      </fill>
    </dxf>
  </rfmt>
  <rfmt sheetId="4" sqref="B20" start="0" length="0">
    <dxf>
      <fill>
        <patternFill>
          <bgColor rgb="FFCCFFCC"/>
        </patternFill>
      </fill>
    </dxf>
  </rfmt>
  <rfmt sheetId="4" sqref="B20" start="0" length="0">
    <dxf>
      <fill>
        <patternFill>
          <bgColor rgb="FFC6EFCE"/>
        </patternFill>
      </fill>
    </dxf>
  </rfmt>
  <rfmt sheetId="4" sqref="B23" start="0" length="0">
    <dxf>
      <fill>
        <patternFill>
          <bgColor rgb="FFCCFFCC"/>
        </patternFill>
      </fill>
    </dxf>
  </rfmt>
  <rfmt sheetId="4" sqref="B24" start="0" length="0">
    <dxf>
      <fill>
        <patternFill>
          <bgColor rgb="FFCCFFCC"/>
        </patternFill>
      </fill>
    </dxf>
  </rfmt>
  <rfmt sheetId="4" sqref="B24" start="0" length="0">
    <dxf>
      <fill>
        <patternFill>
          <bgColor rgb="FFC6EFCE"/>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5" start="0" length="0">
    <dxf>
      <fill>
        <patternFill>
          <bgColor rgb="FFC6EFCE"/>
        </patternFill>
      </fill>
    </dxf>
  </rfmt>
  <rfmt sheetId="4" sqref="E6" start="0" length="0">
    <dxf>
      <fill>
        <patternFill>
          <bgColor rgb="FFCCFFCC"/>
        </patternFill>
      </fill>
    </dxf>
  </rfmt>
  <rfmt sheetId="4" sqref="E6" start="0" length="0">
    <dxf>
      <fill>
        <patternFill>
          <bgColor rgb="FFC6EFCE"/>
        </patternFill>
      </fill>
    </dxf>
  </rfmt>
  <rfmt sheetId="4" sqref="E7" start="0" length="0">
    <dxf>
      <fill>
        <patternFill>
          <bgColor rgb="FFCCFFCC"/>
        </patternFill>
      </fill>
    </dxf>
  </rfmt>
  <rfmt sheetId="4" sqref="E7" start="0" length="0">
    <dxf>
      <fill>
        <patternFill>
          <bgColor rgb="FFC6EFCE"/>
        </patternFill>
      </fill>
    </dxf>
  </rfmt>
  <rfmt sheetId="4" sqref="E10" start="0" length="0">
    <dxf>
      <fill>
        <patternFill>
          <bgColor rgb="FFCCFFCC"/>
        </patternFill>
      </fill>
    </dxf>
  </rfmt>
  <rfmt sheetId="4" sqref="E10" start="0" length="0">
    <dxf>
      <fill>
        <patternFill>
          <bgColor rgb="FFC6EFCE"/>
        </patternFill>
      </fill>
    </dxf>
  </rfmt>
  <rfmt sheetId="4" sqref="E11" start="0" length="0">
    <dxf>
      <fill>
        <patternFill>
          <bgColor rgb="FFCCFFCC"/>
        </patternFill>
      </fill>
    </dxf>
  </rfmt>
  <rfmt sheetId="4" sqref="E19" start="0" length="0">
    <dxf>
      <fill>
        <patternFill>
          <bgColor rgb="FFCCFFCC"/>
        </patternFill>
      </fill>
    </dxf>
  </rfmt>
  <rfmt sheetId="4" sqref="E19" start="0" length="0">
    <dxf>
      <fill>
        <patternFill>
          <bgColor rgb="FFC6EFCE"/>
        </patternFill>
      </fill>
    </dxf>
  </rfmt>
  <rfmt sheetId="4" sqref="E20" start="0" length="0">
    <dxf>
      <fill>
        <patternFill>
          <bgColor rgb="FFCCFFCC"/>
        </patternFill>
      </fill>
    </dxf>
  </rfmt>
  <rfmt sheetId="4" sqref="E20" start="0" length="0">
    <dxf>
      <fill>
        <patternFill>
          <bgColor rgb="FFC6EFCE"/>
        </patternFill>
      </fill>
    </dxf>
  </rfmt>
  <rfmt sheetId="4" sqref="E21" start="0" length="0">
    <dxf>
      <fill>
        <patternFill>
          <bgColor rgb="FFCCFFCC"/>
        </patternFill>
      </fill>
    </dxf>
  </rfmt>
  <rfmt sheetId="4" sqref="E21" start="0" length="0">
    <dxf>
      <fill>
        <patternFill>
          <bgColor rgb="FFC6EFCE"/>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L6" start="0" length="0">
    <dxf>
      <fill>
        <patternFill>
          <bgColor rgb="FFFFFFFF"/>
        </patternFill>
      </fill>
    </dxf>
  </rfmt>
  <rfmt sheetId="4" sqref="M6" start="0" length="0">
    <dxf>
      <fill>
        <patternFill>
          <bgColor rgb="FFFFFFFF"/>
        </patternFill>
      </fill>
    </dxf>
  </rfmt>
  <rfmt sheetId="4" sqref="N6" start="0" length="0">
    <dxf>
      <fill>
        <patternFill>
          <bgColor rgb="FFFFFFFF"/>
        </patternFill>
      </fill>
    </dxf>
  </rfmt>
  <rfmt sheetId="4" sqref="K7" start="0" length="0">
    <dxf>
      <fill>
        <patternFill>
          <bgColor rgb="FFFFFFFF"/>
        </patternFill>
      </fill>
    </dxf>
  </rfmt>
  <rfmt sheetId="4" sqref="L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J8" start="0" length="0">
    <dxf>
      <fill>
        <patternFill>
          <bgColor rgb="FFFFFFFF"/>
        </patternFill>
      </fill>
    </dxf>
  </rfmt>
  <rfmt sheetId="4" sqref="K8" start="0" length="0">
    <dxf>
      <fill>
        <patternFill>
          <bgColor rgb="FFFFFFFF"/>
        </patternFill>
      </fill>
    </dxf>
  </rfmt>
  <rfmt sheetId="4" sqref="L8" start="0" length="0">
    <dxf>
      <fill>
        <patternFill>
          <bgColor rgb="FFFFFFFF"/>
        </patternFill>
      </fill>
    </dxf>
  </rfmt>
  <rfmt sheetId="4" sqref="M8" start="0" length="0">
    <dxf>
      <fill>
        <patternFill>
          <bgColor rgb="FFFFFFFF"/>
        </patternFill>
      </fill>
    </dxf>
  </rfmt>
  <rfmt sheetId="4" sqref="N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K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I5" start="0" length="0">
    <dxf>
      <fill>
        <patternFill>
          <bgColor rgb="FFC6EFCE"/>
        </patternFill>
      </fill>
    </dxf>
  </rfmt>
  <rfmt sheetId="4" sqref="J5" start="0" length="0">
    <dxf>
      <fill>
        <patternFill>
          <bgColor rgb="FFCCFFCC"/>
        </patternFill>
      </fill>
    </dxf>
  </rfmt>
  <rfmt sheetId="4" sqref="J5" start="0" length="0">
    <dxf>
      <fill>
        <patternFill>
          <bgColor rgb="FFC6EFCE"/>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I6" start="0" length="0">
    <dxf>
      <fill>
        <patternFill>
          <bgColor rgb="FFC6EFCE"/>
        </patternFill>
      </fill>
    </dxf>
  </rfmt>
  <rfmt sheetId="4" sqref="J6" start="0" length="0">
    <dxf>
      <fill>
        <patternFill>
          <bgColor rgb="FFCCFFCC"/>
        </patternFill>
      </fill>
    </dxf>
  </rfmt>
  <rfmt sheetId="4" sqref="K6" start="0" length="0">
    <dxf>
      <fill>
        <patternFill>
          <bgColor rgb="FFCCFFCC"/>
        </patternFill>
      </fill>
    </dxf>
  </rfmt>
  <rfmt sheetId="4" sqref="K6" start="0" length="0">
    <dxf>
      <fill>
        <patternFill>
          <bgColor rgb="FFC6EFCE"/>
        </patternFill>
      </fill>
    </dxf>
  </rfmt>
  <rfmt sheetId="4" sqref="L6" start="0" length="0">
    <dxf>
      <fill>
        <patternFill>
          <bgColor rgb="FFC6EFCE"/>
        </patternFill>
      </fill>
    </dxf>
  </rfmt>
  <rfmt sheetId="4" sqref="M6" start="0" length="0">
    <dxf>
      <fill>
        <patternFill>
          <bgColor rgb="FFCCFFCC"/>
        </patternFill>
      </fill>
    </dxf>
  </rfmt>
  <rfmt sheetId="4" sqref="N6" start="0" length="0">
    <dxf>
      <fill>
        <patternFill>
          <bgColor rgb="FFC6EFCE"/>
        </patternFill>
      </fill>
    </dxf>
  </rfmt>
  <rfmt sheetId="4" sqref="K7" start="0" length="0">
    <dxf>
      <fill>
        <patternFill>
          <bgColor rgb="FFCCFFCC"/>
        </patternFill>
      </fill>
    </dxf>
  </rfmt>
  <rfmt sheetId="4" sqref="L7" start="0" length="0">
    <dxf>
      <fill>
        <patternFill>
          <bgColor rgb="FFC6EFCE"/>
        </patternFill>
      </fill>
    </dxf>
  </rfmt>
  <rfmt sheetId="4" sqref="M7" start="0" length="0">
    <dxf>
      <fill>
        <patternFill>
          <bgColor rgb="FFCCFFCC"/>
        </patternFill>
      </fill>
    </dxf>
  </rfmt>
  <rfmt sheetId="4" sqref="N7" start="0" length="0">
    <dxf>
      <fill>
        <patternFill>
          <bgColor rgb="FFCCFFCC"/>
        </patternFill>
      </fill>
    </dxf>
  </rfmt>
  <rfmt sheetId="4" sqref="I8" start="0" length="0">
    <dxf>
      <fill>
        <patternFill>
          <bgColor rgb="FFCCFFCC"/>
        </patternFill>
      </fill>
    </dxf>
  </rfmt>
  <rfmt sheetId="4" sqref="J8" start="0" length="0">
    <dxf>
      <fill>
        <patternFill>
          <bgColor rgb="FFCCFFCC"/>
        </patternFill>
      </fill>
    </dxf>
  </rfmt>
  <rfmt sheetId="4" sqref="K8" start="0" length="0">
    <dxf>
      <fill>
        <patternFill>
          <bgColor rgb="FFCCFFCC"/>
        </patternFill>
      </fill>
    </dxf>
  </rfmt>
  <rfmt sheetId="4" sqref="K8" start="0" length="0">
    <dxf>
      <fill>
        <patternFill>
          <bgColor rgb="FFC6EFCE"/>
        </patternFill>
      </fill>
    </dxf>
  </rfmt>
  <rfmt sheetId="4" sqref="L8" start="0" length="0">
    <dxf>
      <fill>
        <patternFill>
          <bgColor rgb="FFCCFFCC"/>
        </patternFill>
      </fill>
    </dxf>
  </rfmt>
  <rfmt sheetId="4" sqref="M8" start="0" length="0">
    <dxf>
      <fill>
        <patternFill>
          <bgColor rgb="FFCCFFCC"/>
        </patternFill>
      </fill>
    </dxf>
  </rfmt>
  <rfmt sheetId="4" sqref="M8" start="0" length="0">
    <dxf>
      <fill>
        <patternFill>
          <bgColor rgb="FFC6EFCE"/>
        </patternFill>
      </fill>
    </dxf>
  </rfmt>
  <rfmt sheetId="4" sqref="N8" start="0" length="0">
    <dxf>
      <fill>
        <patternFill>
          <bgColor rgb="FFC6EFCE"/>
        </patternFill>
      </fill>
    </dxf>
  </rfmt>
  <rfmt sheetId="4" sqref="I9" start="0" length="0">
    <dxf>
      <fill>
        <patternFill>
          <bgColor rgb="FFCCFFCC"/>
        </patternFill>
      </fill>
    </dxf>
  </rfmt>
  <rfmt sheetId="4" sqref="I9" start="0" length="0">
    <dxf>
      <fill>
        <patternFill>
          <bgColor rgb="FFC6EFCE"/>
        </patternFill>
      </fill>
    </dxf>
  </rfmt>
  <rfmt sheetId="4" sqref="J9" start="0" length="0">
    <dxf>
      <fill>
        <patternFill>
          <bgColor rgb="FFCCFFCC"/>
        </patternFill>
      </fill>
    </dxf>
  </rfmt>
  <rfmt sheetId="4" sqref="J9" start="0" length="0">
    <dxf>
      <fill>
        <patternFill>
          <bgColor rgb="FFC6EFCE"/>
        </patternFill>
      </fill>
    </dxf>
  </rfmt>
  <rfmt sheetId="4" sqref="K9" start="0" length="0">
    <dxf>
      <fill>
        <patternFill>
          <bgColor rgb="FFCCFFCC"/>
        </patternFill>
      </fill>
    </dxf>
  </rfmt>
  <rfmt sheetId="4" sqref="K9" start="0" length="0">
    <dxf>
      <fill>
        <patternFill>
          <bgColor rgb="FFC6EFCE"/>
        </patternFill>
      </fill>
    </dxf>
  </rfmt>
  <rfmt sheetId="4" sqref="L9" start="0" length="0">
    <dxf>
      <fill>
        <patternFill>
          <bgColor rgb="FFCCFFCC"/>
        </patternFill>
      </fill>
    </dxf>
  </rfmt>
  <rfmt sheetId="4" sqref="M9" start="0" length="0">
    <dxf>
      <fill>
        <patternFill>
          <bgColor rgb="FFCCFFCC"/>
        </patternFill>
      </fill>
    </dxf>
  </rfmt>
  <rfmt sheetId="4" sqref="M9" start="0" length="0">
    <dxf>
      <fill>
        <patternFill>
          <bgColor rgb="FFC6EFCE"/>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K10" start="0" length="0">
    <dxf>
      <fill>
        <patternFill>
          <bgColor rgb="FFC6EFCE"/>
        </patternFill>
      </fill>
    </dxf>
  </rfmt>
  <rfmt sheetId="4" sqref="L10" start="0" length="0">
    <dxf>
      <fill>
        <patternFill>
          <bgColor rgb="FFCCFFCC"/>
        </patternFill>
      </fill>
    </dxf>
  </rfmt>
  <rfmt sheetId="4" sqref="M10" start="0" length="0">
    <dxf>
      <fill>
        <patternFill>
          <bgColor rgb="FFCCFFCC"/>
        </patternFill>
      </fill>
    </dxf>
  </rfmt>
  <rfmt sheetId="4" sqref="M10" start="0" length="0">
    <dxf>
      <fill>
        <patternFill>
          <bgColor rgb="FFC6EFCE"/>
        </patternFill>
      </fill>
    </dxf>
  </rfmt>
  <rfmt sheetId="4" sqref="N10" start="0" length="0">
    <dxf>
      <fill>
        <patternFill>
          <bgColor rgb="FFCCFFCC"/>
        </patternFill>
      </fill>
    </dxf>
  </rfmt>
  <rfmt sheetId="4" sqref="K12" start="0" length="0">
    <dxf>
      <fill>
        <patternFill>
          <bgColor rgb="FFCCFFCC"/>
        </patternFill>
      </fill>
    </dxf>
  </rfmt>
  <rfmt sheetId="4" sqref="K12" start="0" length="0">
    <dxf>
      <fill>
        <patternFill>
          <bgColor rgb="FFC6EFCE"/>
        </patternFill>
      </fill>
    </dxf>
  </rfmt>
  <rfmt sheetId="4" sqref="L12" start="0" length="0">
    <dxf>
      <fill>
        <patternFill>
          <bgColor rgb="FFCCFFCC"/>
        </patternFill>
      </fill>
    </dxf>
  </rfmt>
  <rcc rId="9849" sId="3" numFmtId="13">
    <oc r="D3">
      <v>0.34693877551020408</v>
    </oc>
    <nc r="D3">
      <v>0.32653061224489793</v>
    </nc>
  </rcc>
  <rfmt sheetId="4" sqref="K17" start="0" length="0">
    <dxf>
      <fill>
        <patternFill>
          <bgColor rgb="FFFFFFFF"/>
        </patternFill>
      </fill>
    </dxf>
  </rfmt>
  <rfmt sheetId="4" sqref="H21" start="0" length="0">
    <dxf>
      <fill>
        <patternFill>
          <bgColor rgb="FFFFFFFF"/>
        </patternFill>
      </fill>
    </dxf>
  </rfmt>
  <rfmt sheetId="4" sqref="I21" start="0" length="0">
    <dxf>
      <fill>
        <patternFill>
          <bgColor rgb="FFFFFFFF"/>
        </patternFill>
      </fill>
    </dxf>
  </rfmt>
  <rfmt sheetId="4" sqref="J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2" start="0" length="0">
    <dxf>
      <fill>
        <patternFill>
          <bgColor rgb="FFFFFFFF"/>
        </patternFill>
      </fill>
    </dxf>
  </rfmt>
  <rfmt sheetId="4" sqref="K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I30"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J31"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I21" start="0" length="0">
    <dxf>
      <fill>
        <patternFill>
          <bgColor rgb="FFC6EFCE"/>
        </patternFill>
      </fill>
    </dxf>
  </rfmt>
  <rfmt sheetId="4" sqref="J21" start="0" length="0">
    <dxf>
      <fill>
        <patternFill>
          <bgColor rgb="FFC6EFCE"/>
        </patternFill>
      </fill>
    </dxf>
  </rfmt>
  <rfmt sheetId="4" sqref="K21" start="0" length="0">
    <dxf>
      <fill>
        <patternFill>
          <bgColor rgb="FFCCFFCC"/>
        </patternFill>
      </fill>
    </dxf>
  </rfmt>
  <rfmt sheetId="4" sqref="K21" start="0" length="0">
    <dxf>
      <fill>
        <patternFill>
          <bgColor rgb="FFC6EFCE"/>
        </patternFill>
      </fill>
    </dxf>
  </rfmt>
  <rfmt sheetId="4" sqref="H22" start="0" length="0">
    <dxf>
      <fill>
        <patternFill>
          <bgColor rgb="FFCCFFCC"/>
        </patternFill>
      </fill>
    </dxf>
  </rfmt>
  <rfmt sheetId="4" sqref="H22" start="0" length="0">
    <dxf>
      <fill>
        <patternFill>
          <bgColor rgb="FFC6EFCE"/>
        </patternFill>
      </fill>
    </dxf>
  </rfmt>
  <rfmt sheetId="4" sqref="I22" start="0" length="0">
    <dxf>
      <fill>
        <patternFill>
          <bgColor rgb="FFCCFFCC"/>
        </patternFill>
      </fill>
    </dxf>
  </rfmt>
  <rfmt sheetId="4" sqref="J22" start="0" length="0">
    <dxf>
      <fill>
        <patternFill>
          <bgColor rgb="FFC6EFCE"/>
        </patternFill>
      </fill>
    </dxf>
  </rfmt>
  <rfmt sheetId="4" sqref="K22" start="0" length="0">
    <dxf>
      <fill>
        <patternFill>
          <bgColor rgb="FFC6EFCE"/>
        </patternFill>
      </fill>
    </dxf>
  </rfmt>
  <rfmt sheetId="4" sqref="J23" start="0" length="0">
    <dxf>
      <fill>
        <patternFill>
          <bgColor rgb="FFCCFFCC"/>
        </patternFill>
      </fill>
    </dxf>
  </rfmt>
  <rfmt sheetId="4" sqref="J23" start="0" length="0">
    <dxf>
      <fill>
        <patternFill>
          <bgColor rgb="FFC6EFCE"/>
        </patternFill>
      </fill>
    </dxf>
  </rfmt>
  <rfmt sheetId="4" sqref="J24" start="0" length="0">
    <dxf>
      <fill>
        <patternFill>
          <bgColor rgb="FFCCFFCC"/>
        </patternFill>
      </fill>
    </dxf>
  </rfmt>
  <rfmt sheetId="4" sqref="H25" start="0" length="0">
    <dxf>
      <fill>
        <patternFill>
          <bgColor rgb="FFCCFFCC"/>
        </patternFill>
      </fill>
    </dxf>
  </rfmt>
  <rfmt sheetId="4" sqref="H25" start="0" length="0">
    <dxf>
      <fill>
        <patternFill>
          <bgColor rgb="FFC6EFCE"/>
        </patternFill>
      </fill>
    </dxf>
  </rfmt>
  <rfmt sheetId="4" sqref="I25" start="0" length="0">
    <dxf>
      <fill>
        <patternFill>
          <bgColor rgb="FFCCFFCC"/>
        </patternFill>
      </fill>
    </dxf>
  </rfmt>
  <rfmt sheetId="4" sqref="J25" start="0" length="0">
    <dxf>
      <fill>
        <patternFill>
          <bgColor rgb="FFCCFFCC"/>
        </patternFill>
      </fill>
    </dxf>
  </rfmt>
  <rfmt sheetId="4" sqref="J25" start="0" length="0">
    <dxf>
      <fill>
        <patternFill>
          <bgColor rgb="FFC6EFCE"/>
        </patternFill>
      </fill>
    </dxf>
  </rfmt>
  <rfmt sheetId="4" sqref="K25" start="0" length="0">
    <dxf>
      <fill>
        <patternFill>
          <bgColor rgb="FFCCFFCC"/>
        </patternFill>
      </fill>
    </dxf>
  </rfmt>
  <rfmt sheetId="4" sqref="H26" start="0" length="0">
    <dxf>
      <fill>
        <patternFill>
          <bgColor rgb="FFCCFFCC"/>
        </patternFill>
      </fill>
    </dxf>
  </rfmt>
  <rfmt sheetId="4" sqref="H26" start="0" length="0">
    <dxf>
      <fill>
        <patternFill>
          <bgColor rgb="FFC6EFCE"/>
        </patternFill>
      </fill>
    </dxf>
  </rfmt>
  <rfmt sheetId="4" sqref="H27" start="0" length="0">
    <dxf>
      <fill>
        <patternFill>
          <bgColor rgb="FFCCFFCC"/>
        </patternFill>
      </fill>
    </dxf>
  </rfmt>
  <rfmt sheetId="4" sqref="H27" start="0" length="0">
    <dxf>
      <fill>
        <patternFill>
          <bgColor rgb="FFC6EFCE"/>
        </patternFill>
      </fill>
    </dxf>
  </rfmt>
  <rfmt sheetId="4" sqref="I27" start="0" length="0">
    <dxf>
      <fill>
        <patternFill>
          <bgColor rgb="FFCCFFCC"/>
        </patternFill>
      </fill>
    </dxf>
  </rfmt>
  <rfmt sheetId="4" sqref="I27" start="0" length="0">
    <dxf>
      <fill>
        <patternFill>
          <bgColor rgb="FFC6EFCE"/>
        </patternFill>
      </fill>
    </dxf>
  </rfmt>
  <rfmt sheetId="4" sqref="J27" start="0" length="0">
    <dxf>
      <fill>
        <patternFill>
          <bgColor rgb="FFCCFFCC"/>
        </patternFill>
      </fill>
    </dxf>
  </rfmt>
  <rfmt sheetId="4" sqref="I28" start="0" length="0">
    <dxf>
      <fill>
        <patternFill>
          <bgColor rgb="FFC6EFCE"/>
        </patternFill>
      </fill>
    </dxf>
  </rfmt>
  <rfmt sheetId="4" sqref="J28" start="0" length="0">
    <dxf>
      <fill>
        <patternFill>
          <bgColor rgb="FFCCFFCC"/>
        </patternFill>
      </fill>
    </dxf>
  </rfmt>
  <rfmt sheetId="4" sqref="J29" start="0" length="0">
    <dxf>
      <fill>
        <patternFill>
          <bgColor rgb="FFCCFFCC"/>
        </patternFill>
      </fill>
    </dxf>
  </rfmt>
  <rfmt sheetId="4" sqref="I30" start="0" length="0">
    <dxf>
      <fill>
        <patternFill>
          <bgColor rgb="FFCCFFCC"/>
        </patternFill>
      </fill>
    </dxf>
  </rfmt>
  <rfmt sheetId="4" sqref="J30" start="0" length="0">
    <dxf>
      <fill>
        <patternFill>
          <bgColor rgb="FFCCFFCC"/>
        </patternFill>
      </fill>
    </dxf>
  </rfmt>
  <rfmt sheetId="4" sqref="J30" start="0" length="0">
    <dxf>
      <fill>
        <patternFill>
          <bgColor rgb="FFC6EFCE"/>
        </patternFill>
      </fill>
    </dxf>
  </rfmt>
  <rfmt sheetId="4" sqref="K30" start="0" length="0">
    <dxf>
      <fill>
        <patternFill>
          <bgColor rgb="FFCCFFCC"/>
        </patternFill>
      </fill>
    </dxf>
  </rfmt>
  <rfmt sheetId="4" sqref="J31" start="0" length="0">
    <dxf>
      <fill>
        <patternFill>
          <bgColor rgb="FFC6EFCE"/>
        </patternFill>
      </fill>
    </dxf>
  </rfmt>
  <rfmt sheetId="4" sqref="K31" start="0" length="0">
    <dxf>
      <fill>
        <patternFill>
          <bgColor rgb="FFCCFFCC"/>
        </patternFill>
      </fill>
    </dxf>
  </rfmt>
  <rfmt sheetId="4" sqref="I32" start="0" length="0">
    <dxf>
      <fill>
        <patternFill>
          <bgColor rgb="FFCCFFCC"/>
        </patternFill>
      </fill>
    </dxf>
  </rfmt>
  <rfmt sheetId="4" sqref="I32" start="0" length="0">
    <dxf>
      <fill>
        <patternFill>
          <bgColor rgb="FFC6EFCE"/>
        </patternFill>
      </fill>
    </dxf>
  </rfmt>
  <rfmt sheetId="4" sqref="J32" start="0" length="0">
    <dxf>
      <fill>
        <patternFill>
          <bgColor rgb="FFCCFFCC"/>
        </patternFill>
      </fill>
    </dxf>
  </rfmt>
  <rcc rId="9850" sId="3">
    <oc r="E5" t="inlineStr">
      <is>
        <t>1, 3, 5, 2, 4, 6, 7, 9, 11, 8, 10, 12, 16, 13, 14, 35, 36, 37, 40, 41, 45, 46, 49, 53</t>
      </is>
    </oc>
    <nc r="E5" t="inlineStr">
      <is>
        <t>1, 3, 5, 2, 4, 6, 7, 9, 11, 8, 10, 12, 16, 13, 14, 35, 36, 40, 41, 45, 46, 49, 53</t>
      </is>
    </nc>
  </rcc>
  <rfmt sheetId="4" sqref="J33" start="0" length="0">
    <dxf>
      <fill>
        <patternFill>
          <bgColor rgb="FFCCFFCC"/>
        </patternFill>
      </fill>
    </dxf>
  </rfmt>
  <rfmt sheetId="4" sqref="J33" start="0" length="0">
    <dxf>
      <fill>
        <patternFill>
          <bgColor rgb="FFC6EFCE"/>
        </patternFill>
      </fill>
    </dxf>
  </rfmt>
  <rcc rId="9851" sId="3" numFmtId="13">
    <oc r="E4">
      <v>0.54716981132075471</v>
    </oc>
    <nc r="E4">
      <v>0.56603773584905659</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N16" start="0" length="0">
    <dxf>
      <fill>
        <patternFill>
          <bgColor rgb="FFC6EFCE"/>
        </patternFill>
      </fill>
    </dxf>
  </rfmt>
  <rfmt sheetId="4" sqref="O16" start="0" length="0">
    <dxf>
      <fill>
        <patternFill>
          <bgColor rgb="FFCCFFCC"/>
        </patternFill>
      </fill>
    </dxf>
  </rfmt>
  <rfmt sheetId="4" sqref="O16" start="0" length="0">
    <dxf>
      <fill>
        <patternFill>
          <bgColor rgb="FFC6EFCE"/>
        </patternFill>
      </fill>
    </dxf>
  </rfmt>
  <rfmt sheetId="4" sqref="P16" start="0" length="0">
    <dxf>
      <fill>
        <patternFill>
          <bgColor rgb="FFCCFFCC"/>
        </patternFill>
      </fill>
    </dxf>
  </rfmt>
  <rfmt sheetId="4" sqref="P16" start="0" length="0">
    <dxf>
      <fill>
        <patternFill>
          <bgColor rgb="FFC6EFCE"/>
        </patternFill>
      </fill>
    </dxf>
  </rfmt>
  <rfmt sheetId="4" sqref="N17" start="0" length="0">
    <dxf>
      <fill>
        <patternFill>
          <bgColor rgb="FFCCFFCC"/>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N18" start="0" length="0">
    <dxf>
      <fill>
        <patternFill>
          <bgColor rgb="FFC6EFCE"/>
        </patternFill>
      </fill>
    </dxf>
  </rfmt>
  <rfmt sheetId="4" sqref="O18" start="0" length="0">
    <dxf>
      <fill>
        <patternFill>
          <bgColor rgb="FFCCFFCC"/>
        </patternFill>
      </fill>
    </dxf>
  </rfmt>
  <rfmt sheetId="4" sqref="O18" start="0" length="0">
    <dxf>
      <fill>
        <patternFill>
          <bgColor rgb="FFC6EFCE"/>
        </patternFill>
      </fill>
    </dxf>
  </rfmt>
  <rfmt sheetId="4" sqref="P18" start="0" length="0">
    <dxf>
      <fill>
        <patternFill>
          <bgColor rgb="FFCCFFCC"/>
        </patternFill>
      </fill>
    </dxf>
  </rfmt>
  <rfmt sheetId="4" sqref="P18" start="0" length="0">
    <dxf>
      <fill>
        <patternFill>
          <bgColor rgb="FFC6EFCE"/>
        </patternFill>
      </fill>
    </dxf>
  </rfmt>
  <rfmt sheetId="4" sqref="N19" start="0" length="0">
    <dxf>
      <fill>
        <patternFill>
          <bgColor rgb="FFCCFFCC"/>
        </patternFill>
      </fill>
    </dxf>
  </rfmt>
  <rfmt sheetId="4" sqref="N19" start="0" length="0">
    <dxf>
      <fill>
        <patternFill>
          <bgColor rgb="FFC6EFCE"/>
        </patternFill>
      </fill>
    </dxf>
  </rfmt>
  <rfmt sheetId="4" sqref="O19" start="0" length="0">
    <dxf>
      <fill>
        <patternFill>
          <bgColor rgb="FFCCFFCC"/>
        </patternFill>
      </fill>
    </dxf>
  </rfmt>
  <rfmt sheetId="4" sqref="P19" start="0" length="0">
    <dxf>
      <fill>
        <patternFill>
          <bgColor rgb="FFCCFFCC"/>
        </patternFill>
      </fill>
    </dxf>
  </rfmt>
  <rfmt sheetId="4" sqref="P19" start="0" length="0">
    <dxf>
      <fill>
        <patternFill>
          <bgColor rgb="FFC6EFCE"/>
        </patternFill>
      </fill>
    </dxf>
  </rfmt>
  <rfmt sheetId="4" sqref="P20" start="0" length="0">
    <dxf>
      <fill>
        <patternFill>
          <bgColor rgb="FFCCFFCC"/>
        </patternFill>
      </fill>
    </dxf>
  </rfmt>
  <rfmt sheetId="4" sqref="P20" start="0" length="0">
    <dxf>
      <fill>
        <patternFill>
          <bgColor rgb="FFC6EFCE"/>
        </patternFill>
      </fill>
    </dxf>
  </rfmt>
  <rfmt sheetId="4" sqref="P21" start="0" length="0">
    <dxf>
      <fill>
        <patternFill>
          <bgColor rgb="FFCCFFCC"/>
        </patternFill>
      </fill>
    </dxf>
  </rfmt>
  <rfmt sheetId="4" sqref="P21" start="0" length="0">
    <dxf>
      <fill>
        <patternFill>
          <bgColor rgb="FFC6EFCE"/>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852" sId="3" numFmtId="13">
    <oc r="G3">
      <v>0.29729729729729731</v>
    </oc>
    <nc r="G3">
      <v>0.27027027027027029</v>
    </nc>
  </rcc>
  <rcc rId="9853" sId="3" numFmtId="13">
    <oc r="H3">
      <v>0.3783783783783784</v>
    </oc>
    <nc r="H3">
      <v>0.35135135135135137</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R6" start="0" length="0">
    <dxf>
      <fill>
        <patternFill>
          <bgColor rgb="FFC6EFCE"/>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Q7" start="0" length="0">
    <dxf>
      <fill>
        <patternFill>
          <bgColor rgb="FFC6EFCE"/>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R10" start="0" length="0">
    <dxf>
      <fill>
        <patternFill>
          <bgColor rgb="FFC6EFCE"/>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R12" start="0" length="0">
    <dxf>
      <fill>
        <patternFill>
          <bgColor rgb="FFC6EFCE"/>
        </patternFill>
      </fill>
    </dxf>
  </rfmt>
  <rfmt sheetId="4" sqref="S12" start="0" length="0">
    <dxf>
      <fill>
        <patternFill>
          <bgColor rgb="FFCCFFCC"/>
        </patternFill>
      </fill>
    </dxf>
  </rfmt>
  <rfmt sheetId="4" sqref="S12" start="0" length="0">
    <dxf>
      <fill>
        <patternFill>
          <bgColor rgb="FFC6EFCE"/>
        </patternFill>
      </fill>
    </dxf>
  </rfmt>
  <rfmt sheetId="4" sqref="Q13" start="0" length="0">
    <dxf>
      <fill>
        <patternFill>
          <bgColor rgb="FFCCFFCC"/>
        </patternFill>
      </fill>
    </dxf>
  </rfmt>
  <rfmt sheetId="4" sqref="Q13" start="0" length="0">
    <dxf>
      <fill>
        <patternFill>
          <bgColor rgb="FFC6EFCE"/>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8" start="0" length="0">
    <dxf>
      <fill>
        <patternFill>
          <bgColor rgb="FFC6EFCE"/>
        </patternFill>
      </fill>
    </dxf>
  </rfmt>
  <rfmt sheetId="4" sqref="V19" start="0" length="0">
    <dxf>
      <fill>
        <patternFill>
          <bgColor rgb="FFCCFFCC"/>
        </patternFill>
      </fill>
    </dxf>
  </rfmt>
  <rfmt sheetId="4" sqref="V19" start="0" length="0">
    <dxf>
      <fill>
        <patternFill>
          <bgColor rgb="FFC6EFCE"/>
        </patternFill>
      </fill>
    </dxf>
  </rfmt>
  <rfmt sheetId="4" sqref="V20" start="0" length="0">
    <dxf>
      <fill>
        <patternFill>
          <bgColor rgb="FFCCFFCC"/>
        </patternFill>
      </fill>
    </dxf>
  </rfmt>
  <rfmt sheetId="4" sqref="V20" start="0" length="0">
    <dxf>
      <fill>
        <patternFill>
          <bgColor rgb="FFC6EFCE"/>
        </patternFill>
      </fill>
    </dxf>
  </rfmt>
  <rfmt sheetId="4" sqref="V21" start="0" length="0">
    <dxf>
      <fill>
        <patternFill>
          <bgColor rgb="FFCCFFCC"/>
        </patternFill>
      </fill>
    </dxf>
  </rfmt>
  <rfmt sheetId="4" sqref="V21" start="0" length="0">
    <dxf>
      <fill>
        <patternFill>
          <bgColor rgb="FFC6EFCE"/>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N25" start="0" length="0">
    <dxf>
      <fill>
        <patternFill>
          <bgColor rgb="FFC6EFCE"/>
        </patternFill>
      </fill>
    </dxf>
  </rfmt>
  <rfmt sheetId="4" sqref="O25" start="0" length="0">
    <dxf>
      <fill>
        <patternFill>
          <bgColor rgb="FFCCFFCC"/>
        </patternFill>
      </fill>
    </dxf>
  </rfmt>
  <rfmt sheetId="4" sqref="O25" start="0" length="0">
    <dxf>
      <fill>
        <patternFill>
          <bgColor rgb="FFC6EFCE"/>
        </patternFill>
      </fill>
    </dxf>
  </rfmt>
  <rfmt sheetId="4" sqref="P25" start="0" length="0">
    <dxf>
      <fill>
        <patternFill>
          <bgColor rgb="FFCCFFCC"/>
        </patternFill>
      </fill>
    </dxf>
  </rfmt>
  <rfmt sheetId="4" sqref="P25" start="0" length="0">
    <dxf>
      <fill>
        <patternFill>
          <bgColor rgb="FFC6EFCE"/>
        </patternFill>
      </fill>
    </dxf>
  </rfmt>
  <rfmt sheetId="4" sqref="N26" start="0" length="0">
    <dxf>
      <fill>
        <patternFill>
          <bgColor rgb="FFCCFFCC"/>
        </patternFill>
      </fill>
    </dxf>
  </rfmt>
  <rfmt sheetId="4" sqref="N26" start="0" length="0">
    <dxf>
      <fill>
        <patternFill>
          <bgColor rgb="FFC6EFCE"/>
        </patternFill>
      </fill>
    </dxf>
  </rfmt>
  <rfmt sheetId="4" sqref="O26" start="0" length="0">
    <dxf>
      <fill>
        <patternFill>
          <bgColor rgb="FFCCFFCC"/>
        </patternFill>
      </fill>
    </dxf>
  </rfmt>
  <rfmt sheetId="4" sqref="O26" start="0" length="0">
    <dxf>
      <fill>
        <patternFill>
          <bgColor rgb="FFC6EFCE"/>
        </patternFill>
      </fill>
    </dxf>
  </rfmt>
  <rfmt sheetId="4" sqref="P26" start="0" length="0">
    <dxf>
      <fill>
        <patternFill>
          <bgColor rgb="FFCCFFCC"/>
        </patternFill>
      </fill>
    </dxf>
  </rfmt>
  <rfmt sheetId="4" sqref="P26" start="0" length="0">
    <dxf>
      <fill>
        <patternFill>
          <bgColor rgb="FFC6EFCE"/>
        </patternFill>
      </fill>
    </dxf>
  </rfmt>
  <rfmt sheetId="4" sqref="S26" start="0" length="0">
    <dxf>
      <fill>
        <patternFill>
          <bgColor rgb="FFCCFFCC"/>
        </patternFill>
      </fill>
    </dxf>
  </rfmt>
  <rfmt sheetId="4" sqref="S26" start="0" length="0">
    <dxf>
      <fill>
        <patternFill>
          <bgColor rgb="FFC6EFCE"/>
        </patternFill>
      </fill>
    </dxf>
  </rfmt>
  <rfmt sheetId="4" sqref="N27" start="0" length="0">
    <dxf>
      <fill>
        <patternFill>
          <bgColor rgb="FFCCFFCC"/>
        </patternFill>
      </fill>
    </dxf>
  </rfmt>
  <rfmt sheetId="4" sqref="N27" start="0" length="0">
    <dxf>
      <fill>
        <patternFill>
          <bgColor rgb="FFC6EFCE"/>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0" start="0" length="0">
    <dxf>
      <fill>
        <patternFill>
          <bgColor rgb="FFC6EFCE"/>
        </patternFill>
      </fill>
    </dxf>
  </rfmt>
  <rfmt sheetId="4" sqref="V11" start="0" length="0">
    <dxf>
      <fill>
        <patternFill>
          <bgColor rgb="FFCCFFCC"/>
        </patternFill>
      </fill>
    </dxf>
  </rfmt>
  <rfmt sheetId="4" sqref="V11" start="0" length="0">
    <dxf>
      <fill>
        <patternFill>
          <bgColor rgb="FFC6EFCE"/>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4" start="0" length="0">
    <dxf>
      <fill>
        <patternFill>
          <bgColor rgb="FFC6EFCE"/>
        </patternFill>
      </fill>
    </dxf>
  </rfmt>
  <rfmt sheetId="4" sqref="V15" start="0" length="0">
    <dxf>
      <fill>
        <patternFill>
          <bgColor rgb="FFCCFFCC"/>
        </patternFill>
      </fill>
    </dxf>
  </rfmt>
  <rfmt sheetId="4" sqref="V15" start="0" length="0">
    <dxf>
      <fill>
        <patternFill>
          <bgColor rgb="FFC6EFCE"/>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H39" start="0" length="0">
    <dxf>
      <fill>
        <patternFill>
          <bgColor rgb="FFC6EFCE"/>
        </patternFill>
      </fill>
    </dxf>
  </rfmt>
  <rfmt sheetId="4" sqref="I39" start="0" length="0">
    <dxf>
      <fill>
        <patternFill>
          <bgColor rgb="FFCCFFCC"/>
        </patternFill>
      </fill>
    </dxf>
  </rfmt>
  <rfmt sheetId="4" sqref="I39" start="0" length="0">
    <dxf>
      <fill>
        <patternFill>
          <bgColor rgb="FFC6EFCE"/>
        </patternFill>
      </fill>
    </dxf>
  </rfmt>
  <rfmt sheetId="4" sqref="J39" start="0" length="0">
    <dxf>
      <fill>
        <patternFill>
          <bgColor rgb="FFCCFFCC"/>
        </patternFill>
      </fill>
    </dxf>
  </rfmt>
  <rfmt sheetId="4" sqref="J39" start="0" length="0">
    <dxf>
      <fill>
        <patternFill>
          <bgColor rgb="FFC6EFCE"/>
        </patternFill>
      </fill>
    </dxf>
  </rfmt>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B69" start="0" length="0">
    <dxf>
      <fill>
        <patternFill>
          <bgColor rgb="FFC6EFCE"/>
        </patternFill>
      </fill>
    </dxf>
  </rfmt>
  <rfmt sheetId="3" sqref="C69" start="0" length="0">
    <dxf>
      <fill>
        <patternFill>
          <bgColor rgb="FFC6EFCE"/>
        </patternFill>
      </fill>
    </dxf>
  </rfmt>
  <rfmt sheetId="3" sqref="D69" start="0" length="0">
    <dxf>
      <fill>
        <patternFill>
          <bgColor rgb="FFC6EFCE"/>
        </patternFill>
      </fill>
    </dxf>
  </rfmt>
  <rfmt sheetId="3" sqref="E69" start="0" length="0">
    <dxf>
      <fill>
        <patternFill>
          <bgColor rgb="FFC6EFCE"/>
        </patternFill>
      </fill>
    </dxf>
  </rfmt>
  <rfmt sheetId="3" sqref="F69" start="0" length="0">
    <dxf>
      <fill>
        <patternFill>
          <bgColor rgb="FFC6EFCE"/>
        </patternFill>
      </fill>
    </dxf>
  </rfmt>
  <rfmt sheetId="3" sqref="G69" start="0" length="0">
    <dxf>
      <fill>
        <patternFill>
          <bgColor rgb="FFC6EFCE"/>
        </patternFill>
      </fill>
    </dxf>
  </rfmt>
  <rfmt sheetId="3" sqref="H69" start="0" length="0">
    <dxf>
      <fill>
        <patternFill>
          <bgColor rgb="FFC6EFCE"/>
        </patternFill>
      </fill>
    </dxf>
  </rfmt>
  <rfmt sheetId="3" sqref="I69" start="0" length="0">
    <dxf>
      <fill>
        <patternFill>
          <bgColor rgb="FFC6EFCE"/>
        </patternFill>
      </fill>
    </dxf>
  </rfmt>
  <rfmt sheetId="3" sqref="J69" start="0" length="0">
    <dxf>
      <fill>
        <patternFill>
          <bgColor rgb="FFC6EFCE"/>
        </patternFill>
      </fill>
    </dxf>
  </rfmt>
  <rcc rId="9854" sId="3" odxf="1" dxf="1">
    <nc r="K69">
      <v>0</v>
    </nc>
    <odxf>
      <fill>
        <patternFill>
          <bgColor theme="0"/>
        </patternFill>
      </fill>
    </odxf>
    <ndxf>
      <fill>
        <patternFill>
          <bgColor rgb="FFC6EFCE"/>
        </patternFill>
      </fill>
    </ndxf>
  </rcc>
  <rcc rId="9855" sId="3" odxf="1" dxf="1">
    <nc r="L69">
      <v>0</v>
    </nc>
    <odxf>
      <fill>
        <patternFill>
          <bgColor theme="0"/>
        </patternFill>
      </fill>
    </odxf>
    <ndxf>
      <fill>
        <patternFill>
          <bgColor rgb="FFC6EFCE"/>
        </patternFill>
      </fill>
    </ndxf>
  </rcc>
  <rcc rId="9856" sId="3" odxf="1" dxf="1">
    <nc r="M69">
      <v>0</v>
    </nc>
    <odxf>
      <fill>
        <patternFill>
          <bgColor theme="0"/>
        </patternFill>
      </fill>
    </odxf>
    <ndxf>
      <fill>
        <patternFill>
          <bgColor rgb="FFC6EFCE"/>
        </patternFill>
      </fill>
    </ndxf>
  </rcc>
  <rcc rId="9857" sId="3" odxf="1" dxf="1">
    <nc r="N69">
      <v>0</v>
    </nc>
    <odxf>
      <fill>
        <patternFill>
          <bgColor theme="0"/>
        </patternFill>
      </fill>
    </odxf>
    <ndxf>
      <fill>
        <patternFill>
          <bgColor rgb="FFC6EFCE"/>
        </patternFill>
      </fill>
    </ndxf>
  </rcc>
  <rfmt sheetId="3" sqref="O69" start="0" length="0">
    <dxf>
      <fill>
        <patternFill>
          <bgColor rgb="FFC6EFCE"/>
        </patternFill>
      </fill>
    </dxf>
  </rfmt>
  <rfmt sheetId="3" sqref="P69" start="0" length="0">
    <dxf>
      <fill>
        <patternFill>
          <bgColor rgb="FFC6EFCE"/>
        </patternFill>
      </fill>
    </dxf>
  </rfmt>
  <rfmt sheetId="3" sqref="Q69" start="0" length="0">
    <dxf>
      <fill>
        <patternFill>
          <bgColor rgb="FFC6EFCE"/>
        </patternFill>
      </fill>
    </dxf>
  </rfmt>
  <rfmt sheetId="3" sqref="R69" start="0" length="0">
    <dxf>
      <fill>
        <patternFill>
          <bgColor rgb="FFC6EFCE"/>
        </patternFill>
      </fill>
    </dxf>
  </rfmt>
  <rcc rId="9858" sId="3" odxf="1" dxf="1">
    <nc r="S69">
      <v>1</v>
    </nc>
    <odxf>
      <fill>
        <patternFill>
          <bgColor theme="0"/>
        </patternFill>
      </fill>
    </odxf>
    <ndxf>
      <fill>
        <patternFill>
          <bgColor rgb="FFC6EFCE"/>
        </patternFill>
      </fill>
    </ndxf>
  </rcc>
  <rcc rId="9859" sId="3" odxf="1" dxf="1">
    <nc r="T69">
      <v>2</v>
    </nc>
    <odxf>
      <fill>
        <patternFill>
          <bgColor theme="0"/>
        </patternFill>
      </fill>
    </odxf>
    <ndxf>
      <fill>
        <patternFill>
          <bgColor rgb="FFC6EFCE"/>
        </patternFill>
      </fill>
    </ndxf>
  </rcc>
  <rfmt sheetId="3" sqref="U69" start="0" length="0">
    <dxf>
      <fill>
        <patternFill>
          <bgColor rgb="FFC6EFCE"/>
        </patternFill>
      </fill>
    </dxf>
  </rfmt>
  <rcc rId="9860" sId="3" odxf="1" dxf="1">
    <nc r="W69" t="inlineStr">
      <is>
        <t>Pass</t>
      </is>
    </nc>
    <odxf>
      <fill>
        <patternFill>
          <bgColor theme="0"/>
        </patternFill>
      </fill>
    </odxf>
    <ndxf>
      <fill>
        <patternFill>
          <bgColor rgb="FFC6EFCE"/>
        </patternFill>
      </fill>
    </ndxf>
  </rcc>
  <rfmt sheetId="3" s="1" sqref="A70"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fmt sheetId="3" s="1" sqref="B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C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D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9861" sId="3" odxf="1" s="1" dxf="1">
    <nc r="I7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62" sId="3" odxf="1" s="1" dxf="1">
    <nc r="J7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63" sId="3" odxf="1" s="1" dxf="1">
    <nc r="K7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64" sId="3" odxf="1" s="1" dxf="1">
    <nc r="L7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65" sId="3" odxf="1" s="1" dxf="1">
    <nc r="M7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66" sId="3" odxf="1" s="1" dxf="1">
    <nc r="N7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O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7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9867" sId="3" odxf="1" s="1" dxf="1">
    <nc r="S70">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68" sId="3" odxf="1" s="1" dxf="1">
    <nc r="T70">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69" sId="3" odxf="1" s="1" dxf="1">
    <nc r="U70">
      <v>6</v>
    </nc>
    <o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V70" start="0" length="0">
    <dxf>
      <font>
        <sz val="11"/>
        <color rgb="FF000000"/>
        <name val="Calibri"/>
        <scheme val="none"/>
      </font>
      <border outline="0">
        <right style="medium">
          <color indexed="64"/>
        </right>
        <bottom style="medium">
          <color indexed="64"/>
        </bottom>
      </border>
    </dxf>
  </rfmt>
  <rcc rId="9870" sId="3" odxf="1" s="1" dxf="1">
    <nc r="W70" t="inlineStr">
      <is>
        <t>Pass</t>
      </is>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A71"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fmt sheetId="3" s="1" sqref="B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C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D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K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L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M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N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O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S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T7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U71"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V71" start="0" length="0">
    <dxf>
      <font>
        <sz val="11"/>
        <color rgb="FF000000"/>
        <name val="Calibri"/>
        <scheme val="none"/>
      </font>
      <border outline="0">
        <right style="medium">
          <color indexed="64"/>
        </right>
        <bottom style="medium">
          <color indexed="64"/>
        </bottom>
      </border>
    </dxf>
  </rfmt>
  <rcc rId="9871" sId="3" odxf="1" s="1" dxf="1">
    <nc r="W71" t="inlineStr">
      <is>
        <t>Pass</t>
      </is>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A72"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cc rId="9872" sId="3" odxf="1" s="1" dxf="1">
    <nc r="B72">
      <v>16</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73" sId="3" odxf="1" s="1" dxf="1">
    <nc r="C72">
      <v>17</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74" sId="3" odxf="1" s="1" dxf="1">
    <nc r="D72">
      <v>17</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75" sId="3" odxf="1" s="1" dxf="1">
    <nc r="E72">
      <v>37</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76" sId="3" odxf="1" s="1" dxf="1">
    <nc r="F72">
      <v>8</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77" sId="3" odxf="1" s="1" dxf="1">
    <nc r="G72">
      <v>17</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78" sId="3" odxf="1" s="1" dxf="1">
    <nc r="H72">
      <v>13</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79" sId="3" odxf="1" s="1" dxf="1">
    <nc r="I7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0" sId="3" odxf="1" s="1" dxf="1">
    <nc r="J7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1" sId="3" odxf="1" s="1" dxf="1">
    <nc r="K7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2" sId="3" odxf="1" s="1" dxf="1">
    <nc r="L7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3" sId="3" odxf="1" s="1" dxf="1">
    <nc r="M7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4" sId="3" odxf="1" s="1" dxf="1">
    <nc r="N7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5" sId="3" odxf="1" s="1" dxf="1">
    <nc r="O72">
      <v>3</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6" sId="3" odxf="1" s="1" dxf="1">
    <nc r="P72">
      <v>5</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7" sId="3" odxf="1" s="1" dxf="1">
    <nc r="Q72">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8" sId="3" odxf="1" s="1" dxf="1">
    <nc r="R72">
      <v>5</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89" sId="3" odxf="1" s="1" dxf="1">
    <nc r="S72">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90" sId="3" odxf="1" s="1" dxf="1">
    <nc r="T72">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91" sId="3" odxf="1" s="1" dxf="1">
    <nc r="U72">
      <v>6</v>
    </nc>
    <o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V72" start="0" length="0">
    <dxf>
      <font>
        <sz val="11"/>
        <color rgb="FF000000"/>
        <name val="Calibri"/>
        <scheme val="none"/>
      </font>
      <border outline="0">
        <right style="medium">
          <color indexed="64"/>
        </right>
        <bottom style="medium">
          <color indexed="64"/>
        </bottom>
      </border>
    </dxf>
  </rfmt>
  <rcc rId="9892" sId="3" odxf="1" s="1" dxf="1">
    <nc r="W72" t="inlineStr">
      <is>
        <t>Pass</t>
      </is>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893" sId="3" numFmtId="19">
    <nc r="A69">
      <v>41780</v>
    </nc>
  </rcc>
  <rcc rId="9894" sId="3" numFmtId="19">
    <nc r="A70">
      <v>41781</v>
    </nc>
  </rcc>
  <rcc rId="9895" sId="3" numFmtId="19">
    <nc r="A71">
      <v>41782</v>
    </nc>
  </rcc>
  <rcc rId="9896" sId="3" numFmtId="19">
    <nc r="A72">
      <v>41785</v>
    </nc>
  </rcc>
  <rcc rId="9897" sId="3">
    <nc r="X69" t="inlineStr">
      <is>
        <t xml:space="preserve">All units have valid video and audio output.
MPE warnings on all units
TX CC errors on PID 2901,  on all units, uplink issue
VBI warnings on all units
HTTP assert on unit 102
</t>
      </is>
    </nc>
  </rcc>
  <rcc rId="9898" sId="3">
    <nc r="B69">
      <v>16</v>
    </nc>
  </rcc>
  <rcc rId="9899" sId="3">
    <nc r="C69">
      <v>7</v>
    </nc>
  </rcc>
  <rcc rId="9900" sId="3">
    <nc r="D69">
      <v>27</v>
    </nc>
  </rcc>
  <rcc rId="9901" sId="3">
    <nc r="E69">
      <v>35</v>
    </nc>
  </rcc>
  <rcc rId="9902" sId="3">
    <nc r="F69">
      <v>1</v>
    </nc>
  </rcc>
  <rcc rId="9903" sId="3">
    <nc r="G69">
      <v>16</v>
    </nc>
  </rcc>
  <rcc rId="9904" sId="3">
    <nc r="H69">
      <v>16</v>
    </nc>
  </rcc>
  <rcc rId="9905" sId="3">
    <nc r="I69">
      <v>20</v>
    </nc>
  </rcc>
  <rcc rId="9906" sId="3">
    <nc r="J69">
      <v>20</v>
    </nc>
  </rcc>
  <rcc rId="9907" sId="3">
    <nc r="O69">
      <v>2</v>
    </nc>
  </rcc>
  <rcc rId="9908" sId="3">
    <nc r="P69">
      <v>7</v>
    </nc>
  </rcc>
  <rcc rId="9909" sId="3">
    <nc r="Q69">
      <v>2</v>
    </nc>
  </rcc>
  <rcc rId="9910" sId="3">
    <nc r="R69">
      <v>12</v>
    </nc>
  </rcc>
  <rcc rId="9911" sId="3">
    <nc r="U69">
      <v>6</v>
    </nc>
  </rcc>
  <rcc rId="9912" sId="3" odxf="1" dxf="1">
    <nc r="X70" t="inlineStr">
      <is>
        <t xml:space="preserve">All units have valid video and audio output.
AUD2 warnings on several units
MPE warnings on all units
TX CC errors on PID 2901,  on all units, uplink issue
VBI warnings on all units
</t>
      </is>
    </nc>
    <odxf>
      <alignment vertical="bottom" wrapText="0" readingOrder="0"/>
    </odxf>
    <ndxf>
      <alignment vertical="top" wrapText="1" readingOrder="0"/>
    </ndxf>
  </rcc>
  <rcc rId="9913" sId="3">
    <nc r="B70">
      <v>14</v>
    </nc>
  </rcc>
  <rcc rId="9914" sId="3">
    <nc r="C70">
      <v>6</v>
    </nc>
  </rcc>
  <rcc rId="9915" sId="3">
    <nc r="D70">
      <v>21</v>
    </nc>
  </rcc>
  <rcc rId="9916" sId="3">
    <nc r="E70">
      <v>30</v>
    </nc>
  </rcc>
  <rcc rId="9917" sId="3">
    <nc r="F70">
      <v>14</v>
    </nc>
  </rcc>
  <rcc rId="9918" sId="3">
    <nc r="G70">
      <v>18</v>
    </nc>
  </rcc>
  <rcc rId="9919" sId="3">
    <nc r="H70">
      <v>14</v>
    </nc>
  </rcc>
  <rcc rId="9920" sId="3">
    <nc r="O70">
      <v>3</v>
    </nc>
  </rcc>
  <rcc rId="9921" sId="3">
    <nc r="P70">
      <v>0</v>
    </nc>
  </rcc>
  <rcc rId="9922" sId="3">
    <nc r="Q70">
      <v>3</v>
    </nc>
  </rcc>
  <rcc rId="9923" sId="3">
    <nc r="R70">
      <v>10</v>
    </nc>
  </rcc>
  <rcc rId="9924" sId="3">
    <oc r="V67" t="inlineStr">
      <is>
        <t>R01.10.00DD</t>
      </is>
    </oc>
    <nc r="V67" t="inlineStr">
      <is>
        <t>R01.11.00DD</t>
      </is>
    </nc>
  </rcc>
  <rcc rId="9925" sId="3">
    <oc r="V68" t="inlineStr">
      <is>
        <t>R01.10.00DD</t>
      </is>
    </oc>
    <nc r="V68" t="inlineStr">
      <is>
        <t>R01.11.00DD</t>
      </is>
    </nc>
  </rcc>
  <rcc rId="9926" sId="3">
    <nc r="V69" t="inlineStr">
      <is>
        <t>R01.11.00DD</t>
      </is>
    </nc>
  </rcc>
  <rcc rId="9927" sId="3">
    <nc r="V70" t="inlineStr">
      <is>
        <t>R01.11.00DD</t>
      </is>
    </nc>
  </rcc>
  <rcc rId="9928" sId="3">
    <nc r="V71" t="inlineStr">
      <is>
        <t>R01.11.00DD</t>
      </is>
    </nc>
  </rcc>
  <rcc rId="9929" sId="3">
    <nc r="V72" t="inlineStr">
      <is>
        <t>R01.11.00DD</t>
      </is>
    </nc>
  </rcc>
  <rcc rId="9930" sId="3" odxf="1" dxf="1">
    <nc r="X71" t="inlineStr">
      <is>
        <t xml:space="preserve">All units have valid video and audio output.
VID warnings on unit 120
SUBT warnings on a few units
</t>
      </is>
    </nc>
    <odxf>
      <alignment vertical="bottom" wrapText="0" readingOrder="0"/>
    </odxf>
    <ndxf>
      <alignment vertical="top" wrapText="1" readingOrder="0"/>
    </ndxf>
  </rcc>
  <rcc rId="9931" sId="3">
    <nc r="B71">
      <v>16</v>
    </nc>
  </rcc>
  <rcc rId="9932" sId="3">
    <nc r="C71">
      <v>1</v>
    </nc>
  </rcc>
  <rcc rId="9933" sId="3">
    <nc r="D71">
      <v>10</v>
    </nc>
  </rcc>
  <rcc rId="9934" sId="3">
    <nc r="E71">
      <v>17</v>
    </nc>
  </rcc>
  <rcc rId="9935" sId="3">
    <nc r="F71">
      <v>2</v>
    </nc>
  </rcc>
  <rcc rId="9936" sId="3">
    <nc r="G71">
      <v>29</v>
    </nc>
  </rcc>
  <rcc rId="9937" sId="3">
    <nc r="H71">
      <v>29</v>
    </nc>
  </rcc>
  <rcc rId="9938" sId="3">
    <nc r="I71">
      <v>29</v>
    </nc>
  </rcc>
  <rcc rId="9939" sId="3">
    <nc r="J71">
      <v>29</v>
    </nc>
  </rcc>
  <rcc rId="9940" sId="3">
    <nc r="K71">
      <v>30</v>
    </nc>
  </rcc>
  <rcc rId="9941" sId="3">
    <nc r="L71">
      <v>30</v>
    </nc>
  </rcc>
  <rcc rId="9942" sId="3">
    <nc r="M71">
      <v>30</v>
    </nc>
  </rcc>
  <rcc rId="9943" sId="3">
    <nc r="N71">
      <v>30</v>
    </nc>
  </rcc>
  <rcc rId="9944" sId="3">
    <nc r="O71">
      <v>2</v>
    </nc>
  </rcc>
  <rcc rId="9945" sId="3">
    <nc r="P71">
      <v>5</v>
    </nc>
  </rcc>
  <rcc rId="9946" sId="3">
    <nc r="Q71">
      <v>3</v>
    </nc>
  </rcc>
  <rcc rId="9947" sId="3">
    <nc r="R71">
      <v>9</v>
    </nc>
  </rcc>
  <rcc rId="9948" sId="3">
    <nc r="S71">
      <v>1</v>
    </nc>
  </rcc>
  <rcc rId="9949" sId="3">
    <nc r="T71">
      <v>2</v>
    </nc>
  </rcc>
  <rcc rId="9950" sId="3">
    <nc r="U71">
      <v>5</v>
    </nc>
  </rcc>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51" sId="3" odxf="1" dxf="1">
    <nc r="X72" t="inlineStr">
      <is>
        <t xml:space="preserve">All units have valid video and audio output.
TX CC errors on PID 2901 on most units, uplink issue
VBI warnings co-timed on most units, uplink issue
</t>
      </is>
    </nc>
    <odxf>
      <alignment vertical="bottom" wrapText="0" readingOrder="0"/>
    </odxf>
    <ndxf>
      <alignment vertical="top" wrapText="1" readingOrder="0"/>
    </ndxf>
  </rcc>
  <rcc rId="9952" sId="3">
    <oc r="B72">
      <v>16</v>
    </oc>
    <nc r="B72">
      <v>4</v>
    </nc>
  </rcc>
  <rcc rId="9953" sId="3">
    <oc r="C72">
      <v>17</v>
    </oc>
    <nc r="C72">
      <v>15</v>
    </nc>
  </rcc>
  <rcc rId="9954" sId="3">
    <oc r="D72">
      <v>17</v>
    </oc>
    <nc r="D72">
      <v>18</v>
    </nc>
  </rcc>
  <rcc rId="9955" sId="3">
    <oc r="E72">
      <v>37</v>
    </oc>
    <nc r="E72">
      <v>45</v>
    </nc>
  </rcc>
  <rcc rId="9956" sId="3">
    <oc r="F72">
      <v>8</v>
    </oc>
    <nc r="F72">
      <v>5</v>
    </nc>
  </rcc>
  <rcc rId="9957" sId="3">
    <oc r="H72">
      <v>13</v>
    </oc>
    <nc r="H72">
      <v>17</v>
    </nc>
  </rcc>
  <rcc rId="9958" sId="3">
    <oc r="I72">
      <v>0</v>
    </oc>
    <nc r="I72">
      <v>13</v>
    </nc>
  </rcc>
  <rcc rId="9959" sId="3">
    <oc r="J72">
      <v>0</v>
    </oc>
    <nc r="J72">
      <v>13</v>
    </nc>
  </rcc>
  <rcc rId="9960" sId="3">
    <oc r="O72">
      <v>3</v>
    </oc>
    <nc r="O72">
      <v>2</v>
    </nc>
  </rcc>
  <rcc rId="9961" sId="3">
    <oc r="P72">
      <v>5</v>
    </oc>
    <nc r="P72">
      <v>7</v>
    </nc>
  </rcc>
  <rcc rId="9962" sId="3">
    <oc r="Q72">
      <v>1</v>
    </oc>
    <nc r="Q72">
      <v>3</v>
    </nc>
  </rcc>
  <rcc rId="9963" sId="3">
    <oc r="R72">
      <v>5</v>
    </oc>
    <nc r="R72">
      <v>9</v>
    </nc>
  </rcc>
  <rcc rId="9964" sId="3">
    <oc r="U72">
      <v>6</v>
    </oc>
    <nc r="U72">
      <v>5</v>
    </nc>
  </rcc>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65" sId="4" numFmtId="19">
    <oc r="I2">
      <v>41779</v>
    </oc>
    <nc r="I2">
      <v>41785</v>
    </nc>
  </rcc>
  <rcc rId="9966" sId="4">
    <oc r="K2" t="inlineStr">
      <is>
        <t>R01.10.00DD</t>
      </is>
    </oc>
    <nc r="K2" t="inlineStr">
      <is>
        <t>R01.11.00DD</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8" start="0" length="0">
    <dxf>
      <fill>
        <patternFill>
          <bgColor rgb="FFC6EFCE"/>
        </patternFill>
      </fill>
    </dxf>
  </rfmt>
  <rfmt sheetId="4" sqref="B9" start="0" length="0">
    <dxf>
      <fill>
        <patternFill>
          <bgColor rgb="FFCCFFCC"/>
        </patternFill>
      </fill>
    </dxf>
  </rfmt>
  <rfmt sheetId="4" sqref="B9" start="0" length="0">
    <dxf>
      <fill>
        <patternFill>
          <bgColor rgb="FFC6EFCE"/>
        </patternFill>
      </fill>
    </dxf>
  </rfmt>
  <rfmt sheetId="4" sqref="B10" start="0" length="0">
    <dxf>
      <fill>
        <patternFill>
          <bgColor rgb="FFCCFFCC"/>
        </patternFill>
      </fill>
    </dxf>
  </rfmt>
  <rfmt sheetId="4" sqref="B10" start="0" length="0">
    <dxf>
      <fill>
        <patternFill>
          <bgColor rgb="FFC6EFCE"/>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7" start="0" length="0">
    <dxf>
      <fill>
        <patternFill>
          <bgColor rgb="FFC6EFCE"/>
        </patternFill>
      </fill>
    </dxf>
  </rfmt>
  <rfmt sheetId="4" sqref="B18" start="0" length="0">
    <dxf>
      <fill>
        <patternFill>
          <bgColor rgb="FFCCFFCC"/>
        </patternFill>
      </fill>
    </dxf>
  </rfmt>
  <rfmt sheetId="4" sqref="B18" start="0" length="0">
    <dxf>
      <fill>
        <patternFill>
          <bgColor rgb="FFC6EFCE"/>
        </patternFill>
      </fill>
    </dxf>
  </rfmt>
  <rfmt sheetId="4" sqref="B20" start="0" length="0">
    <dxf>
      <fill>
        <patternFill>
          <bgColor rgb="FFCCFFCC"/>
        </patternFill>
      </fill>
    </dxf>
  </rfmt>
  <rfmt sheetId="4" sqref="B20" start="0" length="0">
    <dxf>
      <fill>
        <patternFill>
          <bgColor rgb="FFC6EFCE"/>
        </patternFill>
      </fill>
    </dxf>
  </rfmt>
  <rfmt sheetId="4" sqref="B23" start="0" length="0">
    <dxf>
      <fill>
        <patternFill>
          <bgColor rgb="FFCCFFCC"/>
        </patternFill>
      </fill>
    </dxf>
  </rfmt>
  <rfmt sheetId="4" sqref="B24" start="0" length="0">
    <dxf>
      <fill>
        <patternFill>
          <bgColor rgb="FFCCFFCC"/>
        </patternFill>
      </fill>
    </dxf>
  </rfmt>
  <rfmt sheetId="4" sqref="B24" start="0" length="0">
    <dxf>
      <fill>
        <patternFill>
          <bgColor rgb="FFC6EFCE"/>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5" start="0" length="0">
    <dxf>
      <fill>
        <patternFill>
          <bgColor rgb="FFC6EFCE"/>
        </patternFill>
      </fill>
    </dxf>
  </rfmt>
  <rfmt sheetId="4" sqref="E6" start="0" length="0">
    <dxf>
      <fill>
        <patternFill>
          <bgColor rgb="FFCCFFCC"/>
        </patternFill>
      </fill>
    </dxf>
  </rfmt>
  <rfmt sheetId="4" sqref="E6" start="0" length="0">
    <dxf>
      <fill>
        <patternFill>
          <bgColor rgb="FFC6EFCE"/>
        </patternFill>
      </fill>
    </dxf>
  </rfmt>
  <rfmt sheetId="4" sqref="E7" start="0" length="0">
    <dxf>
      <fill>
        <patternFill>
          <bgColor rgb="FFCCFFCC"/>
        </patternFill>
      </fill>
    </dxf>
  </rfmt>
  <rfmt sheetId="4" sqref="E7" start="0" length="0">
    <dxf>
      <fill>
        <patternFill>
          <bgColor rgb="FFC6EFCE"/>
        </patternFill>
      </fill>
    </dxf>
  </rfmt>
  <rfmt sheetId="4" sqref="E10" start="0" length="0">
    <dxf>
      <fill>
        <patternFill>
          <bgColor rgb="FFCCFFCC"/>
        </patternFill>
      </fill>
    </dxf>
  </rfmt>
  <rfmt sheetId="4" sqref="E10" start="0" length="0">
    <dxf>
      <fill>
        <patternFill>
          <bgColor rgb="FFC6EFCE"/>
        </patternFill>
      </fill>
    </dxf>
  </rfmt>
  <rfmt sheetId="4" sqref="E11" start="0" length="0">
    <dxf>
      <fill>
        <patternFill>
          <bgColor rgb="FFCCFFCC"/>
        </patternFill>
      </fill>
    </dxf>
  </rfmt>
  <rfmt sheetId="4" sqref="E11" start="0" length="0">
    <dxf>
      <fill>
        <patternFill>
          <bgColor rgb="FFC6EFCE"/>
        </patternFill>
      </fill>
    </dxf>
  </rfmt>
  <rfmt sheetId="4" sqref="E19" start="0" length="0">
    <dxf>
      <fill>
        <patternFill>
          <bgColor rgb="FFCCFFCC"/>
        </patternFill>
      </fill>
    </dxf>
  </rfmt>
  <rfmt sheetId="4" sqref="E19" start="0" length="0">
    <dxf>
      <fill>
        <patternFill>
          <bgColor rgb="FFC6EFCE"/>
        </patternFill>
      </fill>
    </dxf>
  </rfmt>
  <rfmt sheetId="4" sqref="E20" start="0" length="0">
    <dxf>
      <fill>
        <patternFill>
          <bgColor rgb="FFCCFFCC"/>
        </patternFill>
      </fill>
    </dxf>
  </rfmt>
  <rfmt sheetId="4" sqref="E20" start="0" length="0">
    <dxf>
      <fill>
        <patternFill>
          <bgColor rgb="FFC6EFCE"/>
        </patternFill>
      </fill>
    </dxf>
  </rfmt>
  <rfmt sheetId="4" sqref="E21" start="0" length="0">
    <dxf>
      <fill>
        <patternFill>
          <bgColor rgb="FFCCFFCC"/>
        </patternFill>
      </fill>
    </dxf>
  </rfmt>
  <rfmt sheetId="4" sqref="E21" start="0" length="0">
    <dxf>
      <fill>
        <patternFill>
          <bgColor rgb="FFC6EFCE"/>
        </patternFill>
      </fill>
    </dxf>
  </rfmt>
  <rfmt sheetId="4" sqref="E22" start="0" length="0">
    <dxf>
      <fill>
        <patternFill>
          <bgColor rgb="FFCCFFCC"/>
        </patternFill>
      </fill>
    </dxf>
  </rfmt>
  <rcc rId="9967" sId="3" numFmtId="13">
    <oc r="C3">
      <v>0.16666666666666666</v>
    </oc>
    <nc r="C3">
      <v>8.3333333333333329E-2</v>
    </nc>
  </rcc>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L6" start="0" length="0">
    <dxf>
      <fill>
        <patternFill>
          <bgColor rgb="FFFFFFFF"/>
        </patternFill>
      </fill>
    </dxf>
  </rfmt>
  <rfmt sheetId="4" sqref="M6" start="0" length="0">
    <dxf>
      <fill>
        <patternFill>
          <bgColor rgb="FFFFFFFF"/>
        </patternFill>
      </fill>
    </dxf>
  </rfmt>
  <rfmt sheetId="4" sqref="N6" start="0" length="0">
    <dxf>
      <fill>
        <patternFill>
          <bgColor rgb="FFFFFFFF"/>
        </patternFill>
      </fill>
    </dxf>
  </rfmt>
  <rfmt sheetId="4" sqref="K7" start="0" length="0">
    <dxf>
      <fill>
        <patternFill>
          <bgColor rgb="FFFFFFFF"/>
        </patternFill>
      </fill>
    </dxf>
  </rfmt>
  <rfmt sheetId="4" sqref="L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J8" start="0" length="0">
    <dxf>
      <fill>
        <patternFill>
          <bgColor rgb="FFFFFFFF"/>
        </patternFill>
      </fill>
    </dxf>
  </rfmt>
  <rfmt sheetId="4" sqref="K8" start="0" length="0">
    <dxf>
      <fill>
        <patternFill>
          <bgColor rgb="FFFFFFFF"/>
        </patternFill>
      </fill>
    </dxf>
  </rfmt>
  <rfmt sheetId="4" sqref="L8" start="0" length="0">
    <dxf>
      <fill>
        <patternFill>
          <bgColor rgb="FFFFFFFF"/>
        </patternFill>
      </fill>
    </dxf>
  </rfmt>
  <rfmt sheetId="4" sqref="M8" start="0" length="0">
    <dxf>
      <fill>
        <patternFill>
          <bgColor rgb="FFFFFFFF"/>
        </patternFill>
      </fill>
    </dxf>
  </rfmt>
  <rfmt sheetId="4" sqref="N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K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I5" start="0" length="0">
    <dxf>
      <fill>
        <patternFill>
          <bgColor rgb="FFC6EFCE"/>
        </patternFill>
      </fill>
    </dxf>
  </rfmt>
  <rfmt sheetId="4" sqref="J5" start="0" length="0">
    <dxf>
      <fill>
        <patternFill>
          <bgColor rgb="FFCCFFCC"/>
        </patternFill>
      </fill>
    </dxf>
  </rfmt>
  <rfmt sheetId="4" sqref="J5" start="0" length="0">
    <dxf>
      <fill>
        <patternFill>
          <bgColor rgb="FFC6EFCE"/>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I6" start="0" length="0">
    <dxf>
      <fill>
        <patternFill>
          <bgColor rgb="FFC6EFCE"/>
        </patternFill>
      </fill>
    </dxf>
  </rfmt>
  <rfmt sheetId="4" sqref="J6" start="0" length="0">
    <dxf>
      <fill>
        <patternFill>
          <bgColor rgb="FFCCFFCC"/>
        </patternFill>
      </fill>
    </dxf>
  </rfmt>
  <rfmt sheetId="4" sqref="K6" start="0" length="0">
    <dxf>
      <fill>
        <patternFill>
          <bgColor rgb="FFCCFFCC"/>
        </patternFill>
      </fill>
    </dxf>
  </rfmt>
  <rfmt sheetId="4" sqref="K6" start="0" length="0">
    <dxf>
      <fill>
        <patternFill>
          <bgColor rgb="FFC6EFCE"/>
        </patternFill>
      </fill>
    </dxf>
  </rfmt>
  <rfmt sheetId="4" sqref="L6" start="0" length="0">
    <dxf>
      <fill>
        <patternFill>
          <bgColor rgb="FFC6EFCE"/>
        </patternFill>
      </fill>
    </dxf>
  </rfmt>
  <rfmt sheetId="4" sqref="M6" start="0" length="0">
    <dxf>
      <fill>
        <patternFill>
          <bgColor rgb="FFCCFFCC"/>
        </patternFill>
      </fill>
    </dxf>
  </rfmt>
  <rfmt sheetId="4" sqref="N6" start="0" length="0">
    <dxf>
      <fill>
        <patternFill>
          <bgColor rgb="FFC6EFCE"/>
        </patternFill>
      </fill>
    </dxf>
  </rfmt>
  <rfmt sheetId="4" sqref="K7" start="0" length="0">
    <dxf>
      <fill>
        <patternFill>
          <bgColor rgb="FFCCFFCC"/>
        </patternFill>
      </fill>
    </dxf>
  </rfmt>
  <rfmt sheetId="4" sqref="K7" start="0" length="0">
    <dxf>
      <fill>
        <patternFill>
          <bgColor rgb="FFC6EFCE"/>
        </patternFill>
      </fill>
    </dxf>
  </rfmt>
  <rfmt sheetId="4" sqref="L7" start="0" length="0">
    <dxf>
      <fill>
        <patternFill>
          <bgColor rgb="FFC6EFCE"/>
        </patternFill>
      </fill>
    </dxf>
  </rfmt>
  <rfmt sheetId="4" sqref="M7" start="0" length="0">
    <dxf>
      <fill>
        <patternFill>
          <bgColor rgb="FFCCFFCC"/>
        </patternFill>
      </fill>
    </dxf>
  </rfmt>
  <rfmt sheetId="4" sqref="N7" start="0" length="0">
    <dxf>
      <fill>
        <patternFill>
          <bgColor rgb="FFCCFFCC"/>
        </patternFill>
      </fill>
    </dxf>
  </rfmt>
  <rfmt sheetId="4" sqref="N7" start="0" length="0">
    <dxf>
      <fill>
        <patternFill>
          <bgColor rgb="FFC6EFCE"/>
        </patternFill>
      </fill>
    </dxf>
  </rfmt>
  <rfmt sheetId="4" sqref="I8" start="0" length="0">
    <dxf>
      <fill>
        <patternFill>
          <bgColor rgb="FFCCFFCC"/>
        </patternFill>
      </fill>
    </dxf>
  </rfmt>
  <rfmt sheetId="4" sqref="I8" start="0" length="0">
    <dxf>
      <fill>
        <patternFill>
          <bgColor rgb="FFC6EFCE"/>
        </patternFill>
      </fill>
    </dxf>
  </rfmt>
  <rfmt sheetId="4" sqref="J8" start="0" length="0">
    <dxf>
      <fill>
        <patternFill>
          <bgColor rgb="FFCCFFCC"/>
        </patternFill>
      </fill>
    </dxf>
  </rfmt>
  <rfmt sheetId="4" sqref="K8" start="0" length="0">
    <dxf>
      <fill>
        <patternFill>
          <bgColor rgb="FFCCFFCC"/>
        </patternFill>
      </fill>
    </dxf>
  </rfmt>
  <rfmt sheetId="4" sqref="K8" start="0" length="0">
    <dxf>
      <fill>
        <patternFill>
          <bgColor rgb="FFC6EFCE"/>
        </patternFill>
      </fill>
    </dxf>
  </rfmt>
  <rfmt sheetId="4" sqref="L8" start="0" length="0">
    <dxf>
      <fill>
        <patternFill>
          <bgColor rgb="FFCCFFCC"/>
        </patternFill>
      </fill>
    </dxf>
  </rfmt>
  <rfmt sheetId="4" sqref="M8" start="0" length="0">
    <dxf>
      <fill>
        <patternFill>
          <bgColor rgb="FFCCFFCC"/>
        </patternFill>
      </fill>
    </dxf>
  </rfmt>
  <rfmt sheetId="4" sqref="M8" start="0" length="0">
    <dxf>
      <fill>
        <patternFill>
          <bgColor rgb="FFC6EFCE"/>
        </patternFill>
      </fill>
    </dxf>
  </rfmt>
  <rfmt sheetId="4" sqref="N8" start="0" length="0">
    <dxf>
      <fill>
        <patternFill>
          <bgColor rgb="FFC6EFCE"/>
        </patternFill>
      </fill>
    </dxf>
  </rfmt>
  <rfmt sheetId="4" sqref="I9" start="0" length="0">
    <dxf>
      <fill>
        <patternFill>
          <bgColor rgb="FFCCFFCC"/>
        </patternFill>
      </fill>
    </dxf>
  </rfmt>
  <rfmt sheetId="4" sqref="I9" start="0" length="0">
    <dxf>
      <fill>
        <patternFill>
          <bgColor rgb="FFC6EFCE"/>
        </patternFill>
      </fill>
    </dxf>
  </rfmt>
  <rfmt sheetId="4" sqref="J9" start="0" length="0">
    <dxf>
      <fill>
        <patternFill>
          <bgColor rgb="FFCCFFCC"/>
        </patternFill>
      </fill>
    </dxf>
  </rfmt>
  <rfmt sheetId="4" sqref="J9" start="0" length="0">
    <dxf>
      <fill>
        <patternFill>
          <bgColor rgb="FFC6EFCE"/>
        </patternFill>
      </fill>
    </dxf>
  </rfmt>
  <rfmt sheetId="4" sqref="K9" start="0" length="0">
    <dxf>
      <fill>
        <patternFill>
          <bgColor rgb="FFCCFFCC"/>
        </patternFill>
      </fill>
    </dxf>
  </rfmt>
  <rfmt sheetId="4" sqref="K9" start="0" length="0">
    <dxf>
      <fill>
        <patternFill>
          <bgColor rgb="FFC6EFCE"/>
        </patternFill>
      </fill>
    </dxf>
  </rfmt>
  <rfmt sheetId="4" sqref="L9" start="0" length="0">
    <dxf>
      <fill>
        <patternFill>
          <bgColor rgb="FFCCFFCC"/>
        </patternFill>
      </fill>
    </dxf>
  </rfmt>
  <rfmt sheetId="4" sqref="M9" start="0" length="0">
    <dxf>
      <fill>
        <patternFill>
          <bgColor rgb="FFCCFFCC"/>
        </patternFill>
      </fill>
    </dxf>
  </rfmt>
  <rfmt sheetId="4" sqref="M9" start="0" length="0">
    <dxf>
      <fill>
        <patternFill>
          <bgColor rgb="FFC6EFCE"/>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K10" start="0" length="0">
    <dxf>
      <fill>
        <patternFill>
          <bgColor rgb="FFC6EFCE"/>
        </patternFill>
      </fill>
    </dxf>
  </rfmt>
  <rfmt sheetId="4" sqref="L10" start="0" length="0">
    <dxf>
      <fill>
        <patternFill>
          <bgColor rgb="FFCCFFCC"/>
        </patternFill>
      </fill>
    </dxf>
  </rfmt>
  <rfmt sheetId="4" sqref="M10" start="0" length="0">
    <dxf>
      <fill>
        <patternFill>
          <bgColor rgb="FFCCFFCC"/>
        </patternFill>
      </fill>
    </dxf>
  </rfmt>
  <rfmt sheetId="4" sqref="M10" start="0" length="0">
    <dxf>
      <fill>
        <patternFill>
          <bgColor rgb="FFC6EFCE"/>
        </patternFill>
      </fill>
    </dxf>
  </rfmt>
  <rfmt sheetId="4" sqref="N10" start="0" length="0">
    <dxf>
      <fill>
        <patternFill>
          <bgColor rgb="FFCCFFCC"/>
        </patternFill>
      </fill>
    </dxf>
  </rfmt>
  <rfmt sheetId="4" sqref="K12" start="0" length="0">
    <dxf>
      <fill>
        <patternFill>
          <bgColor rgb="FFCCFFCC"/>
        </patternFill>
      </fill>
    </dxf>
  </rfmt>
  <rfmt sheetId="4" sqref="K12" start="0" length="0">
    <dxf>
      <fill>
        <patternFill>
          <bgColor rgb="FFC6EFCE"/>
        </patternFill>
      </fill>
    </dxf>
  </rfmt>
  <rfmt sheetId="4" sqref="L12" start="0" length="0">
    <dxf>
      <fill>
        <patternFill>
          <bgColor rgb="FFCCFFCC"/>
        </patternFill>
      </fill>
    </dxf>
  </rfmt>
  <rcc rId="9968" sId="3" numFmtId="13">
    <oc r="D3">
      <v>0.32653061224489793</v>
    </oc>
    <nc r="D3">
      <v>0.26530612244897961</v>
    </nc>
  </rcc>
  <rfmt sheetId="4" sqref="K17" start="0" length="0">
    <dxf>
      <fill>
        <patternFill>
          <bgColor rgb="FFFFFFFF"/>
        </patternFill>
      </fill>
    </dxf>
  </rfmt>
  <rfmt sheetId="4" sqref="H21" start="0" length="0">
    <dxf>
      <fill>
        <patternFill>
          <bgColor rgb="FFFFFFFF"/>
        </patternFill>
      </fill>
    </dxf>
  </rfmt>
  <rfmt sheetId="4" sqref="I21" start="0" length="0">
    <dxf>
      <fill>
        <patternFill>
          <bgColor rgb="FFFFFFFF"/>
        </patternFill>
      </fill>
    </dxf>
  </rfmt>
  <rfmt sheetId="4" sqref="J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2" start="0" length="0">
    <dxf>
      <fill>
        <patternFill>
          <bgColor rgb="FFFFFFFF"/>
        </patternFill>
      </fill>
    </dxf>
  </rfmt>
  <rfmt sheetId="4" sqref="K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I28"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I30"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J31"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H21" start="0" length="0">
    <dxf>
      <fill>
        <patternFill>
          <bgColor rgb="FFC6EFCE"/>
        </patternFill>
      </fill>
    </dxf>
  </rfmt>
  <rfmt sheetId="4" sqref="I21" start="0" length="0">
    <dxf>
      <fill>
        <patternFill>
          <bgColor rgb="FFC6EFCE"/>
        </patternFill>
      </fill>
    </dxf>
  </rfmt>
  <rfmt sheetId="4" sqref="J21" start="0" length="0">
    <dxf>
      <fill>
        <patternFill>
          <bgColor rgb="FFC6EFCE"/>
        </patternFill>
      </fill>
    </dxf>
  </rfmt>
  <rfmt sheetId="4" sqref="K21" start="0" length="0">
    <dxf>
      <fill>
        <patternFill>
          <bgColor rgb="FFCCFFCC"/>
        </patternFill>
      </fill>
    </dxf>
  </rfmt>
  <rfmt sheetId="4" sqref="K21" start="0" length="0">
    <dxf>
      <fill>
        <patternFill>
          <bgColor rgb="FFC6EFCE"/>
        </patternFill>
      </fill>
    </dxf>
  </rfmt>
  <rfmt sheetId="4" sqref="H22" start="0" length="0">
    <dxf>
      <fill>
        <patternFill>
          <bgColor rgb="FFCCFFCC"/>
        </patternFill>
      </fill>
    </dxf>
  </rfmt>
  <rfmt sheetId="4" sqref="H22" start="0" length="0">
    <dxf>
      <fill>
        <patternFill>
          <bgColor rgb="FFC6EFCE"/>
        </patternFill>
      </fill>
    </dxf>
  </rfmt>
  <rfmt sheetId="4" sqref="I22" start="0" length="0">
    <dxf>
      <fill>
        <patternFill>
          <bgColor rgb="FFCCFFCC"/>
        </patternFill>
      </fill>
    </dxf>
  </rfmt>
  <rfmt sheetId="4" sqref="J22" start="0" length="0">
    <dxf>
      <fill>
        <patternFill>
          <bgColor rgb="FFC6EFCE"/>
        </patternFill>
      </fill>
    </dxf>
  </rfmt>
  <rfmt sheetId="4" sqref="K22" start="0" length="0">
    <dxf>
      <fill>
        <patternFill>
          <bgColor rgb="FFC6EFCE"/>
        </patternFill>
      </fill>
    </dxf>
  </rfmt>
  <rfmt sheetId="4" sqref="J23" start="0" length="0">
    <dxf>
      <fill>
        <patternFill>
          <bgColor rgb="FFCCFFCC"/>
        </patternFill>
      </fill>
    </dxf>
  </rfmt>
  <rfmt sheetId="4" sqref="J23" start="0" length="0">
    <dxf>
      <fill>
        <patternFill>
          <bgColor rgb="FFC6EFCE"/>
        </patternFill>
      </fill>
    </dxf>
  </rfmt>
  <rfmt sheetId="4" sqref="J24" start="0" length="0">
    <dxf>
      <fill>
        <patternFill>
          <bgColor rgb="FFCCFFCC"/>
        </patternFill>
      </fill>
    </dxf>
  </rfmt>
  <rfmt sheetId="4" sqref="H25" start="0" length="0">
    <dxf>
      <fill>
        <patternFill>
          <bgColor rgb="FFCCFFCC"/>
        </patternFill>
      </fill>
    </dxf>
  </rfmt>
  <rfmt sheetId="4" sqref="H25" start="0" length="0">
    <dxf>
      <fill>
        <patternFill>
          <bgColor rgb="FFC6EFCE"/>
        </patternFill>
      </fill>
    </dxf>
  </rfmt>
  <rfmt sheetId="4" sqref="I25" start="0" length="0">
    <dxf>
      <fill>
        <patternFill>
          <bgColor rgb="FFCCFFCC"/>
        </patternFill>
      </fill>
    </dxf>
  </rfmt>
  <rfmt sheetId="4" sqref="J25" start="0" length="0">
    <dxf>
      <fill>
        <patternFill>
          <bgColor rgb="FFCCFFCC"/>
        </patternFill>
      </fill>
    </dxf>
  </rfmt>
  <rfmt sheetId="4" sqref="J25" start="0" length="0">
    <dxf>
      <fill>
        <patternFill>
          <bgColor rgb="FFC6EFCE"/>
        </patternFill>
      </fill>
    </dxf>
  </rfmt>
  <rfmt sheetId="4" sqref="K25" start="0" length="0">
    <dxf>
      <fill>
        <patternFill>
          <bgColor rgb="FFCCFFCC"/>
        </patternFill>
      </fill>
    </dxf>
  </rfmt>
  <rfmt sheetId="4" sqref="H26" start="0" length="0">
    <dxf>
      <fill>
        <patternFill>
          <bgColor rgb="FFCCFFCC"/>
        </patternFill>
      </fill>
    </dxf>
  </rfmt>
  <rfmt sheetId="4" sqref="H26" start="0" length="0">
    <dxf>
      <fill>
        <patternFill>
          <bgColor rgb="FFC6EFCE"/>
        </patternFill>
      </fill>
    </dxf>
  </rfmt>
  <rfmt sheetId="4" sqref="H27" start="0" length="0">
    <dxf>
      <fill>
        <patternFill>
          <bgColor rgb="FFCCFFCC"/>
        </patternFill>
      </fill>
    </dxf>
  </rfmt>
  <rfmt sheetId="4" sqref="H27" start="0" length="0">
    <dxf>
      <fill>
        <patternFill>
          <bgColor rgb="FFC6EFCE"/>
        </patternFill>
      </fill>
    </dxf>
  </rfmt>
  <rfmt sheetId="4" sqref="I27" start="0" length="0">
    <dxf>
      <fill>
        <patternFill>
          <bgColor rgb="FFCCFFCC"/>
        </patternFill>
      </fill>
    </dxf>
  </rfmt>
  <rfmt sheetId="4" sqref="I27" start="0" length="0">
    <dxf>
      <fill>
        <patternFill>
          <bgColor rgb="FFC6EFCE"/>
        </patternFill>
      </fill>
    </dxf>
  </rfmt>
  <rfmt sheetId="4" sqref="J27" start="0" length="0">
    <dxf>
      <fill>
        <patternFill>
          <bgColor rgb="FFCCFFCC"/>
        </patternFill>
      </fill>
    </dxf>
  </rfmt>
  <rfmt sheetId="4" sqref="K27" start="0" length="0">
    <dxf>
      <fill>
        <patternFill>
          <bgColor rgb="FFC6EFCE"/>
        </patternFill>
      </fill>
    </dxf>
  </rfmt>
  <rfmt sheetId="4" sqref="I28" start="0" length="0">
    <dxf>
      <fill>
        <patternFill>
          <bgColor rgb="FFC6EFCE"/>
        </patternFill>
      </fill>
    </dxf>
  </rfmt>
  <rfmt sheetId="4" sqref="J28" start="0" length="0">
    <dxf>
      <fill>
        <patternFill>
          <bgColor rgb="FFCCFFCC"/>
        </patternFill>
      </fill>
    </dxf>
  </rfmt>
  <rfmt sheetId="4" sqref="J29" start="0" length="0">
    <dxf>
      <fill>
        <patternFill>
          <bgColor rgb="FFCCFFCC"/>
        </patternFill>
      </fill>
    </dxf>
  </rfmt>
  <rfmt sheetId="4" sqref="I30" start="0" length="0">
    <dxf>
      <fill>
        <patternFill>
          <bgColor rgb="FFCCFFCC"/>
        </patternFill>
      </fill>
    </dxf>
  </rfmt>
  <rfmt sheetId="4" sqref="J30" start="0" length="0">
    <dxf>
      <fill>
        <patternFill>
          <bgColor rgb="FFCCFFCC"/>
        </patternFill>
      </fill>
    </dxf>
  </rfmt>
  <rfmt sheetId="4" sqref="J30" start="0" length="0">
    <dxf>
      <fill>
        <patternFill>
          <bgColor rgb="FFC6EFCE"/>
        </patternFill>
      </fill>
    </dxf>
  </rfmt>
  <rfmt sheetId="4" sqref="K30" start="0" length="0">
    <dxf>
      <fill>
        <patternFill>
          <bgColor rgb="FFCCFFCC"/>
        </patternFill>
      </fill>
    </dxf>
  </rfmt>
  <rfmt sheetId="4" sqref="H31" start="0" length="0">
    <dxf>
      <fill>
        <patternFill>
          <bgColor rgb="FFC6EFCE"/>
        </patternFill>
      </fill>
    </dxf>
  </rfmt>
  <rfmt sheetId="4" sqref="J31" start="0" length="0">
    <dxf>
      <fill>
        <patternFill>
          <bgColor rgb="FFC6EFCE"/>
        </patternFill>
      </fill>
    </dxf>
  </rfmt>
  <rfmt sheetId="4" sqref="K31" start="0" length="0">
    <dxf>
      <fill>
        <patternFill>
          <bgColor rgb="FFCCFFCC"/>
        </patternFill>
      </fill>
    </dxf>
  </rfmt>
  <rfmt sheetId="4" sqref="I32" start="0" length="0">
    <dxf>
      <fill>
        <patternFill>
          <bgColor rgb="FFCCFFCC"/>
        </patternFill>
      </fill>
    </dxf>
  </rfmt>
  <rfmt sheetId="4" sqref="I32" start="0" length="0">
    <dxf>
      <fill>
        <patternFill>
          <bgColor rgb="FFC6EFCE"/>
        </patternFill>
      </fill>
    </dxf>
  </rfmt>
  <rfmt sheetId="4" sqref="J32" start="0" length="0">
    <dxf>
      <fill>
        <patternFill>
          <bgColor rgb="FFCCFFCC"/>
        </patternFill>
      </fill>
    </dxf>
  </rfmt>
  <rcc rId="9969" sId="3">
    <oc r="E5" t="inlineStr">
      <is>
        <t>1, 3, 5, 2, 4, 6, 7, 9, 11, 8, 10, 12, 16, 13, 14, 35, 36, 40, 41, 45, 46, 49, 53</t>
      </is>
    </oc>
    <nc r="E5" t="inlineStr">
      <is>
        <t>1, 3, 5, 2, 4, 6, 7, 9, 11, 8, 10, 12, 16, 13, 14, 36, 40, 41, 46, 49, 53</t>
      </is>
    </nc>
  </rcc>
  <rfmt sheetId="4" sqref="J33" start="0" length="0">
    <dxf>
      <fill>
        <patternFill>
          <bgColor rgb="FFCCFFCC"/>
        </patternFill>
      </fill>
    </dxf>
  </rfmt>
  <rfmt sheetId="4" sqref="J33" start="0" length="0">
    <dxf>
      <fill>
        <patternFill>
          <bgColor rgb="FFC6EFCE"/>
        </patternFill>
      </fill>
    </dxf>
  </rfmt>
  <rcc rId="9970" sId="3" numFmtId="13">
    <oc r="E4">
      <v>0.56603773584905659</v>
    </oc>
    <nc r="E4">
      <v>0.60377358490566035</v>
    </nc>
  </rcc>
  <rcc rId="9971" sId="3" numFmtId="13">
    <oc r="E3">
      <v>0.24528301886792453</v>
    </oc>
    <nc r="E3">
      <v>0.22641509433962265</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N16" start="0" length="0">
    <dxf>
      <fill>
        <patternFill>
          <bgColor rgb="FFC6EFCE"/>
        </patternFill>
      </fill>
    </dxf>
  </rfmt>
  <rfmt sheetId="4" sqref="O16" start="0" length="0">
    <dxf>
      <fill>
        <patternFill>
          <bgColor rgb="FFCCFFCC"/>
        </patternFill>
      </fill>
    </dxf>
  </rfmt>
  <rfmt sheetId="4" sqref="O16" start="0" length="0">
    <dxf>
      <fill>
        <patternFill>
          <bgColor rgb="FFC6EFCE"/>
        </patternFill>
      </fill>
    </dxf>
  </rfmt>
  <rfmt sheetId="4" sqref="P16" start="0" length="0">
    <dxf>
      <fill>
        <patternFill>
          <bgColor rgb="FFCCFFCC"/>
        </patternFill>
      </fill>
    </dxf>
  </rfmt>
  <rfmt sheetId="4" sqref="P16" start="0" length="0">
    <dxf>
      <fill>
        <patternFill>
          <bgColor rgb="FFC6EFCE"/>
        </patternFill>
      </fill>
    </dxf>
  </rfmt>
  <rfmt sheetId="4" sqref="N17" start="0" length="0">
    <dxf>
      <fill>
        <patternFill>
          <bgColor rgb="FFCCFFCC"/>
        </patternFill>
      </fill>
    </dxf>
  </rfmt>
  <rfmt sheetId="4" sqref="N17" start="0" length="0">
    <dxf>
      <fill>
        <patternFill>
          <bgColor rgb="FFC6EFCE"/>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N18" start="0" length="0">
    <dxf>
      <fill>
        <patternFill>
          <bgColor rgb="FFC6EFCE"/>
        </patternFill>
      </fill>
    </dxf>
  </rfmt>
  <rfmt sheetId="4" sqref="O18" start="0" length="0">
    <dxf>
      <fill>
        <patternFill>
          <bgColor rgb="FFCCFFCC"/>
        </patternFill>
      </fill>
    </dxf>
  </rfmt>
  <rfmt sheetId="4" sqref="O18" start="0" length="0">
    <dxf>
      <fill>
        <patternFill>
          <bgColor rgb="FFC6EFCE"/>
        </patternFill>
      </fill>
    </dxf>
  </rfmt>
  <rfmt sheetId="4" sqref="P18" start="0" length="0">
    <dxf>
      <fill>
        <patternFill>
          <bgColor rgb="FFCCFFCC"/>
        </patternFill>
      </fill>
    </dxf>
  </rfmt>
  <rfmt sheetId="4" sqref="P18" start="0" length="0">
    <dxf>
      <fill>
        <patternFill>
          <bgColor rgb="FFC6EFCE"/>
        </patternFill>
      </fill>
    </dxf>
  </rfmt>
  <rfmt sheetId="4" sqref="N19" start="0" length="0">
    <dxf>
      <fill>
        <patternFill>
          <bgColor rgb="FFCCFFCC"/>
        </patternFill>
      </fill>
    </dxf>
  </rfmt>
  <rfmt sheetId="4" sqref="N19" start="0" length="0">
    <dxf>
      <fill>
        <patternFill>
          <bgColor rgb="FFC6EFCE"/>
        </patternFill>
      </fill>
    </dxf>
  </rfmt>
  <rfmt sheetId="4" sqref="O19" start="0" length="0">
    <dxf>
      <fill>
        <patternFill>
          <bgColor rgb="FFCCFFCC"/>
        </patternFill>
      </fill>
    </dxf>
  </rfmt>
  <rfmt sheetId="4" sqref="P19" start="0" length="0">
    <dxf>
      <fill>
        <patternFill>
          <bgColor rgb="FFCCFFCC"/>
        </patternFill>
      </fill>
    </dxf>
  </rfmt>
  <rfmt sheetId="4" sqref="P19" start="0" length="0">
    <dxf>
      <fill>
        <patternFill>
          <bgColor rgb="FFC6EFCE"/>
        </patternFill>
      </fill>
    </dxf>
  </rfmt>
  <rfmt sheetId="4" sqref="P20" start="0" length="0">
    <dxf>
      <fill>
        <patternFill>
          <bgColor rgb="FFCCFFCC"/>
        </patternFill>
      </fill>
    </dxf>
  </rfmt>
  <rfmt sheetId="4" sqref="P20" start="0" length="0">
    <dxf>
      <fill>
        <patternFill>
          <bgColor rgb="FFC6EFCE"/>
        </patternFill>
      </fill>
    </dxf>
  </rfmt>
  <rfmt sheetId="4" sqref="P21" start="0" length="0">
    <dxf>
      <fill>
        <patternFill>
          <bgColor rgb="FFCCFFCC"/>
        </patternFill>
      </fill>
    </dxf>
  </rfmt>
  <rfmt sheetId="4" sqref="P21" start="0" length="0">
    <dxf>
      <fill>
        <patternFill>
          <bgColor rgb="FFC6EFCE"/>
        </patternFill>
      </fill>
    </dxf>
  </rfmt>
  <rcc rId="9972" sId="3" numFmtId="13">
    <oc r="F3">
      <v>0.2857142857142857</v>
    </oc>
    <nc r="F3">
      <v>0.21428571428571427</v>
    </nc>
  </rcc>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9973" sId="3" numFmtId="13">
    <oc r="H3">
      <v>0.35135135135135137</v>
    </oc>
    <nc r="H3">
      <v>0.32432432432432434</v>
    </nc>
  </rcc>
  <rcc rId="9974" sId="3" numFmtId="13">
    <oc r="I3">
      <v>0.40540540540540543</v>
    </oc>
    <nc r="I3">
      <v>0.35135135135135137</v>
    </nc>
  </rcc>
  <rcc rId="9975" sId="3" numFmtId="13">
    <oc r="J3">
      <v>0.40540540540540543</v>
    </oc>
    <nc r="J3">
      <v>0.32432432432432434</v>
    </nc>
  </rcc>
  <rcc rId="9976" sId="3" numFmtId="13">
    <oc r="M3">
      <v>0.1891891891891892</v>
    </oc>
    <nc r="M3">
      <v>0.16216216216216217</v>
    </nc>
  </rcc>
  <rcc rId="9977" sId="3" numFmtId="13">
    <oc r="N3">
      <v>0.1891891891891892</v>
    </oc>
    <nc r="N3">
      <v>0.16216216216216217</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R6" start="0" length="0">
    <dxf>
      <fill>
        <patternFill>
          <bgColor rgb="FFC6EFCE"/>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Q7" start="0" length="0">
    <dxf>
      <fill>
        <patternFill>
          <bgColor rgb="FFC6EFCE"/>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R10" start="0" length="0">
    <dxf>
      <fill>
        <patternFill>
          <bgColor rgb="FFC6EFCE"/>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R12" start="0" length="0">
    <dxf>
      <fill>
        <patternFill>
          <bgColor rgb="FFC6EFCE"/>
        </patternFill>
      </fill>
    </dxf>
  </rfmt>
  <rfmt sheetId="4" sqref="S12" start="0" length="0">
    <dxf>
      <fill>
        <patternFill>
          <bgColor rgb="FFCCFFCC"/>
        </patternFill>
      </fill>
    </dxf>
  </rfmt>
  <rfmt sheetId="4" sqref="S12" start="0" length="0">
    <dxf>
      <fill>
        <patternFill>
          <bgColor rgb="FFC6EFCE"/>
        </patternFill>
      </fill>
    </dxf>
  </rfmt>
  <rfmt sheetId="4" sqref="Q13" start="0" length="0">
    <dxf>
      <fill>
        <patternFill>
          <bgColor rgb="FFCCFFCC"/>
        </patternFill>
      </fill>
    </dxf>
  </rfmt>
  <rfmt sheetId="4" sqref="Q13" start="0" length="0">
    <dxf>
      <fill>
        <patternFill>
          <bgColor rgb="FFC6EFCE"/>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8" start="0" length="0">
    <dxf>
      <fill>
        <patternFill>
          <bgColor rgb="FFC6EFCE"/>
        </patternFill>
      </fill>
    </dxf>
  </rfmt>
  <rfmt sheetId="4" sqref="V19" start="0" length="0">
    <dxf>
      <fill>
        <patternFill>
          <bgColor rgb="FFCCFFCC"/>
        </patternFill>
      </fill>
    </dxf>
  </rfmt>
  <rfmt sheetId="4" sqref="V19" start="0" length="0">
    <dxf>
      <fill>
        <patternFill>
          <bgColor rgb="FFC6EFCE"/>
        </patternFill>
      </fill>
    </dxf>
  </rfmt>
  <rfmt sheetId="4" sqref="V20" start="0" length="0">
    <dxf>
      <fill>
        <patternFill>
          <bgColor rgb="FFCCFFCC"/>
        </patternFill>
      </fill>
    </dxf>
  </rfmt>
  <rfmt sheetId="4" sqref="V20" start="0" length="0">
    <dxf>
      <fill>
        <patternFill>
          <bgColor rgb="FFC6EFCE"/>
        </patternFill>
      </fill>
    </dxf>
  </rfmt>
  <rfmt sheetId="4" sqref="V21" start="0" length="0">
    <dxf>
      <fill>
        <patternFill>
          <bgColor rgb="FFCCFFCC"/>
        </patternFill>
      </fill>
    </dxf>
  </rfmt>
  <rfmt sheetId="4" sqref="V21" start="0" length="0">
    <dxf>
      <fill>
        <patternFill>
          <bgColor rgb="FFC6EFCE"/>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N25" start="0" length="0">
    <dxf>
      <fill>
        <patternFill>
          <bgColor rgb="FFC6EFCE"/>
        </patternFill>
      </fill>
    </dxf>
  </rfmt>
  <rfmt sheetId="4" sqref="O25" start="0" length="0">
    <dxf>
      <fill>
        <patternFill>
          <bgColor rgb="FFCCFFCC"/>
        </patternFill>
      </fill>
    </dxf>
  </rfmt>
  <rfmt sheetId="4" sqref="O25" start="0" length="0">
    <dxf>
      <fill>
        <patternFill>
          <bgColor rgb="FFC6EFCE"/>
        </patternFill>
      </fill>
    </dxf>
  </rfmt>
  <rfmt sheetId="4" sqref="P25" start="0" length="0">
    <dxf>
      <fill>
        <patternFill>
          <bgColor rgb="FFCCFFCC"/>
        </patternFill>
      </fill>
    </dxf>
  </rfmt>
  <rfmt sheetId="4" sqref="P25" start="0" length="0">
    <dxf>
      <fill>
        <patternFill>
          <bgColor rgb="FFC6EFCE"/>
        </patternFill>
      </fill>
    </dxf>
  </rfmt>
  <rfmt sheetId="4" sqref="N26" start="0" length="0">
    <dxf>
      <fill>
        <patternFill>
          <bgColor rgb="FFCCFFCC"/>
        </patternFill>
      </fill>
    </dxf>
  </rfmt>
  <rfmt sheetId="4" sqref="N26" start="0" length="0">
    <dxf>
      <fill>
        <patternFill>
          <bgColor rgb="FFC6EFCE"/>
        </patternFill>
      </fill>
    </dxf>
  </rfmt>
  <rfmt sheetId="4" sqref="O26" start="0" length="0">
    <dxf>
      <fill>
        <patternFill>
          <bgColor rgb="FFCCFFCC"/>
        </patternFill>
      </fill>
    </dxf>
  </rfmt>
  <rfmt sheetId="4" sqref="O26" start="0" length="0">
    <dxf>
      <fill>
        <patternFill>
          <bgColor rgb="FFC6EFCE"/>
        </patternFill>
      </fill>
    </dxf>
  </rfmt>
  <rfmt sheetId="4" sqref="P26" start="0" length="0">
    <dxf>
      <fill>
        <patternFill>
          <bgColor rgb="FFCCFFCC"/>
        </patternFill>
      </fill>
    </dxf>
  </rfmt>
  <rfmt sheetId="4" sqref="P26" start="0" length="0">
    <dxf>
      <fill>
        <patternFill>
          <bgColor rgb="FFC6EFCE"/>
        </patternFill>
      </fill>
    </dxf>
  </rfmt>
  <rfmt sheetId="4" sqref="S26" start="0" length="0">
    <dxf>
      <fill>
        <patternFill>
          <bgColor rgb="FFCCFFCC"/>
        </patternFill>
      </fill>
    </dxf>
  </rfmt>
  <rfmt sheetId="4" sqref="S26" start="0" length="0">
    <dxf>
      <fill>
        <patternFill>
          <bgColor rgb="FFC6EFCE"/>
        </patternFill>
      </fill>
    </dxf>
  </rfmt>
  <rfmt sheetId="4" sqref="N27" start="0" length="0">
    <dxf>
      <fill>
        <patternFill>
          <bgColor rgb="FFCCFFCC"/>
        </patternFill>
      </fill>
    </dxf>
  </rfmt>
  <rfmt sheetId="4" sqref="N27" start="0" length="0">
    <dxf>
      <fill>
        <patternFill>
          <bgColor rgb="FFC6EFCE"/>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0" start="0" length="0">
    <dxf>
      <fill>
        <patternFill>
          <bgColor rgb="FFC6EFCE"/>
        </patternFill>
      </fill>
    </dxf>
  </rfmt>
  <rfmt sheetId="4" sqref="V11" start="0" length="0">
    <dxf>
      <fill>
        <patternFill>
          <bgColor rgb="FFCCFFCC"/>
        </patternFill>
      </fill>
    </dxf>
  </rfmt>
  <rfmt sheetId="4" sqref="V11" start="0" length="0">
    <dxf>
      <fill>
        <patternFill>
          <bgColor rgb="FFC6EFCE"/>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4" start="0" length="0">
    <dxf>
      <fill>
        <patternFill>
          <bgColor rgb="FFC6EFCE"/>
        </patternFill>
      </fill>
    </dxf>
  </rfmt>
  <rfmt sheetId="4" sqref="V15" start="0" length="0">
    <dxf>
      <fill>
        <patternFill>
          <bgColor rgb="FFCCFFCC"/>
        </patternFill>
      </fill>
    </dxf>
  </rfmt>
  <rfmt sheetId="4" sqref="V15" start="0" length="0">
    <dxf>
      <fill>
        <patternFill>
          <bgColor rgb="FFC6EFCE"/>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H39" start="0" length="0">
    <dxf>
      <fill>
        <patternFill>
          <bgColor rgb="FFC6EFCE"/>
        </patternFill>
      </fill>
    </dxf>
  </rfmt>
  <rfmt sheetId="4" sqref="I39" start="0" length="0">
    <dxf>
      <fill>
        <patternFill>
          <bgColor rgb="FFCCFFCC"/>
        </patternFill>
      </fill>
    </dxf>
  </rfmt>
  <rfmt sheetId="4" sqref="I39" start="0" length="0">
    <dxf>
      <fill>
        <patternFill>
          <bgColor rgb="FFC6EFCE"/>
        </patternFill>
      </fill>
    </dxf>
  </rfmt>
  <rfmt sheetId="4" sqref="J39" start="0" length="0">
    <dxf>
      <fill>
        <patternFill>
          <bgColor rgb="FFCCFFCC"/>
        </patternFill>
      </fill>
    </dxf>
  </rfmt>
  <rfmt sheetId="4" sqref="J39" start="0" length="0">
    <dxf>
      <fill>
        <patternFill>
          <bgColor rgb="FFC6EFCE"/>
        </patternFill>
      </fill>
    </dxf>
  </rfmt>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1" sqref="A73"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fmt sheetId="3" s="1" sqref="B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C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D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9978" sId="3" odxf="1" s="1" dxf="1">
    <nc r="K73">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979" sId="3" odxf="1" s="1" dxf="1">
    <nc r="L73">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980" sId="3" odxf="1" s="1" dxf="1">
    <nc r="M73">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981" sId="3" odxf="1" s="1" dxf="1">
    <nc r="N73">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O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9982" sId="3" odxf="1" s="1" dxf="1">
    <nc r="S73">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9983" sId="3" odxf="1" s="1" dxf="1">
    <nc r="T73">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U73"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9984" sId="3" odxf="1" s="1" dxf="1">
    <nc r="V73"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fmt sheetId="3" s="1" sqref="W7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9985" sId="3" numFmtId="19">
    <nc r="A73">
      <v>41787</v>
    </nc>
  </rcc>
  <rcc rId="9986" sId="3">
    <nc r="B73">
      <v>5</v>
    </nc>
  </rcc>
  <rcc rId="9987" sId="3">
    <nc r="C73">
      <v>16</v>
    </nc>
  </rcc>
  <rcc rId="9988" sId="3">
    <nc r="D73">
      <v>39</v>
    </nc>
  </rcc>
  <rcc rId="9989" sId="3">
    <nc r="E73">
      <v>20</v>
    </nc>
  </rcc>
  <rcc rId="9990" sId="3">
    <nc r="F73">
      <v>16</v>
    </nc>
  </rcc>
  <rcc rId="9991" sId="3">
    <nc r="G73">
      <v>4</v>
    </nc>
  </rcc>
  <rcc rId="9992" sId="3">
    <nc r="H73">
      <v>8</v>
    </nc>
  </rcc>
  <rcc rId="9993" sId="3">
    <nc r="I73">
      <v>0</v>
    </nc>
  </rcc>
  <rcc rId="9994" sId="3">
    <nc r="J73">
      <v>0</v>
    </nc>
  </rcc>
  <rcc rId="9995" sId="3">
    <nc r="O73">
      <v>3</v>
    </nc>
  </rcc>
  <rcc rId="9996" sId="3">
    <nc r="P73">
      <v>4</v>
    </nc>
  </rcc>
  <rcc rId="9997" sId="3">
    <nc r="Q73">
      <v>2</v>
    </nc>
  </rcc>
  <rcc rId="9998" sId="3">
    <nc r="R73">
      <v>11</v>
    </nc>
  </rcc>
  <rcc rId="9999" sId="3">
    <nc r="U73">
      <v>7</v>
    </nc>
  </rcc>
  <rcc rId="10000" sId="3" odxf="1" dxf="1">
    <nc r="W73" t="inlineStr">
      <is>
        <t>C.Pass</t>
      </is>
    </nc>
    <ndxf>
      <font>
        <sz val="9"/>
        <color indexed="8"/>
        <name val="Times New Roman"/>
        <scheme val="none"/>
      </font>
      <fill>
        <patternFill>
          <bgColor rgb="FFFFFF99"/>
        </patternFill>
      </fill>
    </ndxf>
  </rcc>
  <rcc rId="10001" sId="3" odxf="1" dxf="1">
    <nc r="X73" t="inlineStr">
      <is>
        <t xml:space="preserve">All units have valid video and audio output.
AUD2 warnings on several units
MPE warnings on all units
TX CC errors on PID 2801 on most units, uplink issue
TXB_TMG asserts to be investigated by Zaidan
MC Asserts to be investigated by Siva
</t>
      </is>
    </nc>
    <odxf>
      <alignment vertical="bottom" wrapText="0" readingOrder="0"/>
    </odxf>
    <ndxf>
      <alignment vertical="top" wrapText="1" readingOrder="0"/>
    </ndxf>
  </rcc>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002" sId="4" numFmtId="19">
    <oc r="I2">
      <v>41785</v>
    </oc>
    <nc r="I2">
      <v>41787</v>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8" start="0" length="0">
    <dxf>
      <fill>
        <patternFill>
          <bgColor rgb="FFC6EFCE"/>
        </patternFill>
      </fill>
    </dxf>
  </rfmt>
  <rfmt sheetId="4" sqref="B9" start="0" length="0">
    <dxf>
      <fill>
        <patternFill>
          <bgColor rgb="FFCCFFCC"/>
        </patternFill>
      </fill>
    </dxf>
  </rfmt>
  <rfmt sheetId="4" sqref="B9" start="0" length="0">
    <dxf>
      <fill>
        <patternFill>
          <bgColor rgb="FFC6EFCE"/>
        </patternFill>
      </fill>
    </dxf>
  </rfmt>
  <rfmt sheetId="4" sqref="B10" start="0" length="0">
    <dxf>
      <fill>
        <patternFill>
          <bgColor rgb="FFCCFFCC"/>
        </patternFill>
      </fill>
    </dxf>
  </rfmt>
  <rfmt sheetId="4" sqref="B10" start="0" length="0">
    <dxf>
      <fill>
        <patternFill>
          <bgColor rgb="FFC6EFCE"/>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7" start="0" length="0">
    <dxf>
      <fill>
        <patternFill>
          <bgColor rgb="FFC6EFCE"/>
        </patternFill>
      </fill>
    </dxf>
  </rfmt>
  <rfmt sheetId="4" sqref="B18" start="0" length="0">
    <dxf>
      <fill>
        <patternFill>
          <bgColor rgb="FFCCFFCC"/>
        </patternFill>
      </fill>
    </dxf>
  </rfmt>
  <rfmt sheetId="4" sqref="B18" start="0" length="0">
    <dxf>
      <fill>
        <patternFill>
          <bgColor rgb="FFC6EFCE"/>
        </patternFill>
      </fill>
    </dxf>
  </rfmt>
  <rfmt sheetId="4" sqref="B20" start="0" length="0">
    <dxf>
      <fill>
        <patternFill>
          <bgColor rgb="FFCCFFCC"/>
        </patternFill>
      </fill>
    </dxf>
  </rfmt>
  <rfmt sheetId="4" sqref="B20" start="0" length="0">
    <dxf>
      <fill>
        <patternFill>
          <bgColor rgb="FFC6EFCE"/>
        </patternFill>
      </fill>
    </dxf>
  </rfmt>
  <rfmt sheetId="4" sqref="B23" start="0" length="0">
    <dxf>
      <fill>
        <patternFill>
          <bgColor rgb="FFCCFFCC"/>
        </patternFill>
      </fill>
    </dxf>
  </rfmt>
  <rfmt sheetId="4" sqref="B24" start="0" length="0">
    <dxf>
      <fill>
        <patternFill>
          <bgColor rgb="FFCCFFCC"/>
        </patternFill>
      </fill>
    </dxf>
  </rfmt>
  <rfmt sheetId="4" sqref="B24" start="0" length="0">
    <dxf>
      <fill>
        <patternFill>
          <bgColor rgb="FFC6EFCE"/>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5" start="0" length="0">
    <dxf>
      <fill>
        <patternFill>
          <bgColor rgb="FFC6EFCE"/>
        </patternFill>
      </fill>
    </dxf>
  </rfmt>
  <rfmt sheetId="4" sqref="E6" start="0" length="0">
    <dxf>
      <fill>
        <patternFill>
          <bgColor rgb="FFCCFFCC"/>
        </patternFill>
      </fill>
    </dxf>
  </rfmt>
  <rfmt sheetId="4" sqref="E6" start="0" length="0">
    <dxf>
      <fill>
        <patternFill>
          <bgColor rgb="FFC6EFCE"/>
        </patternFill>
      </fill>
    </dxf>
  </rfmt>
  <rfmt sheetId="4" sqref="E7" start="0" length="0">
    <dxf>
      <fill>
        <patternFill>
          <bgColor rgb="FFCCFFCC"/>
        </patternFill>
      </fill>
    </dxf>
  </rfmt>
  <rfmt sheetId="4" sqref="E7" start="0" length="0">
    <dxf>
      <fill>
        <patternFill>
          <bgColor rgb="FFC6EFCE"/>
        </patternFill>
      </fill>
    </dxf>
  </rfmt>
  <rfmt sheetId="4" sqref="E10" start="0" length="0">
    <dxf>
      <fill>
        <patternFill>
          <bgColor rgb="FFCCFFCC"/>
        </patternFill>
      </fill>
    </dxf>
  </rfmt>
  <rfmt sheetId="4" sqref="E10" start="0" length="0">
    <dxf>
      <fill>
        <patternFill>
          <bgColor rgb="FFC6EFCE"/>
        </patternFill>
      </fill>
    </dxf>
  </rfmt>
  <rfmt sheetId="4" sqref="E11" start="0" length="0">
    <dxf>
      <fill>
        <patternFill>
          <bgColor rgb="FFCCFFCC"/>
        </patternFill>
      </fill>
    </dxf>
  </rfmt>
  <rfmt sheetId="4" sqref="E11" start="0" length="0">
    <dxf>
      <fill>
        <patternFill>
          <bgColor rgb="FFC6EFCE"/>
        </patternFill>
      </fill>
    </dxf>
  </rfmt>
  <rfmt sheetId="4" sqref="E19" start="0" length="0">
    <dxf>
      <fill>
        <patternFill>
          <bgColor rgb="FFCCFFCC"/>
        </patternFill>
      </fill>
    </dxf>
  </rfmt>
  <rfmt sheetId="4" sqref="E19" start="0" length="0">
    <dxf>
      <fill>
        <patternFill>
          <bgColor rgb="FFC6EFCE"/>
        </patternFill>
      </fill>
    </dxf>
  </rfmt>
  <rfmt sheetId="4" sqref="E20" start="0" length="0">
    <dxf>
      <fill>
        <patternFill>
          <bgColor rgb="FFCCFFCC"/>
        </patternFill>
      </fill>
    </dxf>
  </rfmt>
  <rfmt sheetId="4" sqref="E20" start="0" length="0">
    <dxf>
      <fill>
        <patternFill>
          <bgColor rgb="FFC6EFCE"/>
        </patternFill>
      </fill>
    </dxf>
  </rfmt>
  <rfmt sheetId="4" sqref="E21" start="0" length="0">
    <dxf>
      <fill>
        <patternFill>
          <bgColor rgb="FFCCFFCC"/>
        </patternFill>
      </fill>
    </dxf>
  </rfmt>
  <rfmt sheetId="4" sqref="E21" start="0" length="0">
    <dxf>
      <fill>
        <patternFill>
          <bgColor rgb="FFC6EFCE"/>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L6" start="0" length="0">
    <dxf>
      <fill>
        <patternFill>
          <bgColor rgb="FFFFFFFF"/>
        </patternFill>
      </fill>
    </dxf>
  </rfmt>
  <rfmt sheetId="4" sqref="M6" start="0" length="0">
    <dxf>
      <fill>
        <patternFill>
          <bgColor rgb="FFFFFFFF"/>
        </patternFill>
      </fill>
    </dxf>
  </rfmt>
  <rfmt sheetId="4" sqref="N6" start="0" length="0">
    <dxf>
      <fill>
        <patternFill>
          <bgColor rgb="FFFFFFFF"/>
        </patternFill>
      </fill>
    </dxf>
  </rfmt>
  <rfmt sheetId="4" sqref="K7" start="0" length="0">
    <dxf>
      <fill>
        <patternFill>
          <bgColor rgb="FFFFFFFF"/>
        </patternFill>
      </fill>
    </dxf>
  </rfmt>
  <rfmt sheetId="4" sqref="L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J8" start="0" length="0">
    <dxf>
      <fill>
        <patternFill>
          <bgColor rgb="FFFFFFFF"/>
        </patternFill>
      </fill>
    </dxf>
  </rfmt>
  <rfmt sheetId="4" sqref="K8" start="0" length="0">
    <dxf>
      <fill>
        <patternFill>
          <bgColor rgb="FFFFFFFF"/>
        </patternFill>
      </fill>
    </dxf>
  </rfmt>
  <rfmt sheetId="4" sqref="L8" start="0" length="0">
    <dxf>
      <fill>
        <patternFill>
          <bgColor rgb="FFFFFFFF"/>
        </patternFill>
      </fill>
    </dxf>
  </rfmt>
  <rfmt sheetId="4" sqref="M8" start="0" length="0">
    <dxf>
      <fill>
        <patternFill>
          <bgColor rgb="FFFFFFFF"/>
        </patternFill>
      </fill>
    </dxf>
  </rfmt>
  <rfmt sheetId="4" sqref="N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K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I5" start="0" length="0">
    <dxf>
      <fill>
        <patternFill>
          <bgColor rgb="FFC6EFCE"/>
        </patternFill>
      </fill>
    </dxf>
  </rfmt>
  <rfmt sheetId="4" sqref="J5" start="0" length="0">
    <dxf>
      <fill>
        <patternFill>
          <bgColor rgb="FFCCFFCC"/>
        </patternFill>
      </fill>
    </dxf>
  </rfmt>
  <rfmt sheetId="4" sqref="J5" start="0" length="0">
    <dxf>
      <fill>
        <patternFill>
          <bgColor rgb="FFC6EFCE"/>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I6" start="0" length="0">
    <dxf>
      <fill>
        <patternFill>
          <bgColor rgb="FFC6EFCE"/>
        </patternFill>
      </fill>
    </dxf>
  </rfmt>
  <rfmt sheetId="4" sqref="J6" start="0" length="0">
    <dxf>
      <fill>
        <patternFill>
          <bgColor rgb="FFCCFFCC"/>
        </patternFill>
      </fill>
    </dxf>
  </rfmt>
  <rfmt sheetId="4" sqref="K6" start="0" length="0">
    <dxf>
      <fill>
        <patternFill>
          <bgColor rgb="FFCCFFCC"/>
        </patternFill>
      </fill>
    </dxf>
  </rfmt>
  <rfmt sheetId="4" sqref="K6" start="0" length="0">
    <dxf>
      <fill>
        <patternFill>
          <bgColor rgb="FFC6EFCE"/>
        </patternFill>
      </fill>
    </dxf>
  </rfmt>
  <rfmt sheetId="4" sqref="L6" start="0" length="0">
    <dxf>
      <fill>
        <patternFill>
          <bgColor rgb="FFC6EFCE"/>
        </patternFill>
      </fill>
    </dxf>
  </rfmt>
  <rfmt sheetId="4" sqref="M6" start="0" length="0">
    <dxf>
      <fill>
        <patternFill>
          <bgColor rgb="FFCCFFCC"/>
        </patternFill>
      </fill>
    </dxf>
  </rfmt>
  <rfmt sheetId="4" sqref="N6" start="0" length="0">
    <dxf>
      <fill>
        <patternFill>
          <bgColor rgb="FFC6EFCE"/>
        </patternFill>
      </fill>
    </dxf>
  </rfmt>
  <rfmt sheetId="4" sqref="K7" start="0" length="0">
    <dxf>
      <fill>
        <patternFill>
          <bgColor rgb="FFCCFFCC"/>
        </patternFill>
      </fill>
    </dxf>
  </rfmt>
  <rfmt sheetId="4" sqref="K7" start="0" length="0">
    <dxf>
      <fill>
        <patternFill>
          <bgColor rgb="FFC6EFCE"/>
        </patternFill>
      </fill>
    </dxf>
  </rfmt>
  <rfmt sheetId="4" sqref="L7" start="0" length="0">
    <dxf>
      <fill>
        <patternFill>
          <bgColor rgb="FFC6EFCE"/>
        </patternFill>
      </fill>
    </dxf>
  </rfmt>
  <rfmt sheetId="4" sqref="M7" start="0" length="0">
    <dxf>
      <fill>
        <patternFill>
          <bgColor rgb="FFCCFFCC"/>
        </patternFill>
      </fill>
    </dxf>
  </rfmt>
  <rfmt sheetId="4" sqref="N7" start="0" length="0">
    <dxf>
      <fill>
        <patternFill>
          <bgColor rgb="FFCCFFCC"/>
        </patternFill>
      </fill>
    </dxf>
  </rfmt>
  <rfmt sheetId="4" sqref="N7" start="0" length="0">
    <dxf>
      <fill>
        <patternFill>
          <bgColor rgb="FFC6EFCE"/>
        </patternFill>
      </fill>
    </dxf>
  </rfmt>
  <rfmt sheetId="4" sqref="I8" start="0" length="0">
    <dxf>
      <fill>
        <patternFill>
          <bgColor rgb="FFCCFFCC"/>
        </patternFill>
      </fill>
    </dxf>
  </rfmt>
  <rfmt sheetId="4" sqref="I8" start="0" length="0">
    <dxf>
      <fill>
        <patternFill>
          <bgColor rgb="FFC6EFCE"/>
        </patternFill>
      </fill>
    </dxf>
  </rfmt>
  <rfmt sheetId="4" sqref="J8" start="0" length="0">
    <dxf>
      <fill>
        <patternFill>
          <bgColor rgb="FFCCFFCC"/>
        </patternFill>
      </fill>
    </dxf>
  </rfmt>
  <rfmt sheetId="4" sqref="K8" start="0" length="0">
    <dxf>
      <fill>
        <patternFill>
          <bgColor rgb="FFCCFFCC"/>
        </patternFill>
      </fill>
    </dxf>
  </rfmt>
  <rfmt sheetId="4" sqref="K8" start="0" length="0">
    <dxf>
      <fill>
        <patternFill>
          <bgColor rgb="FFC6EFCE"/>
        </patternFill>
      </fill>
    </dxf>
  </rfmt>
  <rfmt sheetId="4" sqref="L8" start="0" length="0">
    <dxf>
      <fill>
        <patternFill>
          <bgColor rgb="FFCCFFCC"/>
        </patternFill>
      </fill>
    </dxf>
  </rfmt>
  <rfmt sheetId="4" sqref="M8" start="0" length="0">
    <dxf>
      <fill>
        <patternFill>
          <bgColor rgb="FFCCFFCC"/>
        </patternFill>
      </fill>
    </dxf>
  </rfmt>
  <rfmt sheetId="4" sqref="M8" start="0" length="0">
    <dxf>
      <fill>
        <patternFill>
          <bgColor rgb="FFC6EFCE"/>
        </patternFill>
      </fill>
    </dxf>
  </rfmt>
  <rfmt sheetId="4" sqref="N8" start="0" length="0">
    <dxf>
      <fill>
        <patternFill>
          <bgColor rgb="FFC6EFCE"/>
        </patternFill>
      </fill>
    </dxf>
  </rfmt>
  <rfmt sheetId="4" sqref="I9" start="0" length="0">
    <dxf>
      <fill>
        <patternFill>
          <bgColor rgb="FFCCFFCC"/>
        </patternFill>
      </fill>
    </dxf>
  </rfmt>
  <rfmt sheetId="4" sqref="I9" start="0" length="0">
    <dxf>
      <fill>
        <patternFill>
          <bgColor rgb="FFC6EFCE"/>
        </patternFill>
      </fill>
    </dxf>
  </rfmt>
  <rfmt sheetId="4" sqref="J9" start="0" length="0">
    <dxf>
      <fill>
        <patternFill>
          <bgColor rgb="FFCCFFCC"/>
        </patternFill>
      </fill>
    </dxf>
  </rfmt>
  <rfmt sheetId="4" sqref="J9" start="0" length="0">
    <dxf>
      <fill>
        <patternFill>
          <bgColor rgb="FFC6EFCE"/>
        </patternFill>
      </fill>
    </dxf>
  </rfmt>
  <rfmt sheetId="4" sqref="K9" start="0" length="0">
    <dxf>
      <fill>
        <patternFill>
          <bgColor rgb="FFCCFFCC"/>
        </patternFill>
      </fill>
    </dxf>
  </rfmt>
  <rfmt sheetId="4" sqref="K9" start="0" length="0">
    <dxf>
      <fill>
        <patternFill>
          <bgColor rgb="FFC6EFCE"/>
        </patternFill>
      </fill>
    </dxf>
  </rfmt>
  <rfmt sheetId="4" sqref="L9" start="0" length="0">
    <dxf>
      <fill>
        <patternFill>
          <bgColor rgb="FFCCFFCC"/>
        </patternFill>
      </fill>
    </dxf>
  </rfmt>
  <rfmt sheetId="4" sqref="M9" start="0" length="0">
    <dxf>
      <fill>
        <patternFill>
          <bgColor rgb="FFCCFFCC"/>
        </patternFill>
      </fill>
    </dxf>
  </rfmt>
  <rfmt sheetId="4" sqref="M9" start="0" length="0">
    <dxf>
      <fill>
        <patternFill>
          <bgColor rgb="FFC6EFCE"/>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K10" start="0" length="0">
    <dxf>
      <fill>
        <patternFill>
          <bgColor rgb="FFC6EFCE"/>
        </patternFill>
      </fill>
    </dxf>
  </rfmt>
  <rfmt sheetId="4" sqref="L10" start="0" length="0">
    <dxf>
      <fill>
        <patternFill>
          <bgColor rgb="FFCCFFCC"/>
        </patternFill>
      </fill>
    </dxf>
  </rfmt>
  <rfmt sheetId="4" sqref="M10" start="0" length="0">
    <dxf>
      <fill>
        <patternFill>
          <bgColor rgb="FFCCFFCC"/>
        </patternFill>
      </fill>
    </dxf>
  </rfmt>
  <rfmt sheetId="4" sqref="M10" start="0" length="0">
    <dxf>
      <fill>
        <patternFill>
          <bgColor rgb="FFC6EFCE"/>
        </patternFill>
      </fill>
    </dxf>
  </rfmt>
  <rfmt sheetId="4" sqref="N10" start="0" length="0">
    <dxf>
      <fill>
        <patternFill>
          <bgColor rgb="FFCCFFCC"/>
        </patternFill>
      </fill>
    </dxf>
  </rfmt>
  <rfmt sheetId="4" sqref="N10" start="0" length="0">
    <dxf>
      <fill>
        <patternFill>
          <bgColor rgb="FFC6EFCE"/>
        </patternFill>
      </fill>
    </dxf>
  </rfmt>
  <rfmt sheetId="4" sqref="K12" start="0" length="0">
    <dxf>
      <fill>
        <patternFill>
          <bgColor rgb="FFCCFFCC"/>
        </patternFill>
      </fill>
    </dxf>
  </rfmt>
  <rfmt sheetId="4" sqref="K12" start="0" length="0">
    <dxf>
      <fill>
        <patternFill>
          <bgColor rgb="FFC6EFCE"/>
        </patternFill>
      </fill>
    </dxf>
  </rfmt>
  <rfmt sheetId="4" sqref="L12" start="0" length="0">
    <dxf>
      <fill>
        <patternFill>
          <bgColor rgb="FFCCFFCC"/>
        </patternFill>
      </fill>
    </dxf>
  </rfmt>
  <rcc rId="10003" sId="3" numFmtId="13">
    <oc r="D3">
      <v>0.26530612244897961</v>
    </oc>
    <nc r="D3">
      <v>0.24489795918367346</v>
    </nc>
  </rcc>
  <rfmt sheetId="4" sqref="K17" start="0" length="0">
    <dxf>
      <fill>
        <patternFill>
          <bgColor rgb="FFFFFFFF"/>
        </patternFill>
      </fill>
    </dxf>
  </rfmt>
  <rfmt sheetId="4" sqref="H21" start="0" length="0">
    <dxf>
      <fill>
        <patternFill>
          <bgColor rgb="FFFFFFFF"/>
        </patternFill>
      </fill>
    </dxf>
  </rfmt>
  <rfmt sheetId="4" sqref="I21" start="0" length="0">
    <dxf>
      <fill>
        <patternFill>
          <bgColor rgb="FFFFFFFF"/>
        </patternFill>
      </fill>
    </dxf>
  </rfmt>
  <rfmt sheetId="4" sqref="J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2" start="0" length="0">
    <dxf>
      <fill>
        <patternFill>
          <bgColor rgb="FFFFFFFF"/>
        </patternFill>
      </fill>
    </dxf>
  </rfmt>
  <rfmt sheetId="4" sqref="K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K27" start="0" length="0">
    <dxf>
      <fill>
        <patternFill>
          <bgColor rgb="FFFFFFFF"/>
        </patternFill>
      </fill>
    </dxf>
  </rfmt>
  <rfmt sheetId="4" sqref="I28"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I30"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H31" start="0" length="0">
    <dxf>
      <fill>
        <patternFill>
          <bgColor rgb="FFFFFFFF"/>
        </patternFill>
      </fill>
    </dxf>
  </rfmt>
  <rfmt sheetId="4" sqref="J31"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K17" start="0" length="0">
    <dxf>
      <fill>
        <patternFill>
          <bgColor rgb="FFCCFFCC"/>
        </patternFill>
      </fill>
    </dxf>
  </rfmt>
  <rfmt sheetId="4" sqref="H21" start="0" length="0">
    <dxf>
      <fill>
        <patternFill>
          <bgColor rgb="FFCCFFCC"/>
        </patternFill>
      </fill>
    </dxf>
  </rfmt>
  <rfmt sheetId="4" sqref="H21" start="0" length="0">
    <dxf>
      <fill>
        <patternFill>
          <bgColor rgb="FFC6EFCE"/>
        </patternFill>
      </fill>
    </dxf>
  </rfmt>
  <rfmt sheetId="4" sqref="I21" start="0" length="0">
    <dxf>
      <fill>
        <patternFill>
          <bgColor rgb="FFC6EFCE"/>
        </patternFill>
      </fill>
    </dxf>
  </rfmt>
  <rfmt sheetId="4" sqref="J21" start="0" length="0">
    <dxf>
      <fill>
        <patternFill>
          <bgColor rgb="FFC6EFCE"/>
        </patternFill>
      </fill>
    </dxf>
  </rfmt>
  <rfmt sheetId="4" sqref="K21" start="0" length="0">
    <dxf>
      <fill>
        <patternFill>
          <bgColor rgb="FFCCFFCC"/>
        </patternFill>
      </fill>
    </dxf>
  </rfmt>
  <rfmt sheetId="4" sqref="K21" start="0" length="0">
    <dxf>
      <fill>
        <patternFill>
          <bgColor rgb="FFC6EFCE"/>
        </patternFill>
      </fill>
    </dxf>
  </rfmt>
  <rfmt sheetId="4" sqref="H22" start="0" length="0">
    <dxf>
      <fill>
        <patternFill>
          <bgColor rgb="FFCCFFCC"/>
        </patternFill>
      </fill>
    </dxf>
  </rfmt>
  <rfmt sheetId="4" sqref="H22" start="0" length="0">
    <dxf>
      <fill>
        <patternFill>
          <bgColor rgb="FFC6EFCE"/>
        </patternFill>
      </fill>
    </dxf>
  </rfmt>
  <rfmt sheetId="4" sqref="I22" start="0" length="0">
    <dxf>
      <fill>
        <patternFill>
          <bgColor rgb="FFCCFFCC"/>
        </patternFill>
      </fill>
    </dxf>
  </rfmt>
  <rfmt sheetId="4" sqref="I22" start="0" length="0">
    <dxf>
      <fill>
        <patternFill>
          <bgColor rgb="FFC6EFCE"/>
        </patternFill>
      </fill>
    </dxf>
  </rfmt>
  <rfmt sheetId="4" sqref="J22" start="0" length="0">
    <dxf>
      <fill>
        <patternFill>
          <bgColor rgb="FFC6EFCE"/>
        </patternFill>
      </fill>
    </dxf>
  </rfmt>
  <rfmt sheetId="4" sqref="K22" start="0" length="0">
    <dxf>
      <fill>
        <patternFill>
          <bgColor rgb="FFC6EFCE"/>
        </patternFill>
      </fill>
    </dxf>
  </rfmt>
  <rfmt sheetId="4" sqref="J23" start="0" length="0">
    <dxf>
      <fill>
        <patternFill>
          <bgColor rgb="FFCCFFCC"/>
        </patternFill>
      </fill>
    </dxf>
  </rfmt>
  <rfmt sheetId="4" sqref="J23" start="0" length="0">
    <dxf>
      <fill>
        <patternFill>
          <bgColor rgb="FFC6EFCE"/>
        </patternFill>
      </fill>
    </dxf>
  </rfmt>
  <rfmt sheetId="4" sqref="J24" start="0" length="0">
    <dxf>
      <fill>
        <patternFill>
          <bgColor rgb="FFCCFFCC"/>
        </patternFill>
      </fill>
    </dxf>
  </rfmt>
  <rfmt sheetId="4" sqref="H25" start="0" length="0">
    <dxf>
      <fill>
        <patternFill>
          <bgColor rgb="FFCCFFCC"/>
        </patternFill>
      </fill>
    </dxf>
  </rfmt>
  <rfmt sheetId="4" sqref="H25" start="0" length="0">
    <dxf>
      <fill>
        <patternFill>
          <bgColor rgb="FFC6EFCE"/>
        </patternFill>
      </fill>
    </dxf>
  </rfmt>
  <rfmt sheetId="4" sqref="I25" start="0" length="0">
    <dxf>
      <fill>
        <patternFill>
          <bgColor rgb="FFCCFFCC"/>
        </patternFill>
      </fill>
    </dxf>
  </rfmt>
  <rfmt sheetId="4" sqref="J25" start="0" length="0">
    <dxf>
      <fill>
        <patternFill>
          <bgColor rgb="FFCCFFCC"/>
        </patternFill>
      </fill>
    </dxf>
  </rfmt>
  <rfmt sheetId="4" sqref="J25" start="0" length="0">
    <dxf>
      <fill>
        <patternFill>
          <bgColor rgb="FFC6EFCE"/>
        </patternFill>
      </fill>
    </dxf>
  </rfmt>
  <rfmt sheetId="4" sqref="K25" start="0" length="0">
    <dxf>
      <fill>
        <patternFill>
          <bgColor rgb="FFCCFFCC"/>
        </patternFill>
      </fill>
    </dxf>
  </rfmt>
  <rfmt sheetId="4" sqref="H26" start="0" length="0">
    <dxf>
      <fill>
        <patternFill>
          <bgColor rgb="FFCCFFCC"/>
        </patternFill>
      </fill>
    </dxf>
  </rfmt>
  <rfmt sheetId="4" sqref="H26" start="0" length="0">
    <dxf>
      <fill>
        <patternFill>
          <bgColor rgb="FFC6EFCE"/>
        </patternFill>
      </fill>
    </dxf>
  </rfmt>
  <rfmt sheetId="4" sqref="H27" start="0" length="0">
    <dxf>
      <fill>
        <patternFill>
          <bgColor rgb="FFCCFFCC"/>
        </patternFill>
      </fill>
    </dxf>
  </rfmt>
  <rfmt sheetId="4" sqref="H27" start="0" length="0">
    <dxf>
      <fill>
        <patternFill>
          <bgColor rgb="FFC6EFCE"/>
        </patternFill>
      </fill>
    </dxf>
  </rfmt>
  <rfmt sheetId="4" sqref="I27" start="0" length="0">
    <dxf>
      <fill>
        <patternFill>
          <bgColor rgb="FFCCFFCC"/>
        </patternFill>
      </fill>
    </dxf>
  </rfmt>
  <rfmt sheetId="4" sqref="I27" start="0" length="0">
    <dxf>
      <fill>
        <patternFill>
          <bgColor rgb="FFC6EFCE"/>
        </patternFill>
      </fill>
    </dxf>
  </rfmt>
  <rfmt sheetId="4" sqref="J27" start="0" length="0">
    <dxf>
      <fill>
        <patternFill>
          <bgColor rgb="FFCCFFCC"/>
        </patternFill>
      </fill>
    </dxf>
  </rfmt>
  <rfmt sheetId="4" sqref="K27" start="0" length="0">
    <dxf>
      <fill>
        <patternFill>
          <bgColor rgb="FFC6EFCE"/>
        </patternFill>
      </fill>
    </dxf>
  </rfmt>
  <rfmt sheetId="4" sqref="I28" start="0" length="0">
    <dxf>
      <fill>
        <patternFill>
          <bgColor rgb="FFC6EFCE"/>
        </patternFill>
      </fill>
    </dxf>
  </rfmt>
  <rfmt sheetId="4" sqref="J28" start="0" length="0">
    <dxf>
      <fill>
        <patternFill>
          <bgColor rgb="FFCCFFCC"/>
        </patternFill>
      </fill>
    </dxf>
  </rfmt>
  <rfmt sheetId="4" sqref="J29" start="0" length="0">
    <dxf>
      <fill>
        <patternFill>
          <bgColor rgb="FFCCFFCC"/>
        </patternFill>
      </fill>
    </dxf>
  </rfmt>
  <rfmt sheetId="4" sqref="I30" start="0" length="0">
    <dxf>
      <fill>
        <patternFill>
          <bgColor rgb="FFCCFFCC"/>
        </patternFill>
      </fill>
    </dxf>
  </rfmt>
  <rfmt sheetId="4" sqref="J30" start="0" length="0">
    <dxf>
      <fill>
        <patternFill>
          <bgColor rgb="FFCCFFCC"/>
        </patternFill>
      </fill>
    </dxf>
  </rfmt>
  <rfmt sheetId="4" sqref="J30" start="0" length="0">
    <dxf>
      <fill>
        <patternFill>
          <bgColor rgb="FFC6EFCE"/>
        </patternFill>
      </fill>
    </dxf>
  </rfmt>
  <rfmt sheetId="4" sqref="K30" start="0" length="0">
    <dxf>
      <fill>
        <patternFill>
          <bgColor rgb="FFCCFFCC"/>
        </patternFill>
      </fill>
    </dxf>
  </rfmt>
  <rfmt sheetId="4" sqref="H31" start="0" length="0">
    <dxf>
      <fill>
        <patternFill>
          <bgColor rgb="FFC6EFCE"/>
        </patternFill>
      </fill>
    </dxf>
  </rfmt>
  <rfmt sheetId="4" sqref="J31" start="0" length="0">
    <dxf>
      <fill>
        <patternFill>
          <bgColor rgb="FFC6EFCE"/>
        </patternFill>
      </fill>
    </dxf>
  </rfmt>
  <rfmt sheetId="4" sqref="K31" start="0" length="0">
    <dxf>
      <fill>
        <patternFill>
          <bgColor rgb="FFCCFFCC"/>
        </patternFill>
      </fill>
    </dxf>
  </rfmt>
  <rfmt sheetId="4" sqref="I32" start="0" length="0">
    <dxf>
      <fill>
        <patternFill>
          <bgColor rgb="FFCCFFCC"/>
        </patternFill>
      </fill>
    </dxf>
  </rfmt>
  <rfmt sheetId="4" sqref="I32" start="0" length="0">
    <dxf>
      <fill>
        <patternFill>
          <bgColor rgb="FFC6EFCE"/>
        </patternFill>
      </fill>
    </dxf>
  </rfmt>
  <rfmt sheetId="4" sqref="J32" start="0" length="0">
    <dxf>
      <fill>
        <patternFill>
          <bgColor rgb="FFCCFFCC"/>
        </patternFill>
      </fill>
    </dxf>
  </rfmt>
  <rfmt sheetId="4" sqref="J33" start="0" length="0">
    <dxf>
      <fill>
        <patternFill>
          <bgColor rgb="FFCCFFCC"/>
        </patternFill>
      </fill>
    </dxf>
  </rfmt>
  <rfmt sheetId="4" sqref="J33" start="0" length="0">
    <dxf>
      <fill>
        <patternFill>
          <bgColor rgb="FFC6EFCE"/>
        </patternFill>
      </fill>
    </dxf>
  </rfmt>
  <rcc rId="10004" sId="3" numFmtId="13">
    <oc r="E3">
      <v>0.22641509433962265</v>
    </oc>
    <nc r="E3">
      <v>0.20754716981132076</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N16" start="0" length="0">
    <dxf>
      <fill>
        <patternFill>
          <bgColor rgb="FFC6EFCE"/>
        </patternFill>
      </fill>
    </dxf>
  </rfmt>
  <rfmt sheetId="4" sqref="O16" start="0" length="0">
    <dxf>
      <fill>
        <patternFill>
          <bgColor rgb="FFCCFFCC"/>
        </patternFill>
      </fill>
    </dxf>
  </rfmt>
  <rfmt sheetId="4" sqref="O16" start="0" length="0">
    <dxf>
      <fill>
        <patternFill>
          <bgColor rgb="FFC6EFCE"/>
        </patternFill>
      </fill>
    </dxf>
  </rfmt>
  <rfmt sheetId="4" sqref="P16" start="0" length="0">
    <dxf>
      <fill>
        <patternFill>
          <bgColor rgb="FFCCFFCC"/>
        </patternFill>
      </fill>
    </dxf>
  </rfmt>
  <rfmt sheetId="4" sqref="P16" start="0" length="0">
    <dxf>
      <fill>
        <patternFill>
          <bgColor rgb="FFC6EFCE"/>
        </patternFill>
      </fill>
    </dxf>
  </rfmt>
  <rfmt sheetId="4" sqref="N17" start="0" length="0">
    <dxf>
      <fill>
        <patternFill>
          <bgColor rgb="FFCCFFCC"/>
        </patternFill>
      </fill>
    </dxf>
  </rfmt>
  <rfmt sheetId="4" sqref="N17" start="0" length="0">
    <dxf>
      <fill>
        <patternFill>
          <bgColor rgb="FFC6EFCE"/>
        </patternFill>
      </fill>
    </dxf>
  </rfmt>
  <rfmt sheetId="4" sqref="O17" start="0" length="0">
    <dxf>
      <fill>
        <patternFill>
          <bgColor rgb="FFCCFFCC"/>
        </patternFill>
      </fill>
    </dxf>
  </rfmt>
  <rfmt sheetId="4" sqref="P17" start="0" length="0">
    <dxf>
      <fill>
        <patternFill>
          <bgColor rgb="FFCCFFCC"/>
        </patternFill>
      </fill>
    </dxf>
  </rfmt>
  <rfmt sheetId="4" sqref="N18" start="0" length="0">
    <dxf>
      <fill>
        <patternFill>
          <bgColor rgb="FFCCFFCC"/>
        </patternFill>
      </fill>
    </dxf>
  </rfmt>
  <rfmt sheetId="4" sqref="N18" start="0" length="0">
    <dxf>
      <fill>
        <patternFill>
          <bgColor rgb="FFC6EFCE"/>
        </patternFill>
      </fill>
    </dxf>
  </rfmt>
  <rfmt sheetId="4" sqref="O18" start="0" length="0">
    <dxf>
      <fill>
        <patternFill>
          <bgColor rgb="FFCCFFCC"/>
        </patternFill>
      </fill>
    </dxf>
  </rfmt>
  <rfmt sheetId="4" sqref="O18" start="0" length="0">
    <dxf>
      <fill>
        <patternFill>
          <bgColor rgb="FFC6EFCE"/>
        </patternFill>
      </fill>
    </dxf>
  </rfmt>
  <rfmt sheetId="4" sqref="P18" start="0" length="0">
    <dxf>
      <fill>
        <patternFill>
          <bgColor rgb="FFCCFFCC"/>
        </patternFill>
      </fill>
    </dxf>
  </rfmt>
  <rfmt sheetId="4" sqref="P18" start="0" length="0">
    <dxf>
      <fill>
        <patternFill>
          <bgColor rgb="FFC6EFCE"/>
        </patternFill>
      </fill>
    </dxf>
  </rfmt>
  <rfmt sheetId="4" sqref="N19" start="0" length="0">
    <dxf>
      <fill>
        <patternFill>
          <bgColor rgb="FFCCFFCC"/>
        </patternFill>
      </fill>
    </dxf>
  </rfmt>
  <rfmt sheetId="4" sqref="N19" start="0" length="0">
    <dxf>
      <fill>
        <patternFill>
          <bgColor rgb="FFC6EFCE"/>
        </patternFill>
      </fill>
    </dxf>
  </rfmt>
  <rfmt sheetId="4" sqref="O19" start="0" length="0">
    <dxf>
      <fill>
        <patternFill>
          <bgColor rgb="FFCCFFCC"/>
        </patternFill>
      </fill>
    </dxf>
  </rfmt>
  <rfmt sheetId="4" sqref="P19" start="0" length="0">
    <dxf>
      <fill>
        <patternFill>
          <bgColor rgb="FFCCFFCC"/>
        </patternFill>
      </fill>
    </dxf>
  </rfmt>
  <rfmt sheetId="4" sqref="P19" start="0" length="0">
    <dxf>
      <fill>
        <patternFill>
          <bgColor rgb="FFC6EFCE"/>
        </patternFill>
      </fill>
    </dxf>
  </rfmt>
  <rfmt sheetId="4" sqref="P20" start="0" length="0">
    <dxf>
      <fill>
        <patternFill>
          <bgColor rgb="FFCCFFCC"/>
        </patternFill>
      </fill>
    </dxf>
  </rfmt>
  <rfmt sheetId="4" sqref="P20" start="0" length="0">
    <dxf>
      <fill>
        <patternFill>
          <bgColor rgb="FFC6EFCE"/>
        </patternFill>
      </fill>
    </dxf>
  </rfmt>
  <rfmt sheetId="4" sqref="P21" start="0" length="0">
    <dxf>
      <fill>
        <patternFill>
          <bgColor rgb="FFCCFFCC"/>
        </patternFill>
      </fill>
    </dxf>
  </rfmt>
  <rfmt sheetId="4" sqref="P21" start="0" length="0">
    <dxf>
      <fill>
        <patternFill>
          <bgColor rgb="FFC6EFCE"/>
        </patternFill>
      </fill>
    </dxf>
  </rfmt>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10005" sId="3" numFmtId="13">
    <oc r="H3">
      <v>0.32432432432432434</v>
    </oc>
    <nc r="H3">
      <v>0.29729729729729731</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R6" start="0" length="0">
    <dxf>
      <fill>
        <patternFill>
          <bgColor rgb="FFC6EFCE"/>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Q7" start="0" length="0">
    <dxf>
      <fill>
        <patternFill>
          <bgColor rgb="FFC6EFCE"/>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R10" start="0" length="0">
    <dxf>
      <fill>
        <patternFill>
          <bgColor rgb="FFC6EFCE"/>
        </patternFill>
      </fill>
    </dxf>
  </rfmt>
  <rfmt sheetId="4" sqref="Q11" start="0" length="0">
    <dxf>
      <fill>
        <patternFill>
          <bgColor rgb="FFCCFFCC"/>
        </patternFill>
      </fill>
    </dxf>
  </rfmt>
  <rfmt sheetId="4" sqref="Q12" start="0" length="0">
    <dxf>
      <fill>
        <patternFill>
          <bgColor rgb="FFCCFFCC"/>
        </patternFill>
      </fill>
    </dxf>
  </rfmt>
  <rfmt sheetId="4" sqref="R12" start="0" length="0">
    <dxf>
      <fill>
        <patternFill>
          <bgColor rgb="FFCCFFCC"/>
        </patternFill>
      </fill>
    </dxf>
  </rfmt>
  <rfmt sheetId="4" sqref="R12" start="0" length="0">
    <dxf>
      <fill>
        <patternFill>
          <bgColor rgb="FFC6EFCE"/>
        </patternFill>
      </fill>
    </dxf>
  </rfmt>
  <rfmt sheetId="4" sqref="S12" start="0" length="0">
    <dxf>
      <fill>
        <patternFill>
          <bgColor rgb="FFCCFFCC"/>
        </patternFill>
      </fill>
    </dxf>
  </rfmt>
  <rfmt sheetId="4" sqref="S12" start="0" length="0">
    <dxf>
      <fill>
        <patternFill>
          <bgColor rgb="FFC6EFCE"/>
        </patternFill>
      </fill>
    </dxf>
  </rfmt>
  <rfmt sheetId="4" sqref="Q13" start="0" length="0">
    <dxf>
      <fill>
        <patternFill>
          <bgColor rgb="FFCCFFCC"/>
        </patternFill>
      </fill>
    </dxf>
  </rfmt>
  <rfmt sheetId="4" sqref="Q13" start="0" length="0">
    <dxf>
      <fill>
        <patternFill>
          <bgColor rgb="FFC6EFCE"/>
        </patternFill>
      </fill>
    </dxf>
  </rfmt>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8" start="0" length="0">
    <dxf>
      <fill>
        <patternFill>
          <bgColor rgb="FFC6EFCE"/>
        </patternFill>
      </fill>
    </dxf>
  </rfmt>
  <rfmt sheetId="4" sqref="V19" start="0" length="0">
    <dxf>
      <fill>
        <patternFill>
          <bgColor rgb="FFCCFFCC"/>
        </patternFill>
      </fill>
    </dxf>
  </rfmt>
  <rfmt sheetId="4" sqref="V19" start="0" length="0">
    <dxf>
      <fill>
        <patternFill>
          <bgColor rgb="FFC6EFCE"/>
        </patternFill>
      </fill>
    </dxf>
  </rfmt>
  <rfmt sheetId="4" sqref="V20" start="0" length="0">
    <dxf>
      <fill>
        <patternFill>
          <bgColor rgb="FFCCFFCC"/>
        </patternFill>
      </fill>
    </dxf>
  </rfmt>
  <rfmt sheetId="4" sqref="V20" start="0" length="0">
    <dxf>
      <fill>
        <patternFill>
          <bgColor rgb="FFC6EFCE"/>
        </patternFill>
      </fill>
    </dxf>
  </rfmt>
  <rfmt sheetId="4" sqref="V21" start="0" length="0">
    <dxf>
      <fill>
        <patternFill>
          <bgColor rgb="FFCCFFCC"/>
        </patternFill>
      </fill>
    </dxf>
  </rfmt>
  <rfmt sheetId="4" sqref="V21" start="0" length="0">
    <dxf>
      <fill>
        <patternFill>
          <bgColor rgb="FFC6EFCE"/>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N25" start="0" length="0">
    <dxf>
      <fill>
        <patternFill>
          <bgColor rgb="FFC6EFCE"/>
        </patternFill>
      </fill>
    </dxf>
  </rfmt>
  <rfmt sheetId="4" sqref="O25" start="0" length="0">
    <dxf>
      <fill>
        <patternFill>
          <bgColor rgb="FFCCFFCC"/>
        </patternFill>
      </fill>
    </dxf>
  </rfmt>
  <rfmt sheetId="4" sqref="O25" start="0" length="0">
    <dxf>
      <fill>
        <patternFill>
          <bgColor rgb="FFC6EFCE"/>
        </patternFill>
      </fill>
    </dxf>
  </rfmt>
  <rfmt sheetId="4" sqref="P25" start="0" length="0">
    <dxf>
      <fill>
        <patternFill>
          <bgColor rgb="FFCCFFCC"/>
        </patternFill>
      </fill>
    </dxf>
  </rfmt>
  <rfmt sheetId="4" sqref="P25" start="0" length="0">
    <dxf>
      <fill>
        <patternFill>
          <bgColor rgb="FFC6EFCE"/>
        </patternFill>
      </fill>
    </dxf>
  </rfmt>
  <rfmt sheetId="4" sqref="N26" start="0" length="0">
    <dxf>
      <fill>
        <patternFill>
          <bgColor rgb="FFCCFFCC"/>
        </patternFill>
      </fill>
    </dxf>
  </rfmt>
  <rfmt sheetId="4" sqref="N26" start="0" length="0">
    <dxf>
      <fill>
        <patternFill>
          <bgColor rgb="FFC6EFCE"/>
        </patternFill>
      </fill>
    </dxf>
  </rfmt>
  <rfmt sheetId="4" sqref="O26" start="0" length="0">
    <dxf>
      <fill>
        <patternFill>
          <bgColor rgb="FFCCFFCC"/>
        </patternFill>
      </fill>
    </dxf>
  </rfmt>
  <rfmt sheetId="4" sqref="O26" start="0" length="0">
    <dxf>
      <fill>
        <patternFill>
          <bgColor rgb="FFC6EFCE"/>
        </patternFill>
      </fill>
    </dxf>
  </rfmt>
  <rfmt sheetId="4" sqref="P26" start="0" length="0">
    <dxf>
      <fill>
        <patternFill>
          <bgColor rgb="FFCCFFCC"/>
        </patternFill>
      </fill>
    </dxf>
  </rfmt>
  <rfmt sheetId="4" sqref="P26" start="0" length="0">
    <dxf>
      <fill>
        <patternFill>
          <bgColor rgb="FFC6EFCE"/>
        </patternFill>
      </fill>
    </dxf>
  </rfmt>
  <rfmt sheetId="4" sqref="S26" start="0" length="0">
    <dxf>
      <fill>
        <patternFill>
          <bgColor rgb="FFCCFFCC"/>
        </patternFill>
      </fill>
    </dxf>
  </rfmt>
  <rfmt sheetId="4" sqref="S26" start="0" length="0">
    <dxf>
      <fill>
        <patternFill>
          <bgColor rgb="FFC6EFCE"/>
        </patternFill>
      </fill>
    </dxf>
  </rfmt>
  <rfmt sheetId="4" sqref="N27" start="0" length="0">
    <dxf>
      <fill>
        <patternFill>
          <bgColor rgb="FFCCFFCC"/>
        </patternFill>
      </fill>
    </dxf>
  </rfmt>
  <rfmt sheetId="4" sqref="N27" start="0" length="0">
    <dxf>
      <fill>
        <patternFill>
          <bgColor rgb="FFC6EFCE"/>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0" start="0" length="0">
    <dxf>
      <fill>
        <patternFill>
          <bgColor rgb="FFC6EFCE"/>
        </patternFill>
      </fill>
    </dxf>
  </rfmt>
  <rfmt sheetId="4" sqref="V11" start="0" length="0">
    <dxf>
      <fill>
        <patternFill>
          <bgColor rgb="FFCCFFCC"/>
        </patternFill>
      </fill>
    </dxf>
  </rfmt>
  <rfmt sheetId="4" sqref="V11" start="0" length="0">
    <dxf>
      <fill>
        <patternFill>
          <bgColor rgb="FFC6EFCE"/>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4" start="0" length="0">
    <dxf>
      <fill>
        <patternFill>
          <bgColor rgb="FFC6EFCE"/>
        </patternFill>
      </fill>
    </dxf>
  </rfmt>
  <rfmt sheetId="4" sqref="V15" start="0" length="0">
    <dxf>
      <fill>
        <patternFill>
          <bgColor rgb="FFCCFFCC"/>
        </patternFill>
      </fill>
    </dxf>
  </rfmt>
  <rfmt sheetId="4" sqref="V15" start="0" length="0">
    <dxf>
      <fill>
        <patternFill>
          <bgColor rgb="FFC6EFCE"/>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H39" start="0" length="0">
    <dxf>
      <fill>
        <patternFill>
          <bgColor rgb="FFC6EFCE"/>
        </patternFill>
      </fill>
    </dxf>
  </rfmt>
  <rfmt sheetId="4" sqref="I39" start="0" length="0">
    <dxf>
      <fill>
        <patternFill>
          <bgColor rgb="FFCCFFCC"/>
        </patternFill>
      </fill>
    </dxf>
  </rfmt>
  <rfmt sheetId="4" sqref="I39" start="0" length="0">
    <dxf>
      <fill>
        <patternFill>
          <bgColor rgb="FFC6EFCE"/>
        </patternFill>
      </fill>
    </dxf>
  </rfmt>
  <rfmt sheetId="4" sqref="J39" start="0" length="0">
    <dxf>
      <fill>
        <patternFill>
          <bgColor rgb="FFCCFFCC"/>
        </patternFill>
      </fill>
    </dxf>
  </rfmt>
  <rfmt sheetId="4" sqref="J39" start="0" length="0">
    <dxf>
      <fill>
        <patternFill>
          <bgColor rgb="FFC6EFCE"/>
        </patternFill>
      </fill>
    </dxf>
  </rfmt>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qref="A109" start="0" length="0">
    <dxf>
      <numFmt numFmtId="19" formatCode="m/d/yyyy"/>
    </dxf>
  </rfmt>
  <rfmt sheetId="3" sqref="X109" start="0" length="0">
    <dxf>
      <alignment vertical="top" wrapText="1" readingOrder="0"/>
    </dxf>
  </rfmt>
  <rfmt sheetId="3" sqref="A110" start="0" length="0">
    <dxf>
      <numFmt numFmtId="19" formatCode="m/d/yyyy"/>
    </dxf>
  </rfmt>
  <rfmt sheetId="3" sqref="X110" start="0" length="0">
    <dxf>
      <alignment vertical="top" wrapText="1" readingOrder="0"/>
    </dxf>
  </rfmt>
  <rfmt sheetId="3" sqref="A111" start="0" length="0">
    <dxf>
      <numFmt numFmtId="19" formatCode="m/d/yyyy"/>
    </dxf>
  </rfmt>
  <rfmt sheetId="3" sqref="X111" start="0" length="0">
    <dxf>
      <alignment vertical="top" wrapText="1" readingOrder="0"/>
    </dxf>
  </rfmt>
  <rfmt sheetId="3" sqref="A112" start="0" length="0">
    <dxf>
      <numFmt numFmtId="19" formatCode="m/d/yyyy"/>
    </dxf>
  </rfmt>
  <rcc rId="10006" sId="3" xfDxf="1" s="1" dxf="1" numFmtId="19">
    <nc r="A109">
      <v>41788</v>
    </nc>
    <ndxf>
      <font>
        <b val="0"/>
        <i val="0"/>
        <strike val="0"/>
        <condense val="0"/>
        <extend val="0"/>
        <outline val="0"/>
        <shadow val="0"/>
        <u val="none"/>
        <vertAlign val="baseline"/>
        <sz val="11"/>
        <color theme="1"/>
        <name val="Calibri"/>
        <scheme val="minor"/>
      </font>
      <numFmt numFmtId="19" formatCode="m/d/yyyy"/>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07" sId="3" xfDxf="1" s="1" dxf="1">
    <nc r="B109">
      <v>13</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08" sId="3" xfDxf="1" s="1" dxf="1">
    <nc r="C109">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09" sId="3" xfDxf="1" s="1" dxf="1">
    <nc r="D109">
      <v>34</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0" sId="3" xfDxf="1" s="1" dxf="1">
    <nc r="E109">
      <v>46</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1" sId="3" xfDxf="1" s="1" dxf="1">
    <nc r="F109">
      <v>6</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2" sId="3" xfDxf="1" s="1" dxf="1">
    <nc r="G109">
      <v>3</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3" sId="3" xfDxf="1" s="1" dxf="1">
    <nc r="H109">
      <v>3</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4" sId="3" xfDxf="1" s="1" dxf="1">
    <nc r="I109">
      <v>26</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5" sId="3" xfDxf="1" s="1" dxf="1">
    <nc r="J109">
      <v>26</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6" sId="3" xfDxf="1" s="1" dxf="1">
    <nc r="K109">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7" sId="3" xfDxf="1" s="1" dxf="1">
    <nc r="L109">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8" sId="3" xfDxf="1" s="1" dxf="1">
    <nc r="M109">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19" sId="3" xfDxf="1" s="1" dxf="1">
    <nc r="N109">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20" sId="3" xfDxf="1" s="1" dxf="1">
    <nc r="O109">
      <v>3</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21" sId="3" xfDxf="1" s="1" dxf="1">
    <nc r="P109">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22" sId="3" xfDxf="1" s="1" dxf="1">
    <nc r="Q109">
      <v>4</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23" sId="3" xfDxf="1" s="1" dxf="1">
    <nc r="R109">
      <v>11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24" sId="3" xfDxf="1" s="1" dxf="1">
    <nc r="S109">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25" sId="3" xfDxf="1" s="1" dxf="1">
    <nc r="T109">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26" sId="3" xfDxf="1" s="1" dxf="1">
    <nc r="U109" t="inlineStr">
      <is>
        <t>5</t>
      </is>
    </nc>
    <n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27" sId="3" xfDxf="1" s="1" dxf="1">
    <nc r="V109" t="inlineStr">
      <is>
        <t>R01.11.00DD</t>
      </is>
    </nc>
    <n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ndxf>
  </rcc>
  <rcc rId="10028" sId="3" xfDxf="1" s="1" dxf="1">
    <nc r="W109" t="inlineStr">
      <is>
        <t>C.Pass</t>
      </is>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29" sId="3" xfDxf="1" s="1" dxf="1">
    <nc r="X109" t="inlineStr">
      <is>
        <t xml:space="preserve">AUD2 warnings on 2 units, known issue
MPE warnings on a few units
VID warnings on unit 120 – Zaidan, are these warnings to be expected? 
The TXB_TMG1 warnings seem to be occurring from the start of the test until about 4:24 AM. 
Zaidan – Can you take a look at these warnings as well?  
</t>
      </is>
    </nc>
    <ndxf>
      <font>
        <b val="0"/>
        <i val="0"/>
        <strike val="0"/>
        <condense val="0"/>
        <extend val="0"/>
        <outline val="0"/>
        <shadow val="0"/>
        <u val="none"/>
        <vertAlign val="baseline"/>
        <sz val="10"/>
        <color indexed="8"/>
        <name val="Times New Roman"/>
        <scheme val="none"/>
      </font>
      <numFmt numFmtId="0" formatCode="General"/>
      <fill>
        <patternFill patternType="solid">
          <fgColor indexed="64"/>
          <bgColor theme="0"/>
        </patternFill>
      </fill>
      <alignment horizontal="general" vertical="bottom" textRotation="0" wrapText="1" indent="0" justifyLastLine="0" shrinkToFit="0" readingOrder="0"/>
      <border diagonalUp="0" diagonalDown="0" outline="0">
        <left/>
        <right/>
        <top/>
        <bottom/>
      </border>
      <protection locked="1" hidden="0"/>
    </ndxf>
  </rcc>
  <rcc rId="10030" sId="3" xfDxf="1" s="1" dxf="1" numFmtId="19">
    <nc r="A110">
      <v>41789</v>
    </nc>
    <ndxf>
      <font>
        <b val="0"/>
        <i val="0"/>
        <strike val="0"/>
        <condense val="0"/>
        <extend val="0"/>
        <outline val="0"/>
        <shadow val="0"/>
        <u val="none"/>
        <vertAlign val="baseline"/>
        <sz val="11"/>
        <color theme="1"/>
        <name val="Calibri"/>
        <scheme val="minor"/>
      </font>
      <numFmt numFmtId="19" formatCode="m/d/yyyy"/>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31" sId="3" xfDxf="1" s="1" dxf="1">
    <nc r="B110">
      <v>14</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32" sId="3" xfDxf="1" s="1" dxf="1">
    <nc r="C110">
      <v>16</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33" sId="3" xfDxf="1" s="1" dxf="1">
    <nc r="D110">
      <v>8</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34" sId="3" xfDxf="1" s="1" dxf="1">
    <nc r="E110">
      <v>44</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35" sId="3" xfDxf="1" s="1" dxf="1">
    <nc r="F110">
      <v>11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36" sId="3" xfDxf="1" s="1" dxf="1">
    <nc r="G110">
      <v>23</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37" sId="3" xfDxf="1" s="1" dxf="1">
    <nc r="H110">
      <v>23</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38" sId="3" xfDxf="1" s="1" dxf="1">
    <nc r="I110">
      <v>26</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39" sId="3" xfDxf="1" s="1" dxf="1">
    <nc r="J110">
      <v>26</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0" sId="3" xfDxf="1" s="1" dxf="1">
    <nc r="K110">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1" sId="3" xfDxf="1" s="1" dxf="1">
    <nc r="L110">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2" sId="3" xfDxf="1" s="1" dxf="1">
    <nc r="M110">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3" sId="3" xfDxf="1" s="1" dxf="1">
    <nc r="N110">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4" sId="3" xfDxf="1" s="1" dxf="1">
    <nc r="O110">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5" sId="3" xfDxf="1" s="1" dxf="1">
    <nc r="P110">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6" sId="3" xfDxf="1" s="1" dxf="1">
    <nc r="Q110">
      <v>3</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7" sId="3" xfDxf="1" s="1" dxf="1">
    <nc r="R110">
      <v>10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8" sId="3" xfDxf="1" s="1" dxf="1">
    <nc r="S110">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49" sId="3" xfDxf="1" s="1" dxf="1">
    <nc r="T110">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50" sId="3" xfDxf="1" s="1" dxf="1">
    <nc r="U110" t="inlineStr">
      <is>
        <t>6</t>
      </is>
    </nc>
    <n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51" sId="3" xfDxf="1" s="1" dxf="1">
    <nc r="V110" t="inlineStr">
      <is>
        <t>R01.11.00DD</t>
      </is>
    </nc>
    <n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ndxf>
  </rcc>
  <rcc rId="10052" sId="3" xfDxf="1" s="1" dxf="1">
    <nc r="W110" t="inlineStr">
      <is>
        <t>Pass</t>
      </is>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53" sId="3" xfDxf="1" s="1" dxf="1">
    <nc r="X110" t="inlineStr">
      <is>
        <t xml:space="preserve">All units have valid video and audio output.
MPE warnings on a few units, can be ignored
AUD2 warnings on couple units, known issue
TX CC errors on PID 2802,  on all units, uplink issue
FE Asserts on unit 130 – expected
</t>
      </is>
    </nc>
    <ndxf>
      <font>
        <b val="0"/>
        <i val="0"/>
        <strike val="0"/>
        <condense val="0"/>
        <extend val="0"/>
        <outline val="0"/>
        <shadow val="0"/>
        <u val="none"/>
        <vertAlign val="baseline"/>
        <sz val="10"/>
        <color indexed="8"/>
        <name val="Times New Roman"/>
        <scheme val="none"/>
      </font>
      <numFmt numFmtId="0" formatCode="General"/>
      <fill>
        <patternFill patternType="solid">
          <fgColor indexed="64"/>
          <bgColor theme="0"/>
        </patternFill>
      </fill>
      <alignment horizontal="general" vertical="bottom" textRotation="0" wrapText="1" indent="0" justifyLastLine="0" shrinkToFit="0" readingOrder="0"/>
      <border diagonalUp="0" diagonalDown="0" outline="0">
        <left/>
        <right/>
        <top/>
        <bottom/>
      </border>
      <protection locked="1" hidden="0"/>
    </ndxf>
  </rcc>
  <rcc rId="10054" sId="3" xfDxf="1" s="1" dxf="1" numFmtId="19">
    <nc r="A111">
      <v>41792</v>
    </nc>
    <ndxf>
      <font>
        <b val="0"/>
        <i val="0"/>
        <strike val="0"/>
        <condense val="0"/>
        <extend val="0"/>
        <outline val="0"/>
        <shadow val="0"/>
        <u val="none"/>
        <vertAlign val="baseline"/>
        <sz val="11"/>
        <color theme="1"/>
        <name val="Calibri"/>
        <scheme val="minor"/>
      </font>
      <numFmt numFmtId="19" formatCode="m/d/yyyy"/>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55" sId="3" xfDxf="1" s="1" dxf="1">
    <nc r="B111">
      <v>14</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56" sId="3" xfDxf="1" s="1" dxf="1">
    <nc r="C111">
      <v>16</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57" sId="3" xfDxf="1" s="1" dxf="1">
    <nc r="D111">
      <v>28</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58" sId="3" xfDxf="1" s="1" dxf="1">
    <nc r="E111">
      <v>39</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59" sId="3" xfDxf="1" s="1" dxf="1">
    <nc r="F111">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0" sId="3" xfDxf="1" s="1" dxf="1">
    <nc r="G111">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1" sId="3" xfDxf="1" s="1" dxf="1">
    <nc r="H111">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2" sId="3" xfDxf="1" s="1" dxf="1">
    <nc r="I111">
      <v>25</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3" sId="3" xfDxf="1" s="1" dxf="1">
    <nc r="J111">
      <v>25</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4" sId="3" xfDxf="1" s="1" dxf="1">
    <nc r="K111">
      <v>25</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5" sId="3" xfDxf="1" s="1" dxf="1">
    <nc r="L111">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6" sId="3" xfDxf="1" s="1" dxf="1">
    <nc r="M111">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7" sId="3" xfDxf="1" s="1" dxf="1">
    <nc r="N111">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8" sId="3" xfDxf="1" s="1" dxf="1">
    <nc r="O111">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69" sId="3" xfDxf="1" s="1" dxf="1">
    <nc r="P111">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70" sId="3" xfDxf="1" s="1" dxf="1">
    <nc r="Q111">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71" sId="3" xfDxf="1" s="1" dxf="1">
    <nc r="R111">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72" sId="3" xfDxf="1" s="1" dxf="1">
    <nc r="S111">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73" sId="3" xfDxf="1" s="1" dxf="1">
    <nc r="T111">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74" sId="3" xfDxf="1" s="1" dxf="1">
    <nc r="U111" t="inlineStr">
      <is>
        <t>5</t>
      </is>
    </nc>
    <n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75" sId="3" xfDxf="1" s="1" dxf="1">
    <nc r="V111" t="inlineStr">
      <is>
        <t>R01.11.00DD</t>
      </is>
    </nc>
    <n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ndxf>
  </rcc>
  <rcc rId="10076" sId="3" xfDxf="1" s="1" dxf="1">
    <nc r="W111" t="inlineStr">
      <is>
        <t>Pass</t>
      </is>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77" sId="3" xfDxf="1" s="1" dxf="1">
    <nc r="X111" t="inlineStr">
      <is>
        <t xml:space="preserve">
All units have valid video and audio output.
MPE warnings co-timed on most units, uplink issue
TX CC errors on PID 2901 co-timed on most units, uplink issue
VBI warnings on all units
TMB_TMG warnings on unit 101 – Zaidan,  can you take a look?
 Asserts to be investigated by Siva
</t>
      </is>
    </nc>
    <ndxf>
      <font>
        <b val="0"/>
        <i val="0"/>
        <strike val="0"/>
        <condense val="0"/>
        <extend val="0"/>
        <outline val="0"/>
        <shadow val="0"/>
        <u val="none"/>
        <vertAlign val="baseline"/>
        <sz val="10"/>
        <color indexed="8"/>
        <name val="Times New Roman"/>
        <scheme val="none"/>
      </font>
      <numFmt numFmtId="0" formatCode="General"/>
      <fill>
        <patternFill patternType="solid">
          <fgColor indexed="64"/>
          <bgColor theme="0"/>
        </patternFill>
      </fill>
      <alignment horizontal="general" vertical="bottom" textRotation="0" wrapText="1" indent="0" justifyLastLine="0" shrinkToFit="0" readingOrder="0"/>
      <border diagonalUp="0" diagonalDown="0" outline="0">
        <left/>
        <right/>
        <top/>
        <bottom/>
      </border>
      <protection locked="1" hidden="0"/>
    </ndxf>
  </rcc>
  <rcc rId="10078" sId="3" xfDxf="1" s="1" dxf="1" numFmtId="19">
    <nc r="A112">
      <v>41793</v>
    </nc>
    <ndxf>
      <font>
        <b val="0"/>
        <i val="0"/>
        <strike val="0"/>
        <condense val="0"/>
        <extend val="0"/>
        <outline val="0"/>
        <shadow val="0"/>
        <u val="none"/>
        <vertAlign val="baseline"/>
        <sz val="11"/>
        <color theme="1"/>
        <name val="Calibri"/>
        <scheme val="minor"/>
      </font>
      <numFmt numFmtId="19" formatCode="m/d/yyyy"/>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79" sId="3" xfDxf="1" s="1" dxf="1">
    <nc r="B112">
      <v>14</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0" sId="3" xfDxf="1" s="1" dxf="1">
    <nc r="C112">
      <v>16</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1" sId="3" xfDxf="1" s="1" dxf="1">
    <nc r="D112">
      <v>28</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2" sId="3" xfDxf="1" s="1" dxf="1">
    <nc r="E112">
      <v>41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3" sId="3" xfDxf="1" s="1" dxf="1">
    <nc r="F112">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4" sId="3" xfDxf="1" s="1" dxf="1">
    <nc r="G112">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5" sId="3" xfDxf="1" s="1" dxf="1">
    <nc r="H112">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6" sId="3" xfDxf="1" s="1" dxf="1">
    <nc r="I112">
      <v>27</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7" sId="3" xfDxf="1" s="1" dxf="1">
    <nc r="J112">
      <v>27</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8" sId="3" xfDxf="1" s="1" dxf="1">
    <nc r="K112">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89" sId="3" xfDxf="1" s="1" dxf="1">
    <nc r="L112">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0" sId="3" xfDxf="1" s="1" dxf="1">
    <nc r="M112">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1" sId="3" xfDxf="1" s="1" dxf="1">
    <nc r="N112">
      <v>0</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2" sId="3" xfDxf="1" s="1" dxf="1">
    <nc r="O112">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3" sId="3" xfDxf="1" s="1" dxf="1">
    <nc r="P112">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4" sId="3" xfDxf="1" s="1" dxf="1">
    <nc r="Q112">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5" sId="3" xfDxf="1" s="1" dxf="1">
    <nc r="R112">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6" sId="3" xfDxf="1" s="1" dxf="1">
    <nc r="S112">
      <v>1</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7" sId="3" xfDxf="1" s="1" dxf="1">
    <nc r="T112">
      <v>2</v>
    </nc>
    <n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8" sId="3" xfDxf="1" s="1" dxf="1">
    <nc r="U112" t="inlineStr">
      <is>
        <t>6</t>
      </is>
    </nc>
    <n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ndxf>
  </rcc>
  <rcc rId="10099" sId="3" xfDxf="1" s="1" dxf="1">
    <nc r="V112" t="inlineStr">
      <is>
        <t>R01.11.00DD</t>
      </is>
    </nc>
    <n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ndxf>
  </rcc>
  <rfmt sheetId="3" xfDxf="1" s="1" sqref="W112" start="0" length="0">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dxf>
  </rfmt>
  <rfmt sheetId="3" xfDxf="1" s="1" sqref="X112" start="0" length="0">
    <dxf>
      <font>
        <b val="0"/>
        <i val="0"/>
        <strike val="0"/>
        <condense val="0"/>
        <extend val="0"/>
        <outline val="0"/>
        <shadow val="0"/>
        <u val="none"/>
        <vertAlign val="baseline"/>
        <sz val="10"/>
        <color indexed="8"/>
        <name val="Times New Roman"/>
        <scheme val="none"/>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dxf>
  </rfmt>
  <rfmt sheetId="3" s="1" sqref="A74"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fmt sheetId="3" s="1" sqref="B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C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D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K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L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M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N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O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S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T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U74"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00" sId="3" odxf="1" s="1" dxf="1">
    <nc r="V74"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fmt sheetId="3" s="1" sqref="W7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X74" start="0" length="0">
    <dxf>
      <alignment vertical="top" wrapText="1" readingOrder="0"/>
    </dxf>
  </rfmt>
  <rfmt sheetId="3" s="1" sqref="A75"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fmt sheetId="3" s="1" sqref="B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C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D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01" sId="3" odxf="1" s="1" dxf="1">
    <nc r="K75">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02" sId="3" odxf="1" s="1" dxf="1">
    <nc r="L75">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03" sId="3" odxf="1" s="1" dxf="1">
    <nc r="M75">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04" sId="3" odxf="1" s="1" dxf="1">
    <nc r="N75">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O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05" sId="3" odxf="1" s="1" dxf="1">
    <nc r="Q75">
      <v>3</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R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S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T75"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U75"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06" sId="3" odxf="1" s="1" dxf="1">
    <nc r="V75"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cc rId="10107" sId="3" odxf="1" s="1" dxf="1">
    <nc r="W75" t="inlineStr">
      <is>
        <t>Pass</t>
      </is>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qref="X75" start="0" length="0">
    <dxf>
      <alignment vertical="top" wrapText="1" readingOrder="0"/>
    </dxf>
  </rfmt>
  <rfmt sheetId="3" s="1" sqref="A76"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fmt sheetId="3" s="1" sqref="B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C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D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K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L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08" sId="3" odxf="1" s="1" dxf="1">
    <nc r="M76">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09" sId="3" odxf="1" s="1" dxf="1">
    <nc r="N76">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O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76"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10" sId="3" odxf="1" s="1" dxf="1">
    <nc r="S76">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11" sId="3" odxf="1" s="1" dxf="1">
    <nc r="T76">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U76"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12" sId="3" odxf="1" s="1" dxf="1">
    <nc r="V76"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fmt sheetId="3" s="1" sqref="W76" start="0" length="0">
    <dxf>
      <font>
        <sz val="10"/>
        <color indexed="8"/>
        <name val="Times New Roman"/>
        <scheme val="none"/>
      </font>
      <fill>
        <patternFill>
          <bgColor rgb="FFFFFF99"/>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X76" start="0" length="0">
    <dxf>
      <alignment vertical="top" wrapText="1" readingOrder="0"/>
    </dxf>
  </rfmt>
  <rfmt sheetId="3" s="1" sqref="A77"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fmt sheetId="3" s="1" sqref="B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C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D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13" sId="3" odxf="1" s="1" dxf="1">
    <nc r="I77">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14" sId="3" odxf="1" s="1" dxf="1">
    <nc r="J77">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15" sId="3" odxf="1" s="1" dxf="1">
    <nc r="K77">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16" sId="3" odxf="1" s="1" dxf="1">
    <nc r="L77">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17" sId="3" odxf="1" s="1" dxf="1">
    <nc r="M77">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18" sId="3" odxf="1" s="1" dxf="1">
    <nc r="N77">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O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77"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19" sId="3" odxf="1" s="1" dxf="1">
    <nc r="S77">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20" sId="3" odxf="1" s="1" dxf="1">
    <nc r="T77">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U77"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21" sId="3" odxf="1" s="1" dxf="1">
    <nc r="V77"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fmt sheetId="3" s="1" sqref="W77" start="0" length="0">
    <dxf>
      <font>
        <sz val="10"/>
        <color indexed="8"/>
        <name val="Times New Roman"/>
        <scheme val="none"/>
      </font>
      <fill>
        <patternFill>
          <bgColor rgb="FFFFFF99"/>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X77" start="0" length="0">
    <dxf>
      <alignment vertical="top" wrapText="1" readingOrder="0"/>
    </dxf>
  </rfmt>
  <rcc rId="10122" sId="3" numFmtId="19">
    <nc r="A74">
      <v>41788</v>
    </nc>
  </rcc>
  <rcc rId="10123" sId="3">
    <nc r="X74" t="inlineStr">
      <is>
        <t xml:space="preserve">
All units have valid video and audio output.
AUD2 warnings on 2 units, known issue
MPE warnings on a few units
VID warnings on unit 120 – Zaidan, are these warnings to be expected? 
The TXB_TMG1 warnings seem to be occurring from the start of the test until about 4:24 AM. 
Zaidan – Can you take a look at these warnings as well?  
</t>
      </is>
    </nc>
  </rcc>
  <rcc rId="10124" sId="3">
    <nc r="B74">
      <v>13</v>
    </nc>
  </rcc>
  <rcc rId="10125" sId="3">
    <nc r="C74">
      <v>1</v>
    </nc>
  </rcc>
  <rcc rId="10126" sId="3">
    <nc r="D74">
      <v>34</v>
    </nc>
  </rcc>
  <rcc rId="10127" sId="3">
    <nc r="E74">
      <v>46</v>
    </nc>
  </rcc>
  <rcc rId="10128" sId="3">
    <nc r="F74">
      <v>6</v>
    </nc>
  </rcc>
  <rcc rId="10129" sId="3">
    <nc r="G74">
      <v>3</v>
    </nc>
  </rcc>
  <rcc rId="10130" sId="3">
    <nc r="H74">
      <v>26</v>
    </nc>
  </rcc>
  <rcc rId="10131" sId="3">
    <nc r="I74">
      <v>0</v>
    </nc>
  </rcc>
  <rcc rId="10132" sId="3">
    <nc r="J74">
      <v>0</v>
    </nc>
  </rcc>
  <rcc rId="10133" sId="3">
    <nc r="K74">
      <v>0</v>
    </nc>
  </rcc>
  <rcc rId="10134" sId="3">
    <nc r="L74">
      <v>0</v>
    </nc>
  </rcc>
  <rcc rId="10135" sId="3">
    <nc r="M74">
      <v>0</v>
    </nc>
  </rcc>
  <rcc rId="10136" sId="3">
    <nc r="N74">
      <v>0</v>
    </nc>
  </rcc>
  <rcc rId="10137" sId="3">
    <nc r="O74">
      <v>3</v>
    </nc>
  </rcc>
  <rcc rId="10138" sId="3">
    <nc r="P74">
      <v>0</v>
    </nc>
  </rcc>
  <rcc rId="10139" sId="3">
    <nc r="Q74">
      <v>4</v>
    </nc>
  </rcc>
  <rcc rId="10140" sId="3">
    <nc r="R74">
      <v>11</v>
    </nc>
  </rcc>
  <rcc rId="10141" sId="3">
    <nc r="S74">
      <v>2</v>
    </nc>
  </rcc>
  <rcc rId="10142" sId="3">
    <nc r="T74">
      <v>1</v>
    </nc>
  </rcc>
  <rcc rId="10143" sId="3">
    <nc r="U74">
      <v>5</v>
    </nc>
  </rcc>
  <rcc rId="10144" sId="3" numFmtId="19">
    <nc r="A75">
      <v>41789</v>
    </nc>
  </rcc>
  <rcc rId="10145" sId="3">
    <nc r="X75" t="inlineStr">
      <is>
        <t xml:space="preserve">All units have valid video and audio output.
MPE warnings on a few units, can be ignored
AUD2 warnings on couple units, known issue
TX CC errors on PID 2802,  on all units, uplink issue
FE Asserts on unit 130 – expected
</t>
      </is>
    </nc>
  </rcc>
  <rcc rId="10146" sId="3">
    <nc r="B75">
      <v>14</v>
    </nc>
  </rcc>
  <rcc rId="10147" sId="3">
    <nc r="C75">
      <v>16</v>
    </nc>
  </rcc>
  <rcc rId="10148" sId="3">
    <nc r="D75">
      <v>8</v>
    </nc>
  </rcc>
  <rcc rId="10149" sId="3">
    <nc r="E75">
      <v>44</v>
    </nc>
  </rcc>
  <rcc rId="10150" sId="3">
    <nc r="F75">
      <v>11</v>
    </nc>
  </rcc>
  <rcc rId="10151" sId="3">
    <nc r="G75">
      <v>23</v>
    </nc>
  </rcc>
  <rcc rId="10152" sId="3">
    <nc r="H75">
      <v>23</v>
    </nc>
  </rcc>
  <rcc rId="10153" sId="3">
    <nc r="I75">
      <v>24</v>
    </nc>
  </rcc>
  <rcc rId="10154" sId="3">
    <nc r="J75">
      <v>24</v>
    </nc>
  </rcc>
  <rcc rId="10155" sId="3">
    <nc r="O75">
      <v>2</v>
    </nc>
  </rcc>
  <rcc rId="10156" sId="3">
    <nc r="P75">
      <v>0</v>
    </nc>
  </rcc>
  <rcc rId="10157" sId="3">
    <nc r="R75">
      <v>10</v>
    </nc>
  </rcc>
  <rcc rId="10158" sId="3">
    <nc r="S75">
      <v>2</v>
    </nc>
  </rcc>
  <rcc rId="10159" sId="3">
    <nc r="T75">
      <v>2</v>
    </nc>
  </rcc>
  <rcc rId="10160" sId="3">
    <nc r="U75">
      <v>6</v>
    </nc>
  </rcc>
  <rcc rId="10161" sId="3" numFmtId="19">
    <nc r="A76">
      <v>41792</v>
    </nc>
  </rcc>
  <rcc rId="10162" sId="3" odxf="1" dxf="1">
    <nc r="W74" t="inlineStr">
      <is>
        <t>C.Pass</t>
      </is>
    </nc>
    <ndxf>
      <font>
        <sz val="9"/>
        <color indexed="8"/>
        <name val="Times New Roman"/>
        <scheme val="none"/>
      </font>
      <fill>
        <patternFill>
          <bgColor rgb="FFFFFF99"/>
        </patternFill>
      </fill>
    </ndxf>
  </rcc>
  <rcc rId="10163" sId="3">
    <nc r="X76" t="inlineStr">
      <is>
        <t xml:space="preserve">All units have valid video and audio output.
MPE warnings co-timed on most units, uplink issue
TX CC errors on PID 2901 co-timed on most units, uplink issue
VBI warnings on all units
TMB_TMG warnings on unit 101 – Zaidan,  can you take a look?
</t>
      </is>
    </nc>
  </rcc>
  <rcc rId="10164" sId="3">
    <nc r="B76">
      <v>14</v>
    </nc>
  </rcc>
  <rcc rId="10165" sId="3">
    <nc r="C76">
      <v>16</v>
    </nc>
  </rcc>
  <rcc rId="10166" sId="3">
    <nc r="D76">
      <v>28</v>
    </nc>
  </rcc>
  <rcc rId="10167" sId="3">
    <nc r="E76">
      <v>39</v>
    </nc>
  </rcc>
  <rcc rId="10168" sId="3">
    <nc r="F76">
      <v>1</v>
    </nc>
  </rcc>
  <rcc rId="10169" sId="3">
    <nc r="G76">
      <v>1</v>
    </nc>
  </rcc>
  <rcc rId="10170" sId="3">
    <nc r="H76">
      <v>1</v>
    </nc>
  </rcc>
  <rcc rId="10171" sId="3">
    <nc r="I76">
      <v>1</v>
    </nc>
  </rcc>
  <rcc rId="10172" sId="3">
    <nc r="J76">
      <v>25</v>
    </nc>
  </rcc>
  <rcc rId="10173" sId="3">
    <nc r="K76">
      <v>25</v>
    </nc>
  </rcc>
  <rcc rId="10174" sId="3">
    <nc r="L76">
      <v>25</v>
    </nc>
  </rcc>
  <rcc rId="10175" sId="3">
    <nc r="O76">
      <v>2</v>
    </nc>
  </rcc>
  <rcc rId="10176" sId="3">
    <nc r="P76">
      <v>2</v>
    </nc>
  </rcc>
  <rcc rId="10177" sId="3">
    <nc r="Q76">
      <v>1</v>
    </nc>
  </rcc>
  <rcc rId="10178" sId="3">
    <nc r="R76">
      <v>1</v>
    </nc>
  </rcc>
  <rcc rId="10179" sId="3">
    <nc r="U76">
      <v>5</v>
    </nc>
  </rcc>
  <rcc rId="10180" sId="3" odxf="1" dxf="1">
    <nc r="W76" t="inlineStr">
      <is>
        <t>Pass</t>
      </is>
    </nc>
    <ndxf>
      <font>
        <sz val="9"/>
        <color indexed="8"/>
        <name val="Calibri"/>
        <scheme val="none"/>
      </font>
      <fill>
        <patternFill>
          <bgColor rgb="FFC6EFCE"/>
        </patternFill>
      </fill>
    </ndxf>
  </rcc>
  <rcc rId="10181" sId="3" numFmtId="19">
    <nc r="A77">
      <v>41793</v>
    </nc>
  </rcc>
  <rcc rId="10182" sId="3">
    <nc r="B77">
      <v>14</v>
    </nc>
  </rcc>
  <rcc rId="10183" sId="3">
    <nc r="C77">
      <v>16</v>
    </nc>
  </rcc>
  <rcc rId="10184" sId="3">
    <nc r="D77">
      <v>28</v>
    </nc>
  </rcc>
  <rcc rId="10185" sId="3">
    <nc r="E77">
      <v>41</v>
    </nc>
  </rcc>
  <rcc rId="10186" sId="3">
    <nc r="F77">
      <v>2</v>
    </nc>
  </rcc>
  <rcc rId="10187" sId="3">
    <nc r="G77">
      <v>2</v>
    </nc>
  </rcc>
  <rcc rId="10188" sId="3">
    <nc r="H77">
      <v>27</v>
    </nc>
  </rcc>
  <rcc rId="10189" sId="3">
    <nc r="O77">
      <v>2</v>
    </nc>
  </rcc>
  <rcc rId="10190" sId="3">
    <nc r="P77">
      <v>2</v>
    </nc>
  </rcc>
  <rcc rId="10191" sId="3">
    <nc r="Q77">
      <v>1</v>
    </nc>
  </rcc>
  <rcc rId="10192" sId="3">
    <nc r="R77">
      <v>2</v>
    </nc>
  </rcc>
  <rcc rId="10193" sId="3">
    <nc r="U77">
      <v>6</v>
    </nc>
  </rcc>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194" sId="3">
    <nc r="X77" t="inlineStr">
      <is>
        <t xml:space="preserve">All units have valid video and audio output.
TX CC errors on PID 2901 co-timed on most units, uplink issue
VBI warnings on all units
MPE warnings on all units, known issue
TXB_TMG warnings on unit 101 – same warnings as 02/06/2014, needs to be looked at
</t>
      </is>
    </nc>
  </rcc>
  <rcc rId="10195" sId="3" odxf="1" dxf="1">
    <nc r="W77" t="inlineStr">
      <is>
        <t>Pass</t>
      </is>
    </nc>
    <odxf>
      <font>
        <color indexed="8"/>
        <name val="Times New Roman"/>
        <scheme val="none"/>
      </font>
      <fill>
        <patternFill>
          <bgColor rgb="FFFFFF99"/>
        </patternFill>
      </fill>
    </odxf>
    <ndxf>
      <font>
        <sz val="9"/>
        <color indexed="8"/>
        <name val="Calibri"/>
        <scheme val="none"/>
      </font>
      <fill>
        <patternFill>
          <bgColor rgb="FFC6EFCE"/>
        </patternFill>
      </fill>
    </ndxf>
  </rcc>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1" sqref="A78"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cc rId="10196" sId="3" odxf="1" s="1" dxf="1">
    <nc r="B78">
      <v>14</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97" sId="3" odxf="1" s="1" dxf="1">
    <nc r="C78">
      <v>16</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D78"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78"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78"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78"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78"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198" sId="3" odxf="1" s="1" dxf="1">
    <nc r="I78">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199" sId="3" odxf="1" s="1" dxf="1">
    <nc r="J78">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0" sId="3" odxf="1" s="1" dxf="1">
    <nc r="K78">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1" sId="3" odxf="1" s="1" dxf="1">
    <nc r="L78">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2" sId="3" odxf="1" s="1" dxf="1">
    <nc r="M78">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3" sId="3" odxf="1" s="1" dxf="1">
    <nc r="N78">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4" sId="3" odxf="1" s="1" dxf="1">
    <nc r="O78">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5" sId="3" odxf="1" s="1" dxf="1">
    <nc r="P78">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6" sId="3" odxf="1" s="1" dxf="1">
    <nc r="Q78">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7" sId="3" odxf="1" s="1" dxf="1">
    <nc r="R78">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8" sId="3" odxf="1" s="1" dxf="1">
    <nc r="S78">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09" sId="3" odxf="1" s="1" dxf="1">
    <nc r="T78">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U78"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10" sId="3" odxf="1" s="1" dxf="1">
    <nc r="V78"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cc rId="10211" sId="3" odxf="1" s="1" dxf="1">
    <nc r="W78" t="inlineStr">
      <is>
        <t>Pass</t>
      </is>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qref="X78" start="0" length="0">
    <dxf>
      <alignment vertical="top" wrapText="1" readingOrder="0"/>
    </dxf>
  </rfmt>
  <rfmt sheetId="3" s="1" sqref="A79"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cc rId="10212" sId="3" odxf="1" s="1" dxf="1">
    <nc r="B79">
      <v>14</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13" sId="3" odxf="1" s="1" dxf="1">
    <nc r="C79">
      <v>16</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14" sId="3" odxf="1" s="1" dxf="1">
    <nc r="D79">
      <v>28</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15" sId="3" odxf="1" s="1" dxf="1">
    <nc r="E79">
      <v>41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16" sId="3" odxf="1" s="1" dxf="1">
    <nc r="F79">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17" sId="3" odxf="1" s="1" dxf="1">
    <nc r="G79">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18" sId="3" odxf="1" s="1" dxf="1">
    <nc r="H79">
      <v>27</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19" sId="3" odxf="1" s="1" dxf="1">
    <nc r="I79">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0" sId="3" odxf="1" s="1" dxf="1">
    <nc r="J79">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1" sId="3" odxf="1" s="1" dxf="1">
    <nc r="K79">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2" sId="3" odxf="1" s="1" dxf="1">
    <nc r="L79">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3" sId="3" odxf="1" s="1" dxf="1">
    <nc r="M79">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4" sId="3" odxf="1" s="1" dxf="1">
    <nc r="N79">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5" sId="3" odxf="1" s="1" dxf="1">
    <nc r="O79">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6" sId="3" odxf="1" s="1" dxf="1">
    <nc r="P79">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7" sId="3" odxf="1" s="1" dxf="1">
    <nc r="Q79">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8" sId="3" odxf="1" s="1" dxf="1">
    <nc r="R79">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29" sId="3" odxf="1" s="1" dxf="1">
    <nc r="S79">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30" sId="3" odxf="1" s="1" dxf="1">
    <nc r="T79">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31" sId="3" odxf="1" s="1" dxf="1">
    <nc r="U79">
      <v>6</v>
    </nc>
    <o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32" sId="3" odxf="1" s="1" dxf="1">
    <nc r="V79"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fmt sheetId="3" s="1" sqref="W79"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qref="X79" start="0" length="0">
    <dxf>
      <alignment vertical="top" wrapText="1" readingOrder="0"/>
    </dxf>
  </rfmt>
  <rcc rId="10233" sId="3" numFmtId="19">
    <nc r="A78">
      <v>41794</v>
    </nc>
  </rcc>
  <rcc rId="10234" sId="3">
    <nc r="X78" t="inlineStr">
      <is>
        <t xml:space="preserve">All units have valid video and audio output.
Audio warnings on unit 120, known issue
VBI warnings on all units
VID warnings on unit 120 – they appear different from the ones on other unit types 
TXB_TMG warnings and asserts on unit 101 – there has been TXB_TMG warnings on unit 101 consistently, same warnings as 03/06/2014
</t>
      </is>
    </nc>
  </rcc>
  <rcc rId="10235" sId="3">
    <nc r="D78">
      <v>30</v>
    </nc>
  </rcc>
  <rcc rId="10236" sId="3">
    <nc r="E78">
      <v>49</v>
    </nc>
  </rcc>
  <rcc rId="10237" sId="3">
    <nc r="F78">
      <v>3</v>
    </nc>
  </rcc>
  <rcc rId="10238" sId="3">
    <nc r="G78">
      <v>3</v>
    </nc>
  </rcc>
  <rcc rId="10239" sId="3">
    <nc r="H78">
      <v>25</v>
    </nc>
  </rcc>
  <rcc rId="10240" sId="3">
    <nc r="U78">
      <v>7</v>
    </nc>
  </rcc>
  <rcc rId="10241" sId="3" numFmtId="19">
    <nc r="A79">
      <v>41795</v>
    </nc>
  </rcc>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3" s="1" sqref="A80"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cc rId="10242" sId="3" odxf="1" s="1" dxf="1">
    <nc r="B80">
      <v>14</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43" sId="3" odxf="1" s="1" dxf="1">
    <nc r="C80">
      <v>16</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D8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8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8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8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8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44" sId="3" odxf="1" s="1" dxf="1">
    <nc r="I8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45" sId="3" odxf="1" s="1" dxf="1">
    <nc r="J8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46" sId="3" odxf="1" s="1" dxf="1">
    <nc r="K8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47" sId="3" odxf="1" s="1" dxf="1">
    <nc r="L8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48" sId="3" odxf="1" s="1" dxf="1">
    <nc r="M8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49" sId="3" odxf="1" s="1" dxf="1">
    <nc r="N80">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O8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8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8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80"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50" sId="3" odxf="1" s="1" dxf="1">
    <nc r="S80">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51" sId="3" odxf="1" s="1" dxf="1">
    <nc r="T80">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U80"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52" sId="3" odxf="1" s="1" dxf="1">
    <nc r="V80"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cc rId="10253" sId="3" odxf="1" s="1" dxf="1">
    <nc r="W80" t="inlineStr">
      <is>
        <t>Pass</t>
      </is>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A81"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fmt sheetId="3" s="1" sqref="B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C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D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54" sId="3" odxf="1" s="1" dxf="1">
    <nc r="K81">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55" sId="3" odxf="1" s="1" dxf="1">
    <nc r="L81">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56" sId="3" odxf="1" s="1" dxf="1">
    <nc r="M81">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57" sId="3" odxf="1" s="1" dxf="1">
    <nc r="N81">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O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81"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58" sId="3" odxf="1" s="1" dxf="1">
    <nc r="S81">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59" sId="3" odxf="1" s="1" dxf="1">
    <nc r="T81">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60" sId="3" odxf="1" s="1" dxf="1">
    <nc r="U81">
      <v>7</v>
    </nc>
    <o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61" sId="3" odxf="1" s="1" dxf="1">
    <nc r="V81"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cc rId="10262" sId="3" odxf="1" s="1" dxf="1">
    <nc r="W81" t="inlineStr">
      <is>
        <t>Pass</t>
      </is>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63" sId="3" numFmtId="19">
    <nc r="A80">
      <v>41796</v>
    </nc>
  </rcc>
  <rcc rId="10264" sId="3" numFmtId="19">
    <nc r="A81">
      <v>41799</v>
    </nc>
  </rcc>
  <rfmt sheetId="3" s="1" sqref="A82"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cc rId="10265" sId="3" odxf="1" s="1" dxf="1">
    <nc r="B82">
      <v>14</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66" sId="3" odxf="1" s="1" dxf="1">
    <nc r="C82">
      <v>16</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D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67" sId="3" odxf="1" s="1" dxf="1">
    <nc r="K8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68" sId="3" odxf="1" s="1" dxf="1">
    <nc r="L8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69" sId="3" odxf="1" s="1" dxf="1">
    <nc r="M8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70" sId="3" odxf="1" s="1" dxf="1">
    <nc r="N82">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O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82"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71" sId="3" odxf="1" s="1" dxf="1">
    <nc r="S82">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72" sId="3" odxf="1" s="1" dxf="1">
    <nc r="T82">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U82"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73" sId="3" odxf="1" s="1" dxf="1">
    <nc r="V82"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cc rId="10274" sId="3" odxf="1" s="1" dxf="1">
    <nc r="W82" t="inlineStr">
      <is>
        <t>Pass</t>
      </is>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A83"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cc rId="10275" sId="3" odxf="1" s="1" dxf="1">
    <nc r="B83">
      <v>14</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76" sId="3" odxf="1" s="1" dxf="1">
    <nc r="C83">
      <v>16</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D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K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L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M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N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O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77" sId="3" odxf="1" s="1" dxf="1">
    <nc r="S83">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78" sId="3" odxf="1" s="1" dxf="1">
    <nc r="T83">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U83" start="0" length="0">
    <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79" sId="3" odxf="1" s="1" dxf="1">
    <nc r="V83" t="inlineStr">
      <is>
        <t>R01.11.00DD</t>
      </is>
    </nc>
    <odxf>
      <font>
        <b val="0"/>
        <i val="0"/>
        <strike val="0"/>
        <condense val="0"/>
        <extend val="0"/>
        <outline val="0"/>
        <shadow val="0"/>
        <u val="none"/>
        <vertAlign val="baseline"/>
        <sz val="9"/>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top/>
        <bottom/>
      </border>
      <protection locked="1" hidden="0"/>
    </odxf>
    <ndxf>
      <font>
        <sz val="11"/>
        <color rgb="FF000000"/>
        <name val="Calibri"/>
        <scheme val="none"/>
      </font>
      <border outline="0">
        <right style="medium">
          <color indexed="64"/>
        </right>
        <bottom style="medium">
          <color indexed="64"/>
        </bottom>
      </border>
    </ndxf>
  </rcc>
  <rfmt sheetId="3" s="1" sqref="W83"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A84" start="0" length="0">
    <dxf>
      <font>
        <sz val="10"/>
        <color indexed="8"/>
        <name val="Times New Roman"/>
        <scheme val="none"/>
      </font>
      <numFmt numFmtId="164" formatCode="yyyy/mm/dd;@"/>
      <alignment horizontal="center" vertical="center" wrapText="1" readingOrder="0"/>
      <border outline="0">
        <left style="medium">
          <color indexed="64"/>
        </left>
        <right style="thin">
          <color indexed="64"/>
        </right>
        <bottom style="thin">
          <color indexed="64"/>
        </bottom>
      </border>
    </dxf>
  </rfmt>
  <rcc rId="10280" sId="3" odxf="1" s="1" dxf="1">
    <nc r="B84">
      <v>14</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81" sId="3" odxf="1" s="1" dxf="1">
    <nc r="C84">
      <v>16</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D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E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F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G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H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I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J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K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L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82" sId="3" odxf="1" s="1" dxf="1">
    <nc r="M84">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83" sId="3" odxf="1" s="1" dxf="1">
    <nc r="N84">
      <v>0</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O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P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Q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fmt sheetId="3" s="1" sqref="R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84" sId="3" odxf="1" s="1" dxf="1">
    <nc r="S84">
      <v>1</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85" sId="3" odxf="1" s="1" dxf="1">
    <nc r="T84">
      <v>2</v>
    </nc>
    <o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cc rId="10286" sId="3" odxf="1" s="1" dxf="1">
    <nc r="U84">
      <v>7</v>
    </nc>
    <o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general" vertical="bottom" textRotation="0" wrapText="0" indent="0" justifyLastLine="0" shrinkToFit="0" readingOrder="0"/>
      <border diagonalUp="0" diagonalDown="0" outline="0">
        <left/>
        <right/>
        <top/>
        <bottom/>
      </border>
      <protection locked="1" hidden="0"/>
    </odxf>
    <ndxf>
      <font>
        <sz val="9"/>
        <color indexed="8"/>
        <name val="Calibri"/>
        <scheme val="none"/>
      </font>
      <numFmt numFmtId="0" formatCode="General"/>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ndxf>
  </rcc>
  <rfmt sheetId="3" s="1" sqref="V84" start="0" length="0">
    <dxf>
      <font>
        <sz val="11"/>
        <color rgb="FF000000"/>
        <name val="Calibri"/>
        <scheme val="none"/>
      </font>
      <border outline="0">
        <right style="medium">
          <color indexed="64"/>
        </right>
        <bottom style="medium">
          <color indexed="64"/>
        </bottom>
      </border>
    </dxf>
  </rfmt>
  <rfmt sheetId="3" s="1" sqref="W84" start="0" length="0">
    <dxf>
      <font>
        <sz val="9"/>
        <color indexed="8"/>
        <name val="Calibri"/>
        <scheme val="none"/>
      </font>
      <fill>
        <patternFill>
          <bgColor rgb="FFC6EFCE"/>
        </patternFill>
      </fill>
      <alignment horizontal="center" vertical="center" wrapText="1" readingOrder="0"/>
      <border outline="0">
        <left style="thin">
          <color indexed="64"/>
        </left>
        <right style="thin">
          <color indexed="64"/>
        </right>
        <top style="thin">
          <color indexed="64"/>
        </top>
        <bottom style="thin">
          <color indexed="64"/>
        </bottom>
      </border>
    </dxf>
  </rfmt>
  <rcc rId="10287" sId="3" numFmtId="19">
    <nc r="A83">
      <v>41801</v>
    </nc>
  </rcc>
  <rcc rId="10288" sId="3" numFmtId="19">
    <nc r="A84">
      <v>41802</v>
    </nc>
  </rcc>
  <rcc rId="10289" sId="3">
    <nc r="X79" t="inlineStr">
      <is>
        <t xml:space="preserve">All units have valid video and audio output.
TXB_TMG warnings on unit 101, being investigated
VID warnings on unit 103 – Zaidan, can you take a look at these?
MC Asserts on most units – Siva, can you take a look? Looks like the same asserts we’ve gotten before
IPAL Asserts on several units – Swee, who could take a look at this? 
</t>
      </is>
    </nc>
  </rcc>
  <rcc rId="10290" sId="3" odxf="1" dxf="1">
    <nc r="W79" t="inlineStr">
      <is>
        <t>C.Pass</t>
      </is>
    </nc>
    <ndxf>
      <font>
        <sz val="9"/>
        <color indexed="8"/>
        <name val="Times New Roman"/>
        <scheme val="none"/>
      </font>
      <fill>
        <patternFill>
          <bgColor rgb="FFFFFF99"/>
        </patternFill>
      </fill>
    </ndxf>
  </rcc>
  <rcc rId="10291" sId="3">
    <nc r="D80">
      <v>46</v>
    </nc>
  </rcc>
  <rcc rId="10292" sId="3">
    <nc r="E80">
      <v>7</v>
    </nc>
  </rcc>
  <rcc rId="10293" sId="3">
    <nc r="F80">
      <v>5</v>
    </nc>
  </rcc>
  <rcc rId="10294" sId="3">
    <nc r="G80">
      <v>5</v>
    </nc>
  </rcc>
  <rcc rId="10295" sId="3">
    <nc r="H80">
      <v>25</v>
    </nc>
  </rcc>
  <rcc rId="10296" sId="3">
    <nc r="O80">
      <v>2</v>
    </nc>
  </rcc>
  <rcc rId="10297" sId="3">
    <nc r="P80">
      <v>2</v>
    </nc>
  </rcc>
  <rcc rId="10298" sId="3">
    <nc r="Q80">
      <v>1</v>
    </nc>
  </rcc>
  <rcc rId="10299" sId="3">
    <nc r="R80">
      <v>5</v>
    </nc>
  </rcc>
  <rcc rId="10300" sId="3">
    <nc r="U80">
      <v>6</v>
    </nc>
  </rcc>
  <rcc rId="10301" sId="3" odxf="1" dxf="1">
    <nc r="X80" t="inlineStr">
      <is>
        <t xml:space="preserve">All units have valid video and audio output.
TX CC errors on PID 2901 co-timed on most units, uplink issue
VBI warnings on all units
TXB_TMG warnings on all unit 
VID warnings on unit 103 and 120 – Zaidan, can you take a look?
</t>
      </is>
    </nc>
    <odxf>
      <alignment vertical="bottom" wrapText="0" readingOrder="0"/>
    </odxf>
    <ndxf>
      <alignment vertical="top" wrapText="1" readingOrder="0"/>
    </ndxf>
  </rcc>
  <rcc rId="10302" sId="3">
    <nc r="B81">
      <v>14</v>
    </nc>
  </rcc>
  <rcc rId="10303" sId="3">
    <nc r="C81">
      <v>16</v>
    </nc>
  </rcc>
  <rcc rId="10304" sId="3">
    <nc r="D81">
      <v>31</v>
    </nc>
  </rcc>
  <rcc rId="10305" sId="3">
    <nc r="E81">
      <v>12</v>
    </nc>
  </rcc>
  <rcc rId="10306" sId="3">
    <nc r="F81">
      <v>7</v>
    </nc>
  </rcc>
  <rcc rId="10307" sId="3">
    <nc r="G81">
      <v>6</v>
    </nc>
  </rcc>
  <rcc rId="10308" sId="3">
    <nc r="H81">
      <v>6</v>
    </nc>
  </rcc>
  <rcc rId="10309" sId="3">
    <nc r="I81">
      <v>2</v>
    </nc>
  </rcc>
  <rcc rId="10310" sId="3">
    <nc r="J81">
      <v>2</v>
    </nc>
  </rcc>
  <rcc rId="10311" sId="3">
    <nc r="O81">
      <v>3</v>
    </nc>
  </rcc>
  <rcc rId="10312" sId="3">
    <nc r="P81">
      <v>4</v>
    </nc>
  </rcc>
  <rcc rId="10313" sId="3">
    <nc r="Q81">
      <v>2</v>
    </nc>
  </rcc>
  <rcc rId="10314" sId="3">
    <nc r="R81">
      <v>6</v>
    </nc>
  </rcc>
  <rcc rId="10315" sId="3" odxf="1" dxf="1">
    <nc r="X81" t="inlineStr">
      <is>
        <t xml:space="preserve">All units have valid video and audio output.
TX CC errors on PID 2801 co-timed on most units, uplink issue
AUD2 warnings on several units, known issue
VID warnings on unit 103 and 120, known issue
VID asserts on unit 103 – Zaidan, can you take a look?
</t>
      </is>
    </nc>
    <odxf>
      <alignment vertical="bottom" wrapText="0" readingOrder="0"/>
    </odxf>
    <ndxf>
      <alignment vertical="top" wrapText="1" readingOrder="0"/>
    </ndxf>
  </rcc>
  <rcc rId="10316" sId="3" numFmtId="19">
    <nc r="A82">
      <v>41800</v>
    </nc>
  </rcc>
  <rcc rId="10317" sId="3">
    <nc r="D82">
      <v>34</v>
    </nc>
  </rcc>
  <rcc rId="10318" sId="3">
    <nc r="E82">
      <v>13</v>
    </nc>
  </rcc>
  <rcc rId="10319" sId="3">
    <nc r="F82">
      <v>8</v>
    </nc>
  </rcc>
  <rcc rId="10320" sId="3">
    <nc r="G82">
      <v>7</v>
    </nc>
  </rcc>
  <rcc rId="10321" sId="3">
    <nc r="H82">
      <v>7</v>
    </nc>
  </rcc>
  <rcc rId="10322" sId="3">
    <nc r="I82">
      <v>3</v>
    </nc>
  </rcc>
  <rcc rId="10323" sId="3">
    <nc r="J82">
      <v>3</v>
    </nc>
  </rcc>
  <rcc rId="10324" sId="3">
    <nc r="O82">
      <v>3</v>
    </nc>
  </rcc>
  <rcc rId="10325" sId="3">
    <nc r="P82">
      <v>4</v>
    </nc>
  </rcc>
  <rcc rId="10326" sId="3">
    <nc r="Q82">
      <v>2</v>
    </nc>
  </rcc>
  <rcc rId="10327" sId="3">
    <nc r="R82">
      <v>9</v>
    </nc>
  </rcc>
  <rcc rId="10328" sId="3">
    <nc r="U82">
      <v>5</v>
    </nc>
  </rcc>
  <rcc rId="10329" sId="3" odxf="1" dxf="1">
    <nc r="X82" t="inlineStr">
      <is>
        <t xml:space="preserve">All units have valid video and audio output.
TX CC errors on PID 2801 co-timed on most units, uplink issue
AUD2 warnings on several units, known issue
VID warnings on a few units, known issue
TXB_TMG asserts on unit 101, being investigated
</t>
      </is>
    </nc>
    <odxf>
      <alignment vertical="bottom" wrapText="0" readingOrder="0"/>
    </odxf>
    <ndxf>
      <alignment vertical="top" wrapText="1" readingOrder="0"/>
    </ndxf>
  </rcc>
  <rcc rId="10330" sId="3">
    <nc r="D83">
      <v>37</v>
    </nc>
  </rcc>
  <rcc rId="10331" sId="3">
    <nc r="E83">
      <v>14</v>
    </nc>
  </rcc>
  <rcc rId="10332" sId="3">
    <nc r="F83">
      <v>9</v>
    </nc>
  </rcc>
  <rcc rId="10333" sId="3">
    <nc r="G83">
      <v>8</v>
    </nc>
  </rcc>
  <rcc rId="10334" sId="3">
    <nc r="H83">
      <v>8</v>
    </nc>
  </rcc>
  <rcc rId="10335" sId="3">
    <nc r="I83">
      <v>8</v>
    </nc>
  </rcc>
  <rcc rId="10336" sId="3">
    <nc r="J83">
      <v>8</v>
    </nc>
  </rcc>
  <rcc rId="10337" sId="3">
    <nc r="K83">
      <v>4</v>
    </nc>
  </rcc>
  <rcc rId="10338" sId="3">
    <nc r="L83">
      <v>4</v>
    </nc>
  </rcc>
  <rcc rId="10339" sId="3">
    <nc r="M83">
      <v>4</v>
    </nc>
  </rcc>
  <rcc rId="10340" sId="3">
    <nc r="N83">
      <v>4</v>
    </nc>
  </rcc>
  <rcc rId="10341" sId="3">
    <nc r="O83">
      <v>3</v>
    </nc>
  </rcc>
  <rcc rId="10342" sId="3">
    <nc r="P83">
      <v>4</v>
    </nc>
  </rcc>
  <rcc rId="10343" sId="3">
    <nc r="Q83">
      <v>2</v>
    </nc>
  </rcc>
  <rcc rId="10344" sId="3">
    <nc r="R83">
      <v>10</v>
    </nc>
  </rcc>
  <rcc rId="10345" sId="3">
    <nc r="U83">
      <v>6</v>
    </nc>
  </rcc>
  <rcc rId="10346" sId="3" odxf="1" dxf="1">
    <nc r="X83" t="inlineStr">
      <is>
        <t xml:space="preserve">All units except unit 125 have video and audio. 
AUD2 warnings on most untis, known issue
VID warnings on unit 104 – Zaidan, can you take a look?
</t>
      </is>
    </nc>
    <odxf>
      <alignment vertical="bottom" wrapText="0" readingOrder="0"/>
    </odxf>
    <ndxf>
      <alignment vertical="top" wrapText="1" readingOrder="0"/>
    </ndxf>
  </rcc>
  <rcc rId="10347" sId="3">
    <nc r="D84">
      <v>10</v>
    </nc>
  </rcc>
  <rcc rId="10348" sId="3">
    <nc r="E84">
      <v>15</v>
    </nc>
  </rcc>
  <rcc rId="10349" sId="3">
    <nc r="F84">
      <v>10</v>
    </nc>
  </rcc>
  <rcc rId="10350" sId="3">
    <nc r="G84">
      <v>9</v>
    </nc>
  </rcc>
  <rcc rId="10351" sId="3">
    <nc r="H84">
      <v>9</v>
    </nc>
  </rcc>
  <rcc rId="10352" sId="3">
    <nc r="I84">
      <v>9</v>
    </nc>
  </rcc>
  <rcc rId="10353" sId="3">
    <nc r="J84">
      <v>25</v>
    </nc>
  </rcc>
  <rcc rId="10354" sId="3">
    <nc r="K84">
      <v>25</v>
    </nc>
  </rcc>
  <rcc rId="10355" sId="3">
    <nc r="L84">
      <v>25</v>
    </nc>
  </rcc>
  <rcc rId="10356" sId="3">
    <nc r="O84">
      <v>3</v>
    </nc>
  </rcc>
  <rcc rId="10357" sId="3">
    <nc r="P84">
      <v>4</v>
    </nc>
  </rcc>
  <rcc rId="10358" sId="3">
    <nc r="Q84">
      <v>2</v>
    </nc>
  </rcc>
  <rcc rId="10359" sId="3">
    <nc r="R84">
      <v>11</v>
    </nc>
  </rcc>
  <rcc rId="10360" sId="3">
    <nc r="V84" t="inlineStr">
      <is>
        <t>R01.11.01DD</t>
      </is>
    </nc>
  </rcc>
  <rcc rId="10361" sId="3" odxf="1" dxf="1">
    <nc r="X84" t="inlineStr">
      <is>
        <t xml:space="preserve">All units have valid video and audio output.
VID warnings on unit 103, can be ignored
FE Asserts on unit 130, can be ignored
TXB_TMG warnings on unit 101
TX CC errors on PID 2802 on most units, uplink issue
MPE warnings on several units, expected
RESET on unit 131 – Gabriel, can you take a look? 
</t>
      </is>
    </nc>
    <odxf>
      <alignment vertical="bottom" wrapText="0" readingOrder="0"/>
    </odxf>
    <ndxf>
      <alignment vertical="top" wrapText="1" readingOrder="0"/>
    </ndxf>
  </rcc>
  <rcc rId="10362" sId="3" odxf="1" dxf="1">
    <nc r="W84" t="inlineStr">
      <is>
        <t>C.Pass</t>
      </is>
    </nc>
    <ndxf>
      <font>
        <sz val="9"/>
        <color indexed="8"/>
        <name val="Times New Roman"/>
        <scheme val="none"/>
      </font>
      <fill>
        <patternFill>
          <bgColor rgb="FFFFFF99"/>
        </patternFill>
      </fill>
    </ndxf>
  </rcc>
  <rcc rId="10363" sId="3" odxf="1" dxf="1">
    <nc r="W83" t="inlineStr">
      <is>
        <t>C.Pass</t>
      </is>
    </nc>
    <ndxf>
      <font>
        <sz val="9"/>
        <color indexed="8"/>
        <name val="Times New Roman"/>
        <scheme val="none"/>
      </font>
      <fill>
        <patternFill>
          <bgColor rgb="FFFFFF99"/>
        </patternFill>
      </fill>
    </ndxf>
  </rcc>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64" sId="4" numFmtId="19">
    <oc r="I2">
      <v>41787</v>
    </oc>
    <nc r="I2">
      <v>41802</v>
    </nc>
  </rcc>
  <rcc rId="10365" sId="4">
    <oc r="K2" t="inlineStr">
      <is>
        <t>R01.11.00DD</t>
      </is>
    </oc>
    <nc r="K2" t="inlineStr">
      <is>
        <t>R01.11.01DD</t>
      </is>
    </nc>
  </rcc>
  <rfmt sheetId="4" sqref="B5" start="0" length="0">
    <dxf>
      <fill>
        <patternFill>
          <bgColor rgb="FFFFFFFF"/>
        </patternFill>
      </fill>
    </dxf>
  </rfmt>
  <rfmt sheetId="4" sqref="B6" start="0" length="0">
    <dxf>
      <fill>
        <patternFill>
          <bgColor rgb="FFFFFFFF"/>
        </patternFill>
      </fill>
    </dxf>
  </rfmt>
  <rfmt sheetId="4" sqref="B7" start="0" length="0">
    <dxf>
      <fill>
        <patternFill>
          <bgColor rgb="FFFFFFFF"/>
        </patternFill>
      </fill>
    </dxf>
  </rfmt>
  <rfmt sheetId="4" sqref="B8" start="0" length="0">
    <dxf>
      <fill>
        <patternFill>
          <bgColor rgb="FFFFFFFF"/>
        </patternFill>
      </fill>
    </dxf>
  </rfmt>
  <rfmt sheetId="4" sqref="B9" start="0" length="0">
    <dxf>
      <fill>
        <patternFill>
          <bgColor rgb="FFFFFFFF"/>
        </patternFill>
      </fill>
    </dxf>
  </rfmt>
  <rfmt sheetId="4" sqref="B10" start="0" length="0">
    <dxf>
      <fill>
        <patternFill>
          <bgColor rgb="FFFFFFFF"/>
        </patternFill>
      </fill>
    </dxf>
  </rfmt>
  <rfmt sheetId="4" sqref="B13" start="0" length="0">
    <dxf>
      <fill>
        <patternFill>
          <bgColor rgb="FFFFFFFF"/>
        </patternFill>
      </fill>
    </dxf>
  </rfmt>
  <rfmt sheetId="4" sqref="B14" start="0" length="0">
    <dxf>
      <fill>
        <patternFill>
          <bgColor rgb="FFFFFFFF"/>
        </patternFill>
      </fill>
    </dxf>
  </rfmt>
  <rfmt sheetId="4" sqref="B15" start="0" length="0">
    <dxf>
      <fill>
        <patternFill>
          <bgColor rgb="FFFFFFFF"/>
        </patternFill>
      </fill>
    </dxf>
  </rfmt>
  <rfmt sheetId="4" sqref="B16" start="0" length="0">
    <dxf>
      <fill>
        <patternFill>
          <bgColor rgb="FFFFFFFF"/>
        </patternFill>
      </fill>
    </dxf>
  </rfmt>
  <rfmt sheetId="4" sqref="B17" start="0" length="0">
    <dxf>
      <fill>
        <patternFill>
          <bgColor rgb="FFFFFFFF"/>
        </patternFill>
      </fill>
    </dxf>
  </rfmt>
  <rfmt sheetId="4" sqref="B18" start="0" length="0">
    <dxf>
      <fill>
        <patternFill>
          <bgColor rgb="FFFFFFFF"/>
        </patternFill>
      </fill>
    </dxf>
  </rfmt>
  <rfmt sheetId="4" sqref="B20" start="0" length="0">
    <dxf>
      <fill>
        <patternFill>
          <bgColor rgb="FFFFFFFF"/>
        </patternFill>
      </fill>
    </dxf>
  </rfmt>
  <rfmt sheetId="4" sqref="B23" start="0" length="0">
    <dxf>
      <fill>
        <patternFill>
          <bgColor rgb="FFFFFFFF"/>
        </patternFill>
      </fill>
    </dxf>
  </rfmt>
  <rfmt sheetId="4" sqref="B24" start="0" length="0">
    <dxf>
      <fill>
        <patternFill>
          <bgColor rgb="FFFFFFFF"/>
        </patternFill>
      </fill>
    </dxf>
  </rfmt>
  <rfmt sheetId="4" sqref="B5" start="0" length="0">
    <dxf>
      <fill>
        <patternFill>
          <bgColor rgb="FFCCFFCC"/>
        </patternFill>
      </fill>
    </dxf>
  </rfmt>
  <rfmt sheetId="4" sqref="B6" start="0" length="0">
    <dxf>
      <fill>
        <patternFill>
          <bgColor rgb="FFCCFFCC"/>
        </patternFill>
      </fill>
    </dxf>
  </rfmt>
  <rfmt sheetId="4" sqref="B7" start="0" length="0">
    <dxf>
      <fill>
        <patternFill>
          <bgColor rgb="FFCCFFCC"/>
        </patternFill>
      </fill>
    </dxf>
  </rfmt>
  <rfmt sheetId="4" sqref="B8" start="0" length="0">
    <dxf>
      <fill>
        <patternFill>
          <bgColor rgb="FFCCFFCC"/>
        </patternFill>
      </fill>
    </dxf>
  </rfmt>
  <rfmt sheetId="4" sqref="B8" start="0" length="0">
    <dxf>
      <fill>
        <patternFill>
          <bgColor rgb="FFC6EFCE"/>
        </patternFill>
      </fill>
    </dxf>
  </rfmt>
  <rfmt sheetId="4" sqref="B9" start="0" length="0">
    <dxf>
      <fill>
        <patternFill>
          <bgColor rgb="FFCCFFCC"/>
        </patternFill>
      </fill>
    </dxf>
  </rfmt>
  <rfmt sheetId="4" sqref="B9" start="0" length="0">
    <dxf>
      <fill>
        <patternFill>
          <bgColor rgb="FFC6EFCE"/>
        </patternFill>
      </fill>
    </dxf>
  </rfmt>
  <rfmt sheetId="4" sqref="B10" start="0" length="0">
    <dxf>
      <fill>
        <patternFill>
          <bgColor rgb="FFCCFFCC"/>
        </patternFill>
      </fill>
    </dxf>
  </rfmt>
  <rfmt sheetId="4" sqref="B10" start="0" length="0">
    <dxf>
      <fill>
        <patternFill>
          <bgColor rgb="FFC6EFCE"/>
        </patternFill>
      </fill>
    </dxf>
  </rfmt>
  <rfmt sheetId="4" sqref="B13" start="0" length="0">
    <dxf>
      <fill>
        <patternFill>
          <bgColor rgb="FFCCFFCC"/>
        </patternFill>
      </fill>
    </dxf>
  </rfmt>
  <rfmt sheetId="4" sqref="B14" start="0" length="0">
    <dxf>
      <fill>
        <patternFill>
          <bgColor rgb="FFCCFFCC"/>
        </patternFill>
      </fill>
    </dxf>
  </rfmt>
  <rfmt sheetId="4" sqref="B15" start="0" length="0">
    <dxf>
      <fill>
        <patternFill>
          <bgColor rgb="FFCCFFCC"/>
        </patternFill>
      </fill>
    </dxf>
  </rfmt>
  <rfmt sheetId="4" sqref="B16" start="0" length="0">
    <dxf>
      <fill>
        <patternFill>
          <bgColor rgb="FFCCFFCC"/>
        </patternFill>
      </fill>
    </dxf>
  </rfmt>
  <rfmt sheetId="4" sqref="B17" start="0" length="0">
    <dxf>
      <fill>
        <patternFill>
          <bgColor rgb="FFCCFFCC"/>
        </patternFill>
      </fill>
    </dxf>
  </rfmt>
  <rfmt sheetId="4" sqref="B17" start="0" length="0">
    <dxf>
      <fill>
        <patternFill>
          <bgColor rgb="FFC6EFCE"/>
        </patternFill>
      </fill>
    </dxf>
  </rfmt>
  <rfmt sheetId="4" sqref="B18" start="0" length="0">
    <dxf>
      <fill>
        <patternFill>
          <bgColor rgb="FFCCFFCC"/>
        </patternFill>
      </fill>
    </dxf>
  </rfmt>
  <rfmt sheetId="4" sqref="B18" start="0" length="0">
    <dxf>
      <fill>
        <patternFill>
          <bgColor rgb="FFC6EFCE"/>
        </patternFill>
      </fill>
    </dxf>
  </rfmt>
  <rfmt sheetId="4" sqref="B20" start="0" length="0">
    <dxf>
      <fill>
        <patternFill>
          <bgColor rgb="FFCCFFCC"/>
        </patternFill>
      </fill>
    </dxf>
  </rfmt>
  <rfmt sheetId="4" sqref="B20" start="0" length="0">
    <dxf>
      <fill>
        <patternFill>
          <bgColor rgb="FFC6EFCE"/>
        </patternFill>
      </fill>
    </dxf>
  </rfmt>
  <rfmt sheetId="4" sqref="B23" start="0" length="0">
    <dxf>
      <fill>
        <patternFill>
          <bgColor rgb="FFCCFFCC"/>
        </patternFill>
      </fill>
    </dxf>
  </rfmt>
  <rfmt sheetId="4" sqref="B24" start="0" length="0">
    <dxf>
      <fill>
        <patternFill>
          <bgColor rgb="FFCCFFCC"/>
        </patternFill>
      </fill>
    </dxf>
  </rfmt>
  <rfmt sheetId="4" sqref="B24" start="0" length="0">
    <dxf>
      <fill>
        <patternFill>
          <bgColor rgb="FFC6EFCE"/>
        </patternFill>
      </fill>
    </dxf>
  </rfmt>
  <rfmt sheetId="4" sqref="E5" start="0" length="0">
    <dxf>
      <fill>
        <patternFill>
          <bgColor rgb="FFFFFFFF"/>
        </patternFill>
      </fill>
    </dxf>
  </rfmt>
  <rfmt sheetId="4" sqref="E6" start="0" length="0">
    <dxf>
      <fill>
        <patternFill>
          <bgColor rgb="FFFFFFFF"/>
        </patternFill>
      </fill>
    </dxf>
  </rfmt>
  <rfmt sheetId="4" sqref="E7" start="0" length="0">
    <dxf>
      <fill>
        <patternFill>
          <bgColor rgb="FFFFFFFF"/>
        </patternFill>
      </fill>
    </dxf>
  </rfmt>
  <rfmt sheetId="4" sqref="E10" start="0" length="0">
    <dxf>
      <fill>
        <patternFill>
          <bgColor rgb="FFFFFFFF"/>
        </patternFill>
      </fill>
    </dxf>
  </rfmt>
  <rfmt sheetId="4" sqref="E11" start="0" length="0">
    <dxf>
      <fill>
        <patternFill>
          <bgColor rgb="FFFFFFFF"/>
        </patternFill>
      </fill>
    </dxf>
  </rfmt>
  <rfmt sheetId="4" sqref="E19" start="0" length="0">
    <dxf>
      <fill>
        <patternFill>
          <bgColor rgb="FFFFFFFF"/>
        </patternFill>
      </fill>
    </dxf>
  </rfmt>
  <rfmt sheetId="4" sqref="E20" start="0" length="0">
    <dxf>
      <fill>
        <patternFill>
          <bgColor rgb="FFFFFFFF"/>
        </patternFill>
      </fill>
    </dxf>
  </rfmt>
  <rfmt sheetId="4" sqref="E21" start="0" length="0">
    <dxf>
      <fill>
        <patternFill>
          <bgColor rgb="FFFFFFFF"/>
        </patternFill>
      </fill>
    </dxf>
  </rfmt>
  <rfmt sheetId="4" sqref="E22" start="0" length="0">
    <dxf>
      <fill>
        <patternFill>
          <bgColor rgb="FFFFFFFF"/>
        </patternFill>
      </fill>
    </dxf>
  </rfmt>
  <rfmt sheetId="4" sqref="E5" start="0" length="0">
    <dxf>
      <fill>
        <patternFill>
          <bgColor rgb="FFCCFFCC"/>
        </patternFill>
      </fill>
    </dxf>
  </rfmt>
  <rfmt sheetId="4" sqref="E5" start="0" length="0">
    <dxf>
      <fill>
        <patternFill>
          <bgColor rgb="FFC6EFCE"/>
        </patternFill>
      </fill>
    </dxf>
  </rfmt>
  <rfmt sheetId="4" sqref="E6" start="0" length="0">
    <dxf>
      <fill>
        <patternFill>
          <bgColor rgb="FFCCFFCC"/>
        </patternFill>
      </fill>
    </dxf>
  </rfmt>
  <rfmt sheetId="4" sqref="E6" start="0" length="0">
    <dxf>
      <fill>
        <patternFill>
          <bgColor rgb="FFC6EFCE"/>
        </patternFill>
      </fill>
    </dxf>
  </rfmt>
  <rfmt sheetId="4" sqref="E7" start="0" length="0">
    <dxf>
      <fill>
        <patternFill>
          <bgColor rgb="FFCCFFCC"/>
        </patternFill>
      </fill>
    </dxf>
  </rfmt>
  <rfmt sheetId="4" sqref="E7" start="0" length="0">
    <dxf>
      <fill>
        <patternFill>
          <bgColor rgb="FFC6EFCE"/>
        </patternFill>
      </fill>
    </dxf>
  </rfmt>
  <rfmt sheetId="4" sqref="E10" start="0" length="0">
    <dxf>
      <fill>
        <patternFill>
          <bgColor rgb="FFCCFFCC"/>
        </patternFill>
      </fill>
    </dxf>
  </rfmt>
  <rfmt sheetId="4" sqref="E10" start="0" length="0">
    <dxf>
      <fill>
        <patternFill>
          <bgColor rgb="FFC6EFCE"/>
        </patternFill>
      </fill>
    </dxf>
  </rfmt>
  <rfmt sheetId="4" sqref="E11" start="0" length="0">
    <dxf>
      <fill>
        <patternFill>
          <bgColor rgb="FFCCFFCC"/>
        </patternFill>
      </fill>
    </dxf>
  </rfmt>
  <rfmt sheetId="4" sqref="E11" start="0" length="0">
    <dxf>
      <fill>
        <patternFill>
          <bgColor rgb="FFC6EFCE"/>
        </patternFill>
      </fill>
    </dxf>
  </rfmt>
  <rfmt sheetId="4" sqref="E19" start="0" length="0">
    <dxf>
      <fill>
        <patternFill>
          <bgColor rgb="FFCCFFCC"/>
        </patternFill>
      </fill>
    </dxf>
  </rfmt>
  <rfmt sheetId="4" sqref="E19" start="0" length="0">
    <dxf>
      <fill>
        <patternFill>
          <bgColor rgb="FFC6EFCE"/>
        </patternFill>
      </fill>
    </dxf>
  </rfmt>
  <rfmt sheetId="4" sqref="E20" start="0" length="0">
    <dxf>
      <fill>
        <patternFill>
          <bgColor rgb="FFCCFFCC"/>
        </patternFill>
      </fill>
    </dxf>
  </rfmt>
  <rfmt sheetId="4" sqref="E20" start="0" length="0">
    <dxf>
      <fill>
        <patternFill>
          <bgColor rgb="FFC6EFCE"/>
        </patternFill>
      </fill>
    </dxf>
  </rfmt>
  <rfmt sheetId="4" sqref="E21" start="0" length="0">
    <dxf>
      <fill>
        <patternFill>
          <bgColor rgb="FFCCFFCC"/>
        </patternFill>
      </fill>
    </dxf>
  </rfmt>
  <rfmt sheetId="4" sqref="E21" start="0" length="0">
    <dxf>
      <fill>
        <patternFill>
          <bgColor rgb="FFC6EFCE"/>
        </patternFill>
      </fill>
    </dxf>
  </rfmt>
  <rfmt sheetId="4" sqref="E22" start="0" length="0">
    <dxf>
      <fill>
        <patternFill>
          <bgColor rgb="FFCCFFCC"/>
        </patternFill>
      </fill>
    </dxf>
  </rfmt>
  <rfmt sheetId="4" sqref="I5" start="0" length="0">
    <dxf>
      <fill>
        <patternFill>
          <bgColor rgb="FFFFFFFF"/>
        </patternFill>
      </fill>
    </dxf>
  </rfmt>
  <rfmt sheetId="4" sqref="J5" start="0" length="0">
    <dxf>
      <fill>
        <patternFill>
          <bgColor rgb="FFFFFFFF"/>
        </patternFill>
      </fill>
    </dxf>
  </rfmt>
  <rfmt sheetId="4" sqref="K5" start="0" length="0">
    <dxf>
      <fill>
        <patternFill>
          <bgColor rgb="FFFFFFFF"/>
        </patternFill>
      </fill>
    </dxf>
  </rfmt>
  <rfmt sheetId="4" sqref="L5" start="0" length="0">
    <dxf>
      <fill>
        <patternFill>
          <bgColor rgb="FFFFFFFF"/>
        </patternFill>
      </fill>
    </dxf>
  </rfmt>
  <rfmt sheetId="4" sqref="I6" start="0" length="0">
    <dxf>
      <fill>
        <patternFill>
          <bgColor rgb="FFFFFFFF"/>
        </patternFill>
      </fill>
    </dxf>
  </rfmt>
  <rfmt sheetId="4" sqref="J6" start="0" length="0">
    <dxf>
      <fill>
        <patternFill>
          <bgColor rgb="FFFFFFFF"/>
        </patternFill>
      </fill>
    </dxf>
  </rfmt>
  <rfmt sheetId="4" sqref="K6" start="0" length="0">
    <dxf>
      <fill>
        <patternFill>
          <bgColor rgb="FFFFFFFF"/>
        </patternFill>
      </fill>
    </dxf>
  </rfmt>
  <rfmt sheetId="4" sqref="L6" start="0" length="0">
    <dxf>
      <fill>
        <patternFill>
          <bgColor rgb="FFFFFFFF"/>
        </patternFill>
      </fill>
    </dxf>
  </rfmt>
  <rfmt sheetId="4" sqref="M6" start="0" length="0">
    <dxf>
      <fill>
        <patternFill>
          <bgColor rgb="FFFFFFFF"/>
        </patternFill>
      </fill>
    </dxf>
  </rfmt>
  <rfmt sheetId="4" sqref="N6" start="0" length="0">
    <dxf>
      <fill>
        <patternFill>
          <bgColor rgb="FFFFFFFF"/>
        </patternFill>
      </fill>
    </dxf>
  </rfmt>
  <rfmt sheetId="4" sqref="K7" start="0" length="0">
    <dxf>
      <fill>
        <patternFill>
          <bgColor rgb="FFFFFFFF"/>
        </patternFill>
      </fill>
    </dxf>
  </rfmt>
  <rfmt sheetId="4" sqref="L7" start="0" length="0">
    <dxf>
      <fill>
        <patternFill>
          <bgColor rgb="FFFFFFFF"/>
        </patternFill>
      </fill>
    </dxf>
  </rfmt>
  <rfmt sheetId="4" sqref="M7" start="0" length="0">
    <dxf>
      <fill>
        <patternFill>
          <bgColor rgb="FFFFFFFF"/>
        </patternFill>
      </fill>
    </dxf>
  </rfmt>
  <rfmt sheetId="4" sqref="N7" start="0" length="0">
    <dxf>
      <fill>
        <patternFill>
          <bgColor rgb="FFFFFFFF"/>
        </patternFill>
      </fill>
    </dxf>
  </rfmt>
  <rfmt sheetId="4" sqref="I8" start="0" length="0">
    <dxf>
      <fill>
        <patternFill>
          <bgColor rgb="FFFFFFFF"/>
        </patternFill>
      </fill>
    </dxf>
  </rfmt>
  <rfmt sheetId="4" sqref="J8" start="0" length="0">
    <dxf>
      <fill>
        <patternFill>
          <bgColor rgb="FFFFFFFF"/>
        </patternFill>
      </fill>
    </dxf>
  </rfmt>
  <rfmt sheetId="4" sqref="K8" start="0" length="0">
    <dxf>
      <fill>
        <patternFill>
          <bgColor rgb="FFFFFFFF"/>
        </patternFill>
      </fill>
    </dxf>
  </rfmt>
  <rfmt sheetId="4" sqref="L8" start="0" length="0">
    <dxf>
      <fill>
        <patternFill>
          <bgColor rgb="FFFFFFFF"/>
        </patternFill>
      </fill>
    </dxf>
  </rfmt>
  <rfmt sheetId="4" sqref="M8" start="0" length="0">
    <dxf>
      <fill>
        <patternFill>
          <bgColor rgb="FFFFFFFF"/>
        </patternFill>
      </fill>
    </dxf>
  </rfmt>
  <rfmt sheetId="4" sqref="N8" start="0" length="0">
    <dxf>
      <fill>
        <patternFill>
          <bgColor rgb="FFFFFFFF"/>
        </patternFill>
      </fill>
    </dxf>
  </rfmt>
  <rfmt sheetId="4" sqref="I9" start="0" length="0">
    <dxf>
      <fill>
        <patternFill>
          <bgColor rgb="FFFFFFFF"/>
        </patternFill>
      </fill>
    </dxf>
  </rfmt>
  <rfmt sheetId="4" sqref="J9" start="0" length="0">
    <dxf>
      <fill>
        <patternFill>
          <bgColor rgb="FFFFFFFF"/>
        </patternFill>
      </fill>
    </dxf>
  </rfmt>
  <rfmt sheetId="4" sqref="K9" start="0" length="0">
    <dxf>
      <fill>
        <patternFill>
          <bgColor rgb="FFFFFFFF"/>
        </patternFill>
      </fill>
    </dxf>
  </rfmt>
  <rfmt sheetId="4" sqref="L9" start="0" length="0">
    <dxf>
      <fill>
        <patternFill>
          <bgColor rgb="FFFFFFFF"/>
        </patternFill>
      </fill>
    </dxf>
  </rfmt>
  <rfmt sheetId="4" sqref="M9" start="0" length="0">
    <dxf>
      <fill>
        <patternFill>
          <bgColor rgb="FFFFFFFF"/>
        </patternFill>
      </fill>
    </dxf>
  </rfmt>
  <rfmt sheetId="4" sqref="N9" start="0" length="0">
    <dxf>
      <fill>
        <patternFill>
          <bgColor rgb="FFFFFFFF"/>
        </patternFill>
      </fill>
    </dxf>
  </rfmt>
  <rfmt sheetId="4" sqref="I10" start="0" length="0">
    <dxf>
      <fill>
        <patternFill>
          <bgColor rgb="FFFFFFFF"/>
        </patternFill>
      </fill>
    </dxf>
  </rfmt>
  <rfmt sheetId="4" sqref="K10" start="0" length="0">
    <dxf>
      <fill>
        <patternFill>
          <bgColor rgb="FFFFFFFF"/>
        </patternFill>
      </fill>
    </dxf>
  </rfmt>
  <rfmt sheetId="4" sqref="L10" start="0" length="0">
    <dxf>
      <fill>
        <patternFill>
          <bgColor rgb="FFFFFFFF"/>
        </patternFill>
      </fill>
    </dxf>
  </rfmt>
  <rfmt sheetId="4" sqref="M10" start="0" length="0">
    <dxf>
      <fill>
        <patternFill>
          <bgColor rgb="FFFFFFFF"/>
        </patternFill>
      </fill>
    </dxf>
  </rfmt>
  <rfmt sheetId="4" sqref="N10" start="0" length="0">
    <dxf>
      <fill>
        <patternFill>
          <bgColor rgb="FFFFFFFF"/>
        </patternFill>
      </fill>
    </dxf>
  </rfmt>
  <rfmt sheetId="4" sqref="K12" start="0" length="0">
    <dxf>
      <fill>
        <patternFill>
          <bgColor rgb="FFFFFFFF"/>
        </patternFill>
      </fill>
    </dxf>
  </rfmt>
  <rfmt sheetId="4" sqref="L12" start="0" length="0">
    <dxf>
      <fill>
        <patternFill>
          <bgColor rgb="FFFFFFFF"/>
        </patternFill>
      </fill>
    </dxf>
  </rfmt>
  <rfmt sheetId="4" sqref="I5" start="0" length="0">
    <dxf>
      <fill>
        <patternFill>
          <bgColor rgb="FFCCFFCC"/>
        </patternFill>
      </fill>
    </dxf>
  </rfmt>
  <rfmt sheetId="4" sqref="I5" start="0" length="0">
    <dxf>
      <fill>
        <patternFill>
          <bgColor rgb="FFC6EFCE"/>
        </patternFill>
      </fill>
    </dxf>
  </rfmt>
  <rfmt sheetId="4" sqref="J5" start="0" length="0">
    <dxf>
      <fill>
        <patternFill>
          <bgColor rgb="FFCCFFCC"/>
        </patternFill>
      </fill>
    </dxf>
  </rfmt>
  <rfmt sheetId="4" sqref="J5" start="0" length="0">
    <dxf>
      <fill>
        <patternFill>
          <bgColor rgb="FFC6EFCE"/>
        </patternFill>
      </fill>
    </dxf>
  </rfmt>
  <rfmt sheetId="4" sqref="K5" start="0" length="0">
    <dxf>
      <fill>
        <patternFill>
          <bgColor rgb="FFCCFFCC"/>
        </patternFill>
      </fill>
    </dxf>
  </rfmt>
  <rfmt sheetId="4" sqref="L5" start="0" length="0">
    <dxf>
      <fill>
        <patternFill>
          <bgColor rgb="FFCCFFCC"/>
        </patternFill>
      </fill>
    </dxf>
  </rfmt>
  <rfmt sheetId="4" sqref="I6" start="0" length="0">
    <dxf>
      <fill>
        <patternFill>
          <bgColor rgb="FFCCFFCC"/>
        </patternFill>
      </fill>
    </dxf>
  </rfmt>
  <rfmt sheetId="4" sqref="I6" start="0" length="0">
    <dxf>
      <fill>
        <patternFill>
          <bgColor rgb="FFC6EFCE"/>
        </patternFill>
      </fill>
    </dxf>
  </rfmt>
  <rfmt sheetId="4" sqref="J6" start="0" length="0">
    <dxf>
      <fill>
        <patternFill>
          <bgColor rgb="FFCCFFCC"/>
        </patternFill>
      </fill>
    </dxf>
  </rfmt>
  <rfmt sheetId="4" sqref="J6" start="0" length="0">
    <dxf>
      <fill>
        <patternFill>
          <bgColor rgb="FFC6EFCE"/>
        </patternFill>
      </fill>
    </dxf>
  </rfmt>
  <rfmt sheetId="4" sqref="K6" start="0" length="0">
    <dxf>
      <fill>
        <patternFill>
          <bgColor rgb="FFCCFFCC"/>
        </patternFill>
      </fill>
    </dxf>
  </rfmt>
  <rfmt sheetId="4" sqref="K6" start="0" length="0">
    <dxf>
      <fill>
        <patternFill>
          <bgColor rgb="FFC6EFCE"/>
        </patternFill>
      </fill>
    </dxf>
  </rfmt>
  <rfmt sheetId="4" sqref="L6" start="0" length="0">
    <dxf>
      <fill>
        <patternFill>
          <bgColor rgb="FFC6EFCE"/>
        </patternFill>
      </fill>
    </dxf>
  </rfmt>
  <rfmt sheetId="4" sqref="M6" start="0" length="0">
    <dxf>
      <fill>
        <patternFill>
          <bgColor rgb="FFCCFFCC"/>
        </patternFill>
      </fill>
    </dxf>
  </rfmt>
  <rfmt sheetId="4" sqref="N6" start="0" length="0">
    <dxf>
      <fill>
        <patternFill>
          <bgColor rgb="FFC6EFCE"/>
        </patternFill>
      </fill>
    </dxf>
  </rfmt>
  <rfmt sheetId="4" sqref="K7" start="0" length="0">
    <dxf>
      <fill>
        <patternFill>
          <bgColor rgb="FFCCFFCC"/>
        </patternFill>
      </fill>
    </dxf>
  </rfmt>
  <rfmt sheetId="4" sqref="K7" start="0" length="0">
    <dxf>
      <fill>
        <patternFill>
          <bgColor rgb="FFC6EFCE"/>
        </patternFill>
      </fill>
    </dxf>
  </rfmt>
  <rfmt sheetId="4" sqref="L7" start="0" length="0">
    <dxf>
      <fill>
        <patternFill>
          <bgColor rgb="FFC6EFCE"/>
        </patternFill>
      </fill>
    </dxf>
  </rfmt>
  <rfmt sheetId="4" sqref="M7" start="0" length="0">
    <dxf>
      <fill>
        <patternFill>
          <bgColor rgb="FFCCFFCC"/>
        </patternFill>
      </fill>
    </dxf>
  </rfmt>
  <rfmt sheetId="4" sqref="N7" start="0" length="0">
    <dxf>
      <fill>
        <patternFill>
          <bgColor rgb="FFCCFFCC"/>
        </patternFill>
      </fill>
    </dxf>
  </rfmt>
  <rfmt sheetId="4" sqref="N7" start="0" length="0">
    <dxf>
      <fill>
        <patternFill>
          <bgColor rgb="FFC6EFCE"/>
        </patternFill>
      </fill>
    </dxf>
  </rfmt>
  <rfmt sheetId="4" sqref="I8" start="0" length="0">
    <dxf>
      <fill>
        <patternFill>
          <bgColor rgb="FFCCFFCC"/>
        </patternFill>
      </fill>
    </dxf>
  </rfmt>
  <rfmt sheetId="4" sqref="I8" start="0" length="0">
    <dxf>
      <fill>
        <patternFill>
          <bgColor rgb="FFC6EFCE"/>
        </patternFill>
      </fill>
    </dxf>
  </rfmt>
  <rfmt sheetId="4" sqref="J8" start="0" length="0">
    <dxf>
      <fill>
        <patternFill>
          <bgColor rgb="FFCCFFCC"/>
        </patternFill>
      </fill>
    </dxf>
  </rfmt>
  <rfmt sheetId="4" sqref="K8" start="0" length="0">
    <dxf>
      <fill>
        <patternFill>
          <bgColor rgb="FFCCFFCC"/>
        </patternFill>
      </fill>
    </dxf>
  </rfmt>
  <rfmt sheetId="4" sqref="K8" start="0" length="0">
    <dxf>
      <fill>
        <patternFill>
          <bgColor rgb="FFC6EFCE"/>
        </patternFill>
      </fill>
    </dxf>
  </rfmt>
  <rfmt sheetId="4" sqref="L8" start="0" length="0">
    <dxf>
      <fill>
        <patternFill>
          <bgColor rgb="FFCCFFCC"/>
        </patternFill>
      </fill>
    </dxf>
  </rfmt>
  <rfmt sheetId="4" sqref="L8" start="0" length="0">
    <dxf>
      <fill>
        <patternFill>
          <bgColor rgb="FFC6EFCE"/>
        </patternFill>
      </fill>
    </dxf>
  </rfmt>
  <rfmt sheetId="4" sqref="M8" start="0" length="0">
    <dxf>
      <fill>
        <patternFill>
          <bgColor rgb="FFCCFFCC"/>
        </patternFill>
      </fill>
    </dxf>
  </rfmt>
  <rfmt sheetId="4" sqref="M8" start="0" length="0">
    <dxf>
      <fill>
        <patternFill>
          <bgColor rgb="FFC6EFCE"/>
        </patternFill>
      </fill>
    </dxf>
  </rfmt>
  <rfmt sheetId="4" sqref="N8" start="0" length="0">
    <dxf>
      <fill>
        <patternFill>
          <bgColor rgb="FFC6EFCE"/>
        </patternFill>
      </fill>
    </dxf>
  </rfmt>
  <rfmt sheetId="4" sqref="I9" start="0" length="0">
    <dxf>
      <fill>
        <patternFill>
          <bgColor rgb="FFCCFFCC"/>
        </patternFill>
      </fill>
    </dxf>
  </rfmt>
  <rfmt sheetId="4" sqref="I9" start="0" length="0">
    <dxf>
      <fill>
        <patternFill>
          <bgColor rgb="FFC6EFCE"/>
        </patternFill>
      </fill>
    </dxf>
  </rfmt>
  <rfmt sheetId="4" sqref="J9" start="0" length="0">
    <dxf>
      <fill>
        <patternFill>
          <bgColor rgb="FFCCFFCC"/>
        </patternFill>
      </fill>
    </dxf>
  </rfmt>
  <rfmt sheetId="4" sqref="J9" start="0" length="0">
    <dxf>
      <fill>
        <patternFill>
          <bgColor rgb="FFC6EFCE"/>
        </patternFill>
      </fill>
    </dxf>
  </rfmt>
  <rfmt sheetId="4" sqref="K9" start="0" length="0">
    <dxf>
      <fill>
        <patternFill>
          <bgColor rgb="FFCCFFCC"/>
        </patternFill>
      </fill>
    </dxf>
  </rfmt>
  <rfmt sheetId="4" sqref="K9" start="0" length="0">
    <dxf>
      <fill>
        <patternFill>
          <bgColor rgb="FFC6EFCE"/>
        </patternFill>
      </fill>
    </dxf>
  </rfmt>
  <rfmt sheetId="4" sqref="L9" start="0" length="0">
    <dxf>
      <fill>
        <patternFill>
          <bgColor rgb="FFCCFFCC"/>
        </patternFill>
      </fill>
    </dxf>
  </rfmt>
  <rfmt sheetId="4" sqref="M9" start="0" length="0">
    <dxf>
      <fill>
        <patternFill>
          <bgColor rgb="FFCCFFCC"/>
        </patternFill>
      </fill>
    </dxf>
  </rfmt>
  <rfmt sheetId="4" sqref="M9" start="0" length="0">
    <dxf>
      <fill>
        <patternFill>
          <bgColor rgb="FFC6EFCE"/>
        </patternFill>
      </fill>
    </dxf>
  </rfmt>
  <rfmt sheetId="4" sqref="N9" start="0" length="0">
    <dxf>
      <fill>
        <patternFill>
          <bgColor rgb="FFCCFFCC"/>
        </patternFill>
      </fill>
    </dxf>
  </rfmt>
  <rfmt sheetId="4" sqref="I10" start="0" length="0">
    <dxf>
      <fill>
        <patternFill>
          <bgColor rgb="FFCCFFCC"/>
        </patternFill>
      </fill>
    </dxf>
  </rfmt>
  <rfmt sheetId="4" sqref="K10" start="0" length="0">
    <dxf>
      <fill>
        <patternFill>
          <bgColor rgb="FFCCFFCC"/>
        </patternFill>
      </fill>
    </dxf>
  </rfmt>
  <rfmt sheetId="4" sqref="K10" start="0" length="0">
    <dxf>
      <fill>
        <patternFill>
          <bgColor rgb="FFC6EFCE"/>
        </patternFill>
      </fill>
    </dxf>
  </rfmt>
  <rfmt sheetId="4" sqref="L10" start="0" length="0">
    <dxf>
      <fill>
        <patternFill>
          <bgColor rgb="FFCCFFCC"/>
        </patternFill>
      </fill>
    </dxf>
  </rfmt>
  <rfmt sheetId="4" sqref="M10" start="0" length="0">
    <dxf>
      <fill>
        <patternFill>
          <bgColor rgb="FFCCFFCC"/>
        </patternFill>
      </fill>
    </dxf>
  </rfmt>
  <rfmt sheetId="4" sqref="M10" start="0" length="0">
    <dxf>
      <fill>
        <patternFill>
          <bgColor rgb="FFC6EFCE"/>
        </patternFill>
      </fill>
    </dxf>
  </rfmt>
  <rfmt sheetId="4" sqref="N10" start="0" length="0">
    <dxf>
      <fill>
        <patternFill>
          <bgColor rgb="FFCCFFCC"/>
        </patternFill>
      </fill>
    </dxf>
  </rfmt>
  <rfmt sheetId="4" sqref="N10" start="0" length="0">
    <dxf>
      <fill>
        <patternFill>
          <bgColor rgb="FFC6EFCE"/>
        </patternFill>
      </fill>
    </dxf>
  </rfmt>
  <rfmt sheetId="4" sqref="K12" start="0" length="0">
    <dxf>
      <fill>
        <patternFill>
          <bgColor rgb="FFCCFFCC"/>
        </patternFill>
      </fill>
    </dxf>
  </rfmt>
  <rfmt sheetId="4" sqref="K12" start="0" length="0">
    <dxf>
      <fill>
        <patternFill>
          <bgColor rgb="FFC6EFCE"/>
        </patternFill>
      </fill>
    </dxf>
  </rfmt>
  <rfmt sheetId="4" sqref="L12" start="0" length="0">
    <dxf>
      <fill>
        <patternFill>
          <bgColor rgb="FFCCFFCC"/>
        </patternFill>
      </fill>
    </dxf>
  </rfmt>
  <rcc rId="10366" sId="3" numFmtId="13">
    <oc r="D3">
      <v>0.24489795918367346</v>
    </oc>
    <nc r="D3">
      <v>0.20408163265306123</v>
    </nc>
  </rcc>
  <rfmt sheetId="4" sqref="K17" start="0" length="0">
    <dxf>
      <fill>
        <patternFill>
          <bgColor rgb="FFFFFFFF"/>
        </patternFill>
      </fill>
    </dxf>
  </rfmt>
  <rfmt sheetId="4" sqref="H21" start="0" length="0">
    <dxf>
      <fill>
        <patternFill>
          <bgColor rgb="FFFFFFFF"/>
        </patternFill>
      </fill>
    </dxf>
  </rfmt>
  <rfmt sheetId="4" sqref="I21" start="0" length="0">
    <dxf>
      <fill>
        <patternFill>
          <bgColor rgb="FFFFFFFF"/>
        </patternFill>
      </fill>
    </dxf>
  </rfmt>
  <rfmt sheetId="4" sqref="J21" start="0" length="0">
    <dxf>
      <fill>
        <patternFill>
          <bgColor rgb="FFFFFFFF"/>
        </patternFill>
      </fill>
    </dxf>
  </rfmt>
  <rfmt sheetId="4" sqref="K21" start="0" length="0">
    <dxf>
      <fill>
        <patternFill>
          <bgColor rgb="FFFFFFFF"/>
        </patternFill>
      </fill>
    </dxf>
  </rfmt>
  <rfmt sheetId="4" sqref="H22" start="0" length="0">
    <dxf>
      <fill>
        <patternFill>
          <bgColor rgb="FFFFFFFF"/>
        </patternFill>
      </fill>
    </dxf>
  </rfmt>
  <rfmt sheetId="4" sqref="I22" start="0" length="0">
    <dxf>
      <fill>
        <patternFill>
          <bgColor rgb="FFFFFFFF"/>
        </patternFill>
      </fill>
    </dxf>
  </rfmt>
  <rfmt sheetId="4" sqref="J22" start="0" length="0">
    <dxf>
      <fill>
        <patternFill>
          <bgColor rgb="FFFFFFFF"/>
        </patternFill>
      </fill>
    </dxf>
  </rfmt>
  <rfmt sheetId="4" sqref="K22" start="0" length="0">
    <dxf>
      <fill>
        <patternFill>
          <bgColor rgb="FFFFFFFF"/>
        </patternFill>
      </fill>
    </dxf>
  </rfmt>
  <rfmt sheetId="4" sqref="J23" start="0" length="0">
    <dxf>
      <fill>
        <patternFill>
          <bgColor rgb="FFFFFFFF"/>
        </patternFill>
      </fill>
    </dxf>
  </rfmt>
  <rfmt sheetId="4" sqref="J24" start="0" length="0">
    <dxf>
      <fill>
        <patternFill>
          <bgColor rgb="FFFFFFFF"/>
        </patternFill>
      </fill>
    </dxf>
  </rfmt>
  <rfmt sheetId="4" sqref="H25" start="0" length="0">
    <dxf>
      <fill>
        <patternFill>
          <bgColor rgb="FFFFFFFF"/>
        </patternFill>
      </fill>
    </dxf>
  </rfmt>
  <rfmt sheetId="4" sqref="I25" start="0" length="0">
    <dxf>
      <fill>
        <patternFill>
          <bgColor rgb="FFFFFFFF"/>
        </patternFill>
      </fill>
    </dxf>
  </rfmt>
  <rfmt sheetId="4" sqref="J25" start="0" length="0">
    <dxf>
      <fill>
        <patternFill>
          <bgColor rgb="FFFFFFFF"/>
        </patternFill>
      </fill>
    </dxf>
  </rfmt>
  <rfmt sheetId="4" sqref="K25" start="0" length="0">
    <dxf>
      <fill>
        <patternFill>
          <bgColor rgb="FFFFFFFF"/>
        </patternFill>
      </fill>
    </dxf>
  </rfmt>
  <rfmt sheetId="4" sqref="H26" start="0" length="0">
    <dxf>
      <fill>
        <patternFill>
          <bgColor rgb="FFFFFFFF"/>
        </patternFill>
      </fill>
    </dxf>
  </rfmt>
  <rfmt sheetId="4" sqref="H27" start="0" length="0">
    <dxf>
      <fill>
        <patternFill>
          <bgColor rgb="FFFFFFFF"/>
        </patternFill>
      </fill>
    </dxf>
  </rfmt>
  <rfmt sheetId="4" sqref="I27" start="0" length="0">
    <dxf>
      <fill>
        <patternFill>
          <bgColor rgb="FFFFFFFF"/>
        </patternFill>
      </fill>
    </dxf>
  </rfmt>
  <rfmt sheetId="4" sqref="J27" start="0" length="0">
    <dxf>
      <fill>
        <patternFill>
          <bgColor rgb="FFFFFFFF"/>
        </patternFill>
      </fill>
    </dxf>
  </rfmt>
  <rfmt sheetId="4" sqref="K27" start="0" length="0">
    <dxf>
      <fill>
        <patternFill>
          <bgColor rgb="FFFFFFFF"/>
        </patternFill>
      </fill>
    </dxf>
  </rfmt>
  <rfmt sheetId="4" sqref="I28" start="0" length="0">
    <dxf>
      <fill>
        <patternFill>
          <bgColor rgb="FFFFFFFF"/>
        </patternFill>
      </fill>
    </dxf>
  </rfmt>
  <rfmt sheetId="4" sqref="J28" start="0" length="0">
    <dxf>
      <fill>
        <patternFill>
          <bgColor rgb="FFFFFFFF"/>
        </patternFill>
      </fill>
    </dxf>
  </rfmt>
  <rfmt sheetId="4" sqref="J29" start="0" length="0">
    <dxf>
      <fill>
        <patternFill>
          <bgColor rgb="FFFFFFFF"/>
        </patternFill>
      </fill>
    </dxf>
  </rfmt>
  <rfmt sheetId="4" sqref="I30" start="0" length="0">
    <dxf>
      <fill>
        <patternFill>
          <bgColor rgb="FFFFFFFF"/>
        </patternFill>
      </fill>
    </dxf>
  </rfmt>
  <rfmt sheetId="4" sqref="J30" start="0" length="0">
    <dxf>
      <fill>
        <patternFill>
          <bgColor rgb="FFFFFFFF"/>
        </patternFill>
      </fill>
    </dxf>
  </rfmt>
  <rfmt sheetId="4" sqref="K30" start="0" length="0">
    <dxf>
      <fill>
        <patternFill>
          <bgColor rgb="FFFFFFFF"/>
        </patternFill>
      </fill>
    </dxf>
  </rfmt>
  <rfmt sheetId="4" sqref="H31" start="0" length="0">
    <dxf>
      <fill>
        <patternFill>
          <bgColor rgb="FFFFFFFF"/>
        </patternFill>
      </fill>
    </dxf>
  </rfmt>
  <rfmt sheetId="4" sqref="J31" start="0" length="0">
    <dxf>
      <fill>
        <patternFill>
          <bgColor rgb="FFFFFFFF"/>
        </patternFill>
      </fill>
    </dxf>
  </rfmt>
  <rfmt sheetId="4" sqref="K31" start="0" length="0">
    <dxf>
      <fill>
        <patternFill>
          <bgColor rgb="FFFFFFFF"/>
        </patternFill>
      </fill>
    </dxf>
  </rfmt>
  <rfmt sheetId="4" sqref="I32" start="0" length="0">
    <dxf>
      <fill>
        <patternFill>
          <bgColor rgb="FFFFFFFF"/>
        </patternFill>
      </fill>
    </dxf>
  </rfmt>
  <rfmt sheetId="4" sqref="J32" start="0" length="0">
    <dxf>
      <fill>
        <patternFill>
          <bgColor rgb="FFFFFFFF"/>
        </patternFill>
      </fill>
    </dxf>
  </rfmt>
  <rfmt sheetId="4" sqref="J33" start="0" length="0">
    <dxf>
      <fill>
        <patternFill>
          <bgColor rgb="FFFFFFFF"/>
        </patternFill>
      </fill>
    </dxf>
  </rfmt>
  <rfmt sheetId="4" sqref="H17" start="0" length="0">
    <dxf>
      <fill>
        <patternFill>
          <bgColor rgb="FFC6EFCE"/>
        </patternFill>
      </fill>
    </dxf>
  </rfmt>
  <rfmt sheetId="4" sqref="K17" start="0" length="0">
    <dxf>
      <fill>
        <patternFill>
          <bgColor rgb="FFCCFFCC"/>
        </patternFill>
      </fill>
    </dxf>
  </rfmt>
  <rfmt sheetId="4" sqref="K17" start="0" length="0">
    <dxf>
      <fill>
        <patternFill>
          <bgColor rgb="FFC6EFCE"/>
        </patternFill>
      </fill>
    </dxf>
  </rfmt>
  <rfmt sheetId="4" sqref="J18" start="0" length="0">
    <dxf>
      <fill>
        <patternFill>
          <bgColor rgb="FFC6EFCE"/>
        </patternFill>
      </fill>
    </dxf>
  </rfmt>
  <rfmt sheetId="4" sqref="J19" start="0" length="0">
    <dxf>
      <fill>
        <patternFill>
          <bgColor rgb="FFC6EFCE"/>
        </patternFill>
      </fill>
    </dxf>
  </rfmt>
  <rfmt sheetId="4" sqref="J20" start="0" length="0">
    <dxf>
      <fill>
        <patternFill>
          <bgColor rgb="FFC6EFCE"/>
        </patternFill>
      </fill>
    </dxf>
  </rfmt>
  <rfmt sheetId="4" sqref="H21" start="0" length="0">
    <dxf>
      <fill>
        <patternFill>
          <bgColor rgb="FFCCFFCC"/>
        </patternFill>
      </fill>
    </dxf>
  </rfmt>
  <rfmt sheetId="4" sqref="H21" start="0" length="0">
    <dxf>
      <fill>
        <patternFill>
          <bgColor rgb="FFC6EFCE"/>
        </patternFill>
      </fill>
    </dxf>
  </rfmt>
  <rfmt sheetId="4" sqref="I21" start="0" length="0">
    <dxf>
      <fill>
        <patternFill>
          <bgColor rgb="FFC6EFCE"/>
        </patternFill>
      </fill>
    </dxf>
  </rfmt>
  <rfmt sheetId="4" sqref="J21" start="0" length="0">
    <dxf>
      <fill>
        <patternFill>
          <bgColor rgb="FFC6EFCE"/>
        </patternFill>
      </fill>
    </dxf>
  </rfmt>
  <rfmt sheetId="4" sqref="K21" start="0" length="0">
    <dxf>
      <fill>
        <patternFill>
          <bgColor rgb="FFCCFFCC"/>
        </patternFill>
      </fill>
    </dxf>
  </rfmt>
  <rfmt sheetId="4" sqref="K21" start="0" length="0">
    <dxf>
      <fill>
        <patternFill>
          <bgColor rgb="FFC6EFCE"/>
        </patternFill>
      </fill>
    </dxf>
  </rfmt>
  <rfmt sheetId="4" sqref="H22" start="0" length="0">
    <dxf>
      <fill>
        <patternFill>
          <bgColor rgb="FFCCFFCC"/>
        </patternFill>
      </fill>
    </dxf>
  </rfmt>
  <rfmt sheetId="4" sqref="H22" start="0" length="0">
    <dxf>
      <fill>
        <patternFill>
          <bgColor rgb="FFC6EFCE"/>
        </patternFill>
      </fill>
    </dxf>
  </rfmt>
  <rfmt sheetId="4" sqref="I22" start="0" length="0">
    <dxf>
      <fill>
        <patternFill>
          <bgColor rgb="FFCCFFCC"/>
        </patternFill>
      </fill>
    </dxf>
  </rfmt>
  <rfmt sheetId="4" sqref="I22" start="0" length="0">
    <dxf>
      <fill>
        <patternFill>
          <bgColor rgb="FFC6EFCE"/>
        </patternFill>
      </fill>
    </dxf>
  </rfmt>
  <rfmt sheetId="4" sqref="J22" start="0" length="0">
    <dxf>
      <fill>
        <patternFill>
          <bgColor rgb="FFC6EFCE"/>
        </patternFill>
      </fill>
    </dxf>
  </rfmt>
  <rfmt sheetId="4" sqref="K22" start="0" length="0">
    <dxf>
      <fill>
        <patternFill>
          <bgColor rgb="FFC6EFCE"/>
        </patternFill>
      </fill>
    </dxf>
  </rfmt>
  <rfmt sheetId="4" sqref="J23" start="0" length="0">
    <dxf>
      <fill>
        <patternFill>
          <bgColor rgb="FFCCFFCC"/>
        </patternFill>
      </fill>
    </dxf>
  </rfmt>
  <rfmt sheetId="4" sqref="J23" start="0" length="0">
    <dxf>
      <fill>
        <patternFill>
          <bgColor rgb="FFC6EFCE"/>
        </patternFill>
      </fill>
    </dxf>
  </rfmt>
  <rfmt sheetId="4" sqref="J24" start="0" length="0">
    <dxf>
      <fill>
        <patternFill>
          <bgColor rgb="FFCCFFCC"/>
        </patternFill>
      </fill>
    </dxf>
  </rfmt>
  <rfmt sheetId="4" sqref="H25" start="0" length="0">
    <dxf>
      <fill>
        <patternFill>
          <bgColor rgb="FFCCFFCC"/>
        </patternFill>
      </fill>
    </dxf>
  </rfmt>
  <rfmt sheetId="4" sqref="H25" start="0" length="0">
    <dxf>
      <fill>
        <patternFill>
          <bgColor rgb="FFC6EFCE"/>
        </patternFill>
      </fill>
    </dxf>
  </rfmt>
  <rfmt sheetId="4" sqref="I25" start="0" length="0">
    <dxf>
      <fill>
        <patternFill>
          <bgColor rgb="FFCCFFCC"/>
        </patternFill>
      </fill>
    </dxf>
  </rfmt>
  <rfmt sheetId="4" sqref="J25" start="0" length="0">
    <dxf>
      <fill>
        <patternFill>
          <bgColor rgb="FFCCFFCC"/>
        </patternFill>
      </fill>
    </dxf>
  </rfmt>
  <rfmt sheetId="4" sqref="J25" start="0" length="0">
    <dxf>
      <fill>
        <patternFill>
          <bgColor rgb="FFC6EFCE"/>
        </patternFill>
      </fill>
    </dxf>
  </rfmt>
  <rfmt sheetId="4" sqref="K25" start="0" length="0">
    <dxf>
      <fill>
        <patternFill>
          <bgColor rgb="FFCCFFCC"/>
        </patternFill>
      </fill>
    </dxf>
  </rfmt>
  <rfmt sheetId="4" sqref="H26" start="0" length="0">
    <dxf>
      <fill>
        <patternFill>
          <bgColor rgb="FFCCFFCC"/>
        </patternFill>
      </fill>
    </dxf>
  </rfmt>
  <rfmt sheetId="4" sqref="H26" start="0" length="0">
    <dxf>
      <fill>
        <patternFill>
          <bgColor rgb="FFC6EFCE"/>
        </patternFill>
      </fill>
    </dxf>
  </rfmt>
  <rfmt sheetId="4" sqref="H27" start="0" length="0">
    <dxf>
      <fill>
        <patternFill>
          <bgColor rgb="FFCCFFCC"/>
        </patternFill>
      </fill>
    </dxf>
  </rfmt>
  <rfmt sheetId="4" sqref="H27" start="0" length="0">
    <dxf>
      <fill>
        <patternFill>
          <bgColor rgb="FFC6EFCE"/>
        </patternFill>
      </fill>
    </dxf>
  </rfmt>
  <rfmt sheetId="4" sqref="I27" start="0" length="0">
    <dxf>
      <fill>
        <patternFill>
          <bgColor rgb="FFCCFFCC"/>
        </patternFill>
      </fill>
    </dxf>
  </rfmt>
  <rfmt sheetId="4" sqref="I27" start="0" length="0">
    <dxf>
      <fill>
        <patternFill>
          <bgColor rgb="FFC6EFCE"/>
        </patternFill>
      </fill>
    </dxf>
  </rfmt>
  <rfmt sheetId="4" sqref="J27" start="0" length="0">
    <dxf>
      <fill>
        <patternFill>
          <bgColor rgb="FFCCFFCC"/>
        </patternFill>
      </fill>
    </dxf>
  </rfmt>
  <rfmt sheetId="4" sqref="K27" start="0" length="0">
    <dxf>
      <fill>
        <patternFill>
          <bgColor rgb="FFC6EFCE"/>
        </patternFill>
      </fill>
    </dxf>
  </rfmt>
  <rfmt sheetId="4" sqref="I28" start="0" length="0">
    <dxf>
      <fill>
        <patternFill>
          <bgColor rgb="FFC6EFCE"/>
        </patternFill>
      </fill>
    </dxf>
  </rfmt>
  <rfmt sheetId="4" sqref="J28" start="0" length="0">
    <dxf>
      <fill>
        <patternFill>
          <bgColor rgb="FFCCFFCC"/>
        </patternFill>
      </fill>
    </dxf>
  </rfmt>
  <rfmt sheetId="4" sqref="J29" start="0" length="0">
    <dxf>
      <fill>
        <patternFill>
          <bgColor rgb="FFCCFFCC"/>
        </patternFill>
      </fill>
    </dxf>
  </rfmt>
  <rfmt sheetId="4" sqref="J29" start="0" length="0">
    <dxf>
      <fill>
        <patternFill>
          <bgColor rgb="FFC6EFCE"/>
        </patternFill>
      </fill>
    </dxf>
  </rfmt>
  <rfmt sheetId="4" sqref="H30" start="0" length="0">
    <dxf>
      <fill>
        <patternFill>
          <bgColor rgb="FFC6EFCE"/>
        </patternFill>
      </fill>
    </dxf>
  </rfmt>
  <rfmt sheetId="4" sqref="I30" start="0" length="0">
    <dxf>
      <fill>
        <patternFill>
          <bgColor rgb="FFCCFFCC"/>
        </patternFill>
      </fill>
    </dxf>
  </rfmt>
  <rfmt sheetId="4" sqref="J30" start="0" length="0">
    <dxf>
      <fill>
        <patternFill>
          <bgColor rgb="FFCCFFCC"/>
        </patternFill>
      </fill>
    </dxf>
  </rfmt>
  <rfmt sheetId="4" sqref="J30" start="0" length="0">
    <dxf>
      <fill>
        <patternFill>
          <bgColor rgb="FFC6EFCE"/>
        </patternFill>
      </fill>
    </dxf>
  </rfmt>
  <rfmt sheetId="4" sqref="K30" start="0" length="0">
    <dxf>
      <fill>
        <patternFill>
          <bgColor rgb="FFCCFFCC"/>
        </patternFill>
      </fill>
    </dxf>
  </rfmt>
  <rfmt sheetId="4" sqref="K30" start="0" length="0">
    <dxf>
      <fill>
        <patternFill>
          <bgColor rgb="FFC6EFCE"/>
        </patternFill>
      </fill>
    </dxf>
  </rfmt>
  <rfmt sheetId="4" sqref="H31" start="0" length="0">
    <dxf>
      <fill>
        <patternFill>
          <bgColor rgb="FFC6EFCE"/>
        </patternFill>
      </fill>
    </dxf>
  </rfmt>
  <rfmt sheetId="4" sqref="I31" start="0" length="0">
    <dxf>
      <fill>
        <patternFill>
          <bgColor rgb="FFC6EFCE"/>
        </patternFill>
      </fill>
    </dxf>
  </rfmt>
  <rfmt sheetId="4" sqref="J31" start="0" length="0">
    <dxf>
      <fill>
        <patternFill>
          <bgColor rgb="FFC6EFCE"/>
        </patternFill>
      </fill>
    </dxf>
  </rfmt>
  <rfmt sheetId="4" sqref="K31" start="0" length="0">
    <dxf>
      <fill>
        <patternFill>
          <bgColor rgb="FFCCFFCC"/>
        </patternFill>
      </fill>
    </dxf>
  </rfmt>
  <rfmt sheetId="4" sqref="H32" start="0" length="0">
    <dxf>
      <fill>
        <patternFill>
          <bgColor rgb="FFC6EFCE"/>
        </patternFill>
      </fill>
    </dxf>
  </rfmt>
  <rfmt sheetId="4" sqref="I32" start="0" length="0">
    <dxf>
      <fill>
        <patternFill>
          <bgColor rgb="FFCCFFCC"/>
        </patternFill>
      </fill>
    </dxf>
  </rfmt>
  <rfmt sheetId="4" sqref="I32" start="0" length="0">
    <dxf>
      <fill>
        <patternFill>
          <bgColor rgb="FFC6EFCE"/>
        </patternFill>
      </fill>
    </dxf>
  </rfmt>
  <rfmt sheetId="4" sqref="J32" start="0" length="0">
    <dxf>
      <fill>
        <patternFill>
          <bgColor rgb="FFCCFFCC"/>
        </patternFill>
      </fill>
    </dxf>
  </rfmt>
  <rcc rId="10367" sId="3">
    <oc r="E5" t="inlineStr">
      <is>
        <t>1, 3, 5, 2, 4, 6, 7, 9, 11, 8, 10, 12, 16, 13, 14, 36, 40, 41, 46, 49, 53</t>
      </is>
    </oc>
    <nc r="E5" t="inlineStr">
      <is>
        <t>1, 3, 5, 2, 4, 6, 9, 11, 8, 10, 16, 36, 40, 53</t>
      </is>
    </nc>
  </rcc>
  <rfmt sheetId="4" sqref="J33" start="0" length="0">
    <dxf>
      <fill>
        <patternFill>
          <bgColor rgb="FFCCFFCC"/>
        </patternFill>
      </fill>
    </dxf>
  </rfmt>
  <rfmt sheetId="4" sqref="J33" start="0" length="0">
    <dxf>
      <fill>
        <patternFill>
          <bgColor rgb="FFC6EFCE"/>
        </patternFill>
      </fill>
    </dxf>
  </rfmt>
  <rcc rId="10368" sId="3" numFmtId="13">
    <oc r="E4">
      <v>0.60377358490566035</v>
    </oc>
    <nc r="E4">
      <v>0.73584905660377353</v>
    </nc>
  </rcc>
  <rcc rId="10369" sId="3" numFmtId="13">
    <oc r="E3">
      <v>0.20754716981132076</v>
    </oc>
    <nc r="E3">
      <v>0.15094339622641509</v>
    </nc>
  </rcc>
  <rfmt sheetId="4" sqref="N16" start="0" length="0">
    <dxf>
      <fill>
        <patternFill>
          <bgColor rgb="FFFFFFFF"/>
        </patternFill>
      </fill>
    </dxf>
  </rfmt>
  <rfmt sheetId="4" sqref="O16" start="0" length="0">
    <dxf>
      <fill>
        <patternFill>
          <bgColor rgb="FFFFFFFF"/>
        </patternFill>
      </fill>
    </dxf>
  </rfmt>
  <rfmt sheetId="4" sqref="P16" start="0" length="0">
    <dxf>
      <fill>
        <patternFill>
          <bgColor rgb="FFFFFFFF"/>
        </patternFill>
      </fill>
    </dxf>
  </rfmt>
  <rfmt sheetId="4" sqref="N17" start="0" length="0">
    <dxf>
      <fill>
        <patternFill>
          <bgColor rgb="FFFFFFFF"/>
        </patternFill>
      </fill>
    </dxf>
  </rfmt>
  <rfmt sheetId="4" sqref="O17" start="0" length="0">
    <dxf>
      <fill>
        <patternFill>
          <bgColor rgb="FFFFFFFF"/>
        </patternFill>
      </fill>
    </dxf>
  </rfmt>
  <rfmt sheetId="4" sqref="P17" start="0" length="0">
    <dxf>
      <fill>
        <patternFill>
          <bgColor rgb="FFFFFFFF"/>
        </patternFill>
      </fill>
    </dxf>
  </rfmt>
  <rfmt sheetId="4" sqref="N18" start="0" length="0">
    <dxf>
      <fill>
        <patternFill>
          <bgColor rgb="FFFFFFFF"/>
        </patternFill>
      </fill>
    </dxf>
  </rfmt>
  <rfmt sheetId="4" sqref="O18" start="0" length="0">
    <dxf>
      <fill>
        <patternFill>
          <bgColor rgb="FFFFFFFF"/>
        </patternFill>
      </fill>
    </dxf>
  </rfmt>
  <rfmt sheetId="4" sqref="P18" start="0" length="0">
    <dxf>
      <fill>
        <patternFill>
          <bgColor rgb="FFFFFFFF"/>
        </patternFill>
      </fill>
    </dxf>
  </rfmt>
  <rfmt sheetId="4" sqref="N19" start="0" length="0">
    <dxf>
      <fill>
        <patternFill>
          <bgColor rgb="FFFFFFFF"/>
        </patternFill>
      </fill>
    </dxf>
  </rfmt>
  <rfmt sheetId="4" sqref="O19" start="0" length="0">
    <dxf>
      <fill>
        <patternFill>
          <bgColor rgb="FFFFFFFF"/>
        </patternFill>
      </fill>
    </dxf>
  </rfmt>
  <rfmt sheetId="4" sqref="P19" start="0" length="0">
    <dxf>
      <fill>
        <patternFill>
          <bgColor rgb="FFFFFFFF"/>
        </patternFill>
      </fill>
    </dxf>
  </rfmt>
  <rfmt sheetId="4" sqref="P20" start="0" length="0">
    <dxf>
      <fill>
        <patternFill>
          <bgColor rgb="FFFFFFFF"/>
        </patternFill>
      </fill>
    </dxf>
  </rfmt>
  <rfmt sheetId="4" sqref="P21" start="0" length="0">
    <dxf>
      <fill>
        <patternFill>
          <bgColor rgb="FFFFFFFF"/>
        </patternFill>
      </fill>
    </dxf>
  </rfmt>
  <rfmt sheetId="4" sqref="N16" start="0" length="0">
    <dxf>
      <fill>
        <patternFill>
          <bgColor rgb="FFCCFFCC"/>
        </patternFill>
      </fill>
    </dxf>
  </rfmt>
  <rfmt sheetId="4" sqref="N16" start="0" length="0">
    <dxf>
      <fill>
        <patternFill>
          <bgColor rgb="FFC6EFCE"/>
        </patternFill>
      </fill>
    </dxf>
  </rfmt>
  <rfmt sheetId="4" sqref="O16" start="0" length="0">
    <dxf>
      <fill>
        <patternFill>
          <bgColor rgb="FFCCFFCC"/>
        </patternFill>
      </fill>
    </dxf>
  </rfmt>
  <rfmt sheetId="4" sqref="O16" start="0" length="0">
    <dxf>
      <fill>
        <patternFill>
          <bgColor rgb="FFC6EFCE"/>
        </patternFill>
      </fill>
    </dxf>
  </rfmt>
  <rfmt sheetId="4" sqref="P16" start="0" length="0">
    <dxf>
      <fill>
        <patternFill>
          <bgColor rgb="FFCCFFCC"/>
        </patternFill>
      </fill>
    </dxf>
  </rfmt>
  <rfmt sheetId="4" sqref="P16" start="0" length="0">
    <dxf>
      <fill>
        <patternFill>
          <bgColor rgb="FFC6EFCE"/>
        </patternFill>
      </fill>
    </dxf>
  </rfmt>
  <rfmt sheetId="4" sqref="N17" start="0" length="0">
    <dxf>
      <fill>
        <patternFill>
          <bgColor rgb="FFCCFFCC"/>
        </patternFill>
      </fill>
    </dxf>
  </rfmt>
  <rfmt sheetId="4" sqref="N17" start="0" length="0">
    <dxf>
      <fill>
        <patternFill>
          <bgColor rgb="FFC6EFCE"/>
        </patternFill>
      </fill>
    </dxf>
  </rfmt>
  <rfmt sheetId="4" sqref="O17" start="0" length="0">
    <dxf>
      <fill>
        <patternFill>
          <bgColor rgb="FFCCFFCC"/>
        </patternFill>
      </fill>
    </dxf>
  </rfmt>
  <rfmt sheetId="4" sqref="P17" start="0" length="0">
    <dxf>
      <fill>
        <patternFill>
          <bgColor rgb="FFCCFFCC"/>
        </patternFill>
      </fill>
    </dxf>
  </rfmt>
  <rfmt sheetId="4" sqref="P17" start="0" length="0">
    <dxf>
      <fill>
        <patternFill>
          <bgColor rgb="FFC6EFCE"/>
        </patternFill>
      </fill>
    </dxf>
  </rfmt>
  <rfmt sheetId="4" sqref="N18" start="0" length="0">
    <dxf>
      <fill>
        <patternFill>
          <bgColor rgb="FFCCFFCC"/>
        </patternFill>
      </fill>
    </dxf>
  </rfmt>
  <rfmt sheetId="4" sqref="N18" start="0" length="0">
    <dxf>
      <fill>
        <patternFill>
          <bgColor rgb="FFC6EFCE"/>
        </patternFill>
      </fill>
    </dxf>
  </rfmt>
  <rfmt sheetId="4" sqref="O18" start="0" length="0">
    <dxf>
      <fill>
        <patternFill>
          <bgColor rgb="FFCCFFCC"/>
        </patternFill>
      </fill>
    </dxf>
  </rfmt>
  <rfmt sheetId="4" sqref="O18" start="0" length="0">
    <dxf>
      <fill>
        <patternFill>
          <bgColor rgb="FFC6EFCE"/>
        </patternFill>
      </fill>
    </dxf>
  </rfmt>
  <rfmt sheetId="4" sqref="P18" start="0" length="0">
    <dxf>
      <fill>
        <patternFill>
          <bgColor rgb="FFCCFFCC"/>
        </patternFill>
      </fill>
    </dxf>
  </rfmt>
  <rfmt sheetId="4" sqref="P18" start="0" length="0">
    <dxf>
      <fill>
        <patternFill>
          <bgColor rgb="FFC6EFCE"/>
        </patternFill>
      </fill>
    </dxf>
  </rfmt>
  <rfmt sheetId="4" sqref="N19" start="0" length="0">
    <dxf>
      <fill>
        <patternFill>
          <bgColor rgb="FFCCFFCC"/>
        </patternFill>
      </fill>
    </dxf>
  </rfmt>
  <rfmt sheetId="4" sqref="N19" start="0" length="0">
    <dxf>
      <fill>
        <patternFill>
          <bgColor rgb="FFC6EFCE"/>
        </patternFill>
      </fill>
    </dxf>
  </rfmt>
  <rfmt sheetId="4" sqref="O19" start="0" length="0">
    <dxf>
      <fill>
        <patternFill>
          <bgColor rgb="FFCCFFCC"/>
        </patternFill>
      </fill>
    </dxf>
  </rfmt>
  <rfmt sheetId="4" sqref="O19" start="0" length="0">
    <dxf>
      <fill>
        <patternFill>
          <bgColor rgb="FFC6EFCE"/>
        </patternFill>
      </fill>
    </dxf>
  </rfmt>
  <rfmt sheetId="4" sqref="P19" start="0" length="0">
    <dxf>
      <fill>
        <patternFill>
          <bgColor rgb="FFCCFFCC"/>
        </patternFill>
      </fill>
    </dxf>
  </rfmt>
  <rfmt sheetId="4" sqref="P19" start="0" length="0">
    <dxf>
      <fill>
        <patternFill>
          <bgColor rgb="FFC6EFCE"/>
        </patternFill>
      </fill>
    </dxf>
  </rfmt>
  <rfmt sheetId="4" sqref="P20" start="0" length="0">
    <dxf>
      <fill>
        <patternFill>
          <bgColor rgb="FFCCFFCC"/>
        </patternFill>
      </fill>
    </dxf>
  </rfmt>
  <rfmt sheetId="4" sqref="P20" start="0" length="0">
    <dxf>
      <fill>
        <patternFill>
          <bgColor rgb="FFC6EFCE"/>
        </patternFill>
      </fill>
    </dxf>
  </rfmt>
  <rfmt sheetId="4" sqref="P21" start="0" length="0">
    <dxf>
      <fill>
        <patternFill>
          <bgColor rgb="FFCCFFCC"/>
        </patternFill>
      </fill>
    </dxf>
  </rfmt>
  <rfmt sheetId="4" sqref="P21" start="0" length="0">
    <dxf>
      <fill>
        <patternFill>
          <bgColor rgb="FFC6EFCE"/>
        </patternFill>
      </fill>
    </dxf>
  </rfmt>
  <rcc rId="10370" sId="3" numFmtId="13">
    <oc r="F3">
      <v>0.21428571428571427</v>
    </oc>
    <nc r="F3">
      <v>7.1428571428571425E-2</v>
    </nc>
  </rcc>
  <rfmt sheetId="4" sqref="N32" start="0" length="0">
    <dxf>
      <fill>
        <patternFill>
          <bgColor rgb="FFFFFFFF"/>
        </patternFill>
      </fill>
    </dxf>
  </rfmt>
  <rfmt sheetId="4" sqref="O32" start="0" length="0">
    <dxf>
      <fill>
        <patternFill>
          <bgColor rgb="FFFFFFFF"/>
        </patternFill>
      </fill>
    </dxf>
  </rfmt>
  <rfmt sheetId="4" sqref="P32" start="0" length="0">
    <dxf>
      <fill>
        <patternFill>
          <bgColor rgb="FFFFFFFF"/>
        </patternFill>
      </fill>
    </dxf>
  </rfmt>
  <rfmt sheetId="4" sqref="Q32" start="0" length="0">
    <dxf>
      <fill>
        <patternFill>
          <bgColor rgb="FFFFFFFF"/>
        </patternFill>
      </fill>
    </dxf>
  </rfmt>
  <rfmt sheetId="4" sqref="R32" start="0" length="0">
    <dxf>
      <fill>
        <patternFill>
          <bgColor rgb="FFFFFFFF"/>
        </patternFill>
      </fill>
    </dxf>
  </rfmt>
  <rfmt sheetId="4" sqref="S32" start="0" length="0">
    <dxf>
      <fill>
        <patternFill>
          <bgColor rgb="FFFFFFFF"/>
        </patternFill>
      </fill>
    </dxf>
  </rfmt>
  <rfmt sheetId="4" sqref="T32" start="0" length="0">
    <dxf>
      <fill>
        <patternFill>
          <bgColor rgb="FFFFFFFF"/>
        </patternFill>
      </fill>
    </dxf>
  </rfmt>
  <rfmt sheetId="4" sqref="U32" start="0" length="0">
    <dxf>
      <fill>
        <patternFill>
          <bgColor rgb="FFFFFFFF"/>
        </patternFill>
      </fill>
    </dxf>
  </rfmt>
  <rfmt sheetId="4" sqref="N33" start="0" length="0">
    <dxf>
      <fill>
        <patternFill>
          <bgColor rgb="FFFFFFFF"/>
        </patternFill>
      </fill>
    </dxf>
  </rfmt>
  <rfmt sheetId="4" sqref="O33" start="0" length="0">
    <dxf>
      <fill>
        <patternFill>
          <bgColor rgb="FFFFFFFF"/>
        </patternFill>
      </fill>
    </dxf>
  </rfmt>
  <rfmt sheetId="4" sqref="P33" start="0" length="0">
    <dxf>
      <fill>
        <patternFill>
          <bgColor rgb="FFFFFFFF"/>
        </patternFill>
      </fill>
    </dxf>
  </rfmt>
  <rfmt sheetId="4" sqref="Q33" start="0" length="0">
    <dxf>
      <fill>
        <patternFill>
          <bgColor rgb="FFFFFFFF"/>
        </patternFill>
      </fill>
    </dxf>
  </rfmt>
  <rfmt sheetId="4" sqref="N34" start="0" length="0">
    <dxf>
      <fill>
        <patternFill>
          <bgColor rgb="FFFFFFFF"/>
        </patternFill>
      </fill>
    </dxf>
  </rfmt>
  <rfmt sheetId="4" sqref="O34" start="0" length="0">
    <dxf>
      <fill>
        <patternFill>
          <bgColor rgb="FFFFFFFF"/>
        </patternFill>
      </fill>
    </dxf>
  </rfmt>
  <rfmt sheetId="4" sqref="R34" start="0" length="0">
    <dxf>
      <fill>
        <patternFill>
          <bgColor rgb="FFFFFFFF"/>
        </patternFill>
      </fill>
    </dxf>
  </rfmt>
  <rfmt sheetId="4" sqref="S34" start="0" length="0">
    <dxf>
      <fill>
        <patternFill>
          <bgColor rgb="FFFFFFFF"/>
        </patternFill>
      </fill>
    </dxf>
  </rfmt>
  <rfmt sheetId="4" sqref="U34" start="0" length="0">
    <dxf>
      <fill>
        <patternFill>
          <bgColor rgb="FFFFFFFF"/>
        </patternFill>
      </fill>
    </dxf>
  </rfmt>
  <rfmt sheetId="4" sqref="N35" start="0" length="0">
    <dxf>
      <fill>
        <patternFill>
          <bgColor rgb="FFFFFFFF"/>
        </patternFill>
      </fill>
    </dxf>
  </rfmt>
  <rfmt sheetId="4" sqref="O35" start="0" length="0">
    <dxf>
      <fill>
        <patternFill>
          <bgColor rgb="FFFFFFFF"/>
        </patternFill>
      </fill>
    </dxf>
  </rfmt>
  <rfmt sheetId="4" sqref="N36" start="0" length="0">
    <dxf>
      <fill>
        <patternFill>
          <bgColor rgb="FFFFFFFF"/>
        </patternFill>
      </fill>
    </dxf>
  </rfmt>
  <rfmt sheetId="4" sqref="O36" start="0" length="0">
    <dxf>
      <fill>
        <patternFill>
          <bgColor rgb="FFFFFFFF"/>
        </patternFill>
      </fill>
    </dxf>
  </rfmt>
  <rfmt sheetId="4" sqref="P36" start="0" length="0">
    <dxf>
      <fill>
        <patternFill>
          <bgColor rgb="FFFFFFFF"/>
        </patternFill>
      </fill>
    </dxf>
  </rfmt>
  <rfmt sheetId="4" sqref="Q36" start="0" length="0">
    <dxf>
      <fill>
        <patternFill>
          <bgColor rgb="FFFFFFFF"/>
        </patternFill>
      </fill>
    </dxf>
  </rfmt>
  <rfmt sheetId="4" sqref="R36" start="0" length="0">
    <dxf>
      <fill>
        <patternFill>
          <bgColor rgb="FFFFFFFF"/>
        </patternFill>
      </fill>
    </dxf>
  </rfmt>
  <rfmt sheetId="4" sqref="S36" start="0" length="0">
    <dxf>
      <fill>
        <patternFill>
          <bgColor rgb="FFFFFFFF"/>
        </patternFill>
      </fill>
    </dxf>
  </rfmt>
  <rfmt sheetId="4" sqref="T36" start="0" length="0">
    <dxf>
      <fill>
        <patternFill>
          <bgColor rgb="FFFFFFFF"/>
        </patternFill>
      </fill>
    </dxf>
  </rfmt>
  <rfmt sheetId="4" sqref="U36" start="0" length="0">
    <dxf>
      <fill>
        <patternFill>
          <bgColor rgb="FFFFFFFF"/>
        </patternFill>
      </fill>
    </dxf>
  </rfmt>
  <rfmt sheetId="4" sqref="N37" start="0" length="0">
    <dxf>
      <fill>
        <patternFill>
          <bgColor rgb="FFFFFFFF"/>
        </patternFill>
      </fill>
    </dxf>
  </rfmt>
  <rfmt sheetId="4" sqref="O37" start="0" length="0">
    <dxf>
      <fill>
        <patternFill>
          <bgColor rgb="FFFFFFFF"/>
        </patternFill>
      </fill>
    </dxf>
  </rfmt>
  <rfmt sheetId="4" sqref="P37" start="0" length="0">
    <dxf>
      <fill>
        <patternFill>
          <bgColor rgb="FFFFFFFF"/>
        </patternFill>
      </fill>
    </dxf>
  </rfmt>
  <rfmt sheetId="4" sqref="Q37" start="0" length="0">
    <dxf>
      <fill>
        <patternFill>
          <bgColor rgb="FFFFFFFF"/>
        </patternFill>
      </fill>
    </dxf>
  </rfmt>
  <rfmt sheetId="4" sqref="N38" start="0" length="0">
    <dxf>
      <fill>
        <patternFill>
          <bgColor rgb="FFFFFFFF"/>
        </patternFill>
      </fill>
    </dxf>
  </rfmt>
  <rfmt sheetId="4" sqref="O38" start="0" length="0">
    <dxf>
      <fill>
        <patternFill>
          <bgColor rgb="FFFFFFFF"/>
        </patternFill>
      </fill>
    </dxf>
  </rfmt>
  <rfmt sheetId="4" sqref="R38" start="0" length="0">
    <dxf>
      <fill>
        <patternFill>
          <bgColor rgb="FFFFFFFF"/>
        </patternFill>
      </fill>
    </dxf>
  </rfmt>
  <rfmt sheetId="4" sqref="S38" start="0" length="0">
    <dxf>
      <fill>
        <patternFill>
          <bgColor rgb="FFFFFFFF"/>
        </patternFill>
      </fill>
    </dxf>
  </rfmt>
  <rfmt sheetId="4" sqref="N39" start="0" length="0">
    <dxf>
      <fill>
        <patternFill>
          <bgColor rgb="FFFFFFFF"/>
        </patternFill>
      </fill>
    </dxf>
  </rfmt>
  <rfmt sheetId="4" sqref="O39" start="0" length="0">
    <dxf>
      <fill>
        <patternFill>
          <bgColor rgb="FFFFFFFF"/>
        </patternFill>
      </fill>
    </dxf>
  </rfmt>
  <rfmt sheetId="4" sqref="N36" start="0" length="0">
    <dxf>
      <fill>
        <patternFill>
          <bgColor rgb="FFCCFFCC"/>
        </patternFill>
      </fill>
    </dxf>
  </rfmt>
  <rfmt sheetId="4" sqref="P36" start="0" length="0">
    <dxf>
      <fill>
        <patternFill>
          <bgColor rgb="FFCCFFCC"/>
        </patternFill>
      </fill>
    </dxf>
  </rfmt>
  <rfmt sheetId="4" sqref="U32" start="0" length="0">
    <dxf>
      <fill>
        <patternFill>
          <bgColor rgb="FFCCFFCC"/>
        </patternFill>
      </fill>
    </dxf>
  </rfmt>
  <rfmt sheetId="4" sqref="Q32" start="0" length="0">
    <dxf>
      <fill>
        <patternFill>
          <bgColor rgb="FFCCFFCC"/>
        </patternFill>
      </fill>
    </dxf>
  </rfmt>
  <rfmt sheetId="4" sqref="N33" start="0" length="0">
    <dxf>
      <fill>
        <patternFill>
          <bgColor rgb="FFCCFFCC"/>
        </patternFill>
      </fill>
    </dxf>
  </rfmt>
  <rfmt sheetId="4" sqref="O33" start="0" length="0">
    <dxf>
      <fill>
        <patternFill>
          <bgColor rgb="FFCCFFCC"/>
        </patternFill>
      </fill>
    </dxf>
  </rfmt>
  <rfmt sheetId="4" sqref="S38" start="0" length="0">
    <dxf>
      <fill>
        <patternFill>
          <bgColor rgb="FFCCFFCC"/>
        </patternFill>
      </fill>
    </dxf>
  </rfmt>
  <rfmt sheetId="4" sqref="O38" start="0" length="0">
    <dxf>
      <fill>
        <patternFill>
          <bgColor rgb="FFCCFFCC"/>
        </patternFill>
      </fill>
    </dxf>
  </rfmt>
  <rfmt sheetId="4" sqref="S32" start="0" length="0">
    <dxf>
      <fill>
        <patternFill>
          <bgColor rgb="FFCCFFCC"/>
        </patternFill>
      </fill>
    </dxf>
  </rfmt>
  <rfmt sheetId="4" sqref="O32" start="0" length="0">
    <dxf>
      <fill>
        <patternFill>
          <bgColor rgb="FFCCFFCC"/>
        </patternFill>
      </fill>
    </dxf>
  </rfmt>
  <rfmt sheetId="4" sqref="S34" start="0" length="0">
    <dxf>
      <fill>
        <patternFill>
          <bgColor rgb="FFCCFFCC"/>
        </patternFill>
      </fill>
    </dxf>
  </rfmt>
  <rfmt sheetId="4" sqref="O34" start="0" length="0">
    <dxf>
      <fill>
        <patternFill>
          <bgColor rgb="FFCCFFCC"/>
        </patternFill>
      </fill>
    </dxf>
  </rfmt>
  <rfmt sheetId="4" sqref="S36" start="0" length="0">
    <dxf>
      <fill>
        <patternFill>
          <bgColor rgb="FFCCFFCC"/>
        </patternFill>
      </fill>
    </dxf>
  </rfmt>
  <rfmt sheetId="4" sqref="O36" start="0" length="0">
    <dxf>
      <fill>
        <patternFill>
          <bgColor rgb="FFCCFFCC"/>
        </patternFill>
      </fill>
    </dxf>
  </rfmt>
  <rfmt sheetId="4" sqref="P37" start="0" length="0">
    <dxf>
      <fill>
        <patternFill>
          <bgColor rgb="FFCCFFCC"/>
        </patternFill>
      </fill>
    </dxf>
  </rfmt>
  <rfmt sheetId="4" sqref="Q37" start="0" length="0">
    <dxf>
      <fill>
        <patternFill>
          <bgColor rgb="FFCCFFCC"/>
        </patternFill>
      </fill>
    </dxf>
  </rfmt>
  <rfmt sheetId="4" sqref="N37" start="0" length="0">
    <dxf>
      <fill>
        <patternFill>
          <bgColor rgb="FFCCFFCC"/>
        </patternFill>
      </fill>
    </dxf>
  </rfmt>
  <rfmt sheetId="4" sqref="O37" start="0" length="0">
    <dxf>
      <fill>
        <patternFill>
          <bgColor rgb="FFCCFFCC"/>
        </patternFill>
      </fill>
    </dxf>
  </rfmt>
  <rfmt sheetId="4" sqref="U34" start="0" length="0">
    <dxf>
      <fill>
        <patternFill>
          <bgColor rgb="FFCCFFCC"/>
        </patternFill>
      </fill>
    </dxf>
  </rfmt>
  <rfmt sheetId="4" sqref="P33" start="0" length="0">
    <dxf>
      <fill>
        <patternFill>
          <bgColor rgb="FFCCFFCC"/>
        </patternFill>
      </fill>
    </dxf>
  </rfmt>
  <rfmt sheetId="4" sqref="Q33" start="0" length="0">
    <dxf>
      <fill>
        <patternFill>
          <bgColor rgb="FFCCFFCC"/>
        </patternFill>
      </fill>
    </dxf>
  </rfmt>
  <rfmt sheetId="4" sqref="R38" start="0" length="0">
    <dxf>
      <fill>
        <patternFill>
          <bgColor rgb="FFCCFFCC"/>
        </patternFill>
      </fill>
    </dxf>
  </rfmt>
  <rfmt sheetId="4" sqref="N38" start="0" length="0">
    <dxf>
      <fill>
        <patternFill>
          <bgColor rgb="FFCCFFCC"/>
        </patternFill>
      </fill>
    </dxf>
  </rfmt>
  <rfmt sheetId="4" sqref="T36" start="0" length="0">
    <dxf>
      <fill>
        <patternFill>
          <bgColor rgb="FFCCFFCC"/>
        </patternFill>
      </fill>
    </dxf>
  </rfmt>
  <rfmt sheetId="4" sqref="R36" start="0" length="0">
    <dxf>
      <fill>
        <patternFill>
          <bgColor rgb="FFCCFFCC"/>
        </patternFill>
      </fill>
    </dxf>
  </rfmt>
  <rfmt sheetId="4" sqref="U36" start="0" length="0">
    <dxf>
      <fill>
        <patternFill>
          <bgColor rgb="FFCCFFCC"/>
        </patternFill>
      </fill>
    </dxf>
  </rfmt>
  <rfmt sheetId="4" sqref="Q36" start="0" length="0">
    <dxf>
      <fill>
        <patternFill>
          <bgColor rgb="FFCCFFCC"/>
        </patternFill>
      </fill>
    </dxf>
  </rfmt>
  <rfmt sheetId="4" sqref="N35" start="0" length="0">
    <dxf>
      <fill>
        <patternFill>
          <bgColor rgb="FFCCFFCC"/>
        </patternFill>
      </fill>
    </dxf>
  </rfmt>
  <rfmt sheetId="4" sqref="O35" start="0" length="0">
    <dxf>
      <fill>
        <patternFill>
          <bgColor rgb="FFCCFFCC"/>
        </patternFill>
      </fill>
    </dxf>
  </rfmt>
  <rfmt sheetId="4" sqref="N39" start="0" length="0">
    <dxf>
      <fill>
        <patternFill>
          <bgColor rgb="FFCCFFCC"/>
        </patternFill>
      </fill>
    </dxf>
  </rfmt>
  <rfmt sheetId="4" sqref="O39" start="0" length="0">
    <dxf>
      <fill>
        <patternFill>
          <bgColor rgb="FFCCFFCC"/>
        </patternFill>
      </fill>
    </dxf>
  </rfmt>
  <rfmt sheetId="4" sqref="T32" start="0" length="0">
    <dxf>
      <fill>
        <patternFill>
          <bgColor rgb="FFCCFFCC"/>
        </patternFill>
      </fill>
    </dxf>
  </rfmt>
  <rfmt sheetId="4" sqref="P32" start="0" length="0">
    <dxf>
      <fill>
        <patternFill>
          <bgColor rgb="FFCCFFCC"/>
        </patternFill>
      </fill>
    </dxf>
  </rfmt>
  <rfmt sheetId="4" sqref="N32" start="0" length="0">
    <dxf>
      <fill>
        <patternFill>
          <bgColor rgb="FFCCFFCC"/>
        </patternFill>
      </fill>
    </dxf>
  </rfmt>
  <rfmt sheetId="4" sqref="R34" start="0" length="0">
    <dxf>
      <fill>
        <patternFill>
          <bgColor rgb="FFCCFFCC"/>
        </patternFill>
      </fill>
    </dxf>
  </rfmt>
  <rfmt sheetId="4" sqref="N34" start="0" length="0">
    <dxf>
      <fill>
        <patternFill>
          <bgColor rgb="FFCCFFCC"/>
        </patternFill>
      </fill>
    </dxf>
  </rfmt>
  <rfmt sheetId="4" sqref="R32" start="0" length="0">
    <dxf>
      <fill>
        <patternFill>
          <bgColor rgb="FFCCFFCC"/>
        </patternFill>
      </fill>
    </dxf>
  </rfmt>
  <rcc rId="10371" sId="3">
    <oc r="G5" t="inlineStr">
      <is>
        <t>7, 10, 12, 27, 28, 37, 30, 19, 20, 22, 24, 33, 34, 36</t>
      </is>
    </oc>
    <nc r="G5" t="inlineStr">
      <is>
        <t>10, 12, 27, 28, 37, 30, 19, 20, 22, 24, 33, 34, 36</t>
      </is>
    </nc>
  </rcc>
  <rcc rId="10372" sId="3" numFmtId="13">
    <oc r="G4">
      <v>0.6216216216216216</v>
    </oc>
    <nc r="G4">
      <v>0.64864864864864868</v>
    </nc>
  </rcc>
  <rcc rId="10373" sId="3" numFmtId="13">
    <oc r="G3">
      <v>0.27027027027027029</v>
    </oc>
    <nc r="G3">
      <v>0.13513513513513514</v>
    </nc>
  </rcc>
  <rcc rId="10374" sId="3" numFmtId="13">
    <oc r="H3">
      <v>0.29729729729729731</v>
    </oc>
    <nc r="H3">
      <v>0.1891891891891892</v>
    </nc>
  </rcc>
  <rcc rId="10375" sId="3">
    <oc r="I5" t="inlineStr">
      <is>
        <t>2, 4, 10, 12, 25, 26, 37, 30, 19, 15, 22, 32, 35</t>
      </is>
    </oc>
    <nc r="I5" t="inlineStr">
      <is>
        <t>4, 10, 12, 37, 30, 19, 15, 22, 32, 35</t>
      </is>
    </nc>
  </rcc>
  <rcc rId="10376" sId="3" numFmtId="13">
    <oc r="I4">
      <v>0.64864864864864868</v>
    </oc>
    <nc r="I4">
      <v>0.72972972972972971</v>
    </nc>
  </rcc>
  <rcc rId="10377" sId="3" numFmtId="13">
    <oc r="I3">
      <v>0.35135135135135137</v>
    </oc>
    <nc r="I3">
      <v>0.27027027027027029</v>
    </nc>
  </rcc>
  <rcc rId="10378" sId="3">
    <oc r="J5" t="inlineStr">
      <is>
        <t>7, 2, 4, 9, 27, 28, 25, 37, 19, 15, 34, 32, 35</t>
      </is>
    </oc>
    <nc r="J5" t="inlineStr">
      <is>
        <t>7, 4, 9, 28, 37, 19, 15, 34, 32, 35</t>
      </is>
    </nc>
  </rcc>
  <rcc rId="10379" sId="3" numFmtId="13">
    <oc r="J4">
      <v>0.64864864864864868</v>
    </oc>
    <nc r="J4">
      <v>0.72972972972972971</v>
    </nc>
  </rcc>
  <rcc rId="10380" sId="3" numFmtId="13">
    <oc r="J3">
      <v>0.32432432432432434</v>
    </oc>
    <nc r="J3">
      <v>0.29729729729729731</v>
    </nc>
  </rcc>
  <rcc rId="10381" sId="3">
    <oc r="K5" t="inlineStr">
      <is>
        <t>6, 8, 3, 4, 9, 11, 27, 28, 25, 37, 29, 19, 13, 15, 16, 21, 23, 34, 31, 32, 35, 36</t>
      </is>
    </oc>
    <nc r="K5" t="inlineStr">
      <is>
        <t>6, 8, 3, 9, 11, 27, 28, 37, 29, 19, 13, 15, 16, 21, 23, 34, 31, 32, 35, 36</t>
      </is>
    </nc>
  </rcc>
  <rcc rId="10382" sId="3" numFmtId="13">
    <oc r="K4">
      <v>0.40540540540540543</v>
    </oc>
    <nc r="K4">
      <v>0.45945945945945948</v>
    </nc>
  </rcc>
  <rcc rId="10383" sId="3">
    <oc r="L5" t="inlineStr">
      <is>
        <t>6, 8, 1, 3, 4, 9, 11, 27, 28, 25, 37, 29, 17, 19, 13, 15, 16, 21, 23, 34, 31, 32, 35, 36</t>
      </is>
    </oc>
    <nc r="L5" t="inlineStr">
      <is>
        <t>6, 8, 1, 3, 9, 11, 27, 28, 37, 29, 17, 19, 13, 15, 16, 21, 23, 34, 31, 32, 35, 36</t>
      </is>
    </nc>
  </rcc>
  <rcc rId="10384" sId="3" numFmtId="13">
    <oc r="L4">
      <v>0.35135135135135137</v>
    </oc>
    <nc r="L4">
      <v>0.40540540540540543</v>
    </nc>
  </rcc>
  <rcc rId="10385" sId="3">
    <oc r="M5" t="inlineStr">
      <is>
        <t>5, 6, 8, 1, 3, 4, 9, 10, 11, 27, 28, 25, 26, 37, 29, 17, 19, 13, 15, 16, 21, 23, 34, 31, 32, 35, 36</t>
      </is>
    </oc>
    <nc r="M5" t="inlineStr">
      <is>
        <t>5, 6, 8, 1, 3, 9, 10, 11, 27, 28, 25, 26, 37, 29, 17, 19, 13, 15, 16, 21, 23, 34, 31, 32, 35, 36</t>
      </is>
    </nc>
  </rcc>
  <rcc rId="10386" sId="3" numFmtId="13">
    <oc r="M4">
      <v>0.27027027027027029</v>
    </oc>
    <nc r="M4">
      <v>0.29729729729729731</v>
    </nc>
  </rcc>
  <rcc rId="10387" sId="3">
    <oc r="N5" t="inlineStr">
      <is>
        <t>5, 6, 8, 1, 3, 4, 9, 10, 11, 27, 28, 25, 26, 37, 29, 17, 19, 13, 15, 16, 21, 23, 34, 31, 32, 35, 36</t>
      </is>
    </oc>
    <nc r="N5" t="inlineStr">
      <is>
        <t>5, 6, 8, 1, 3, 9, 10, 11, 27, 28, 25, 26, 37, 29, 17, 19, 13, 15, 16, 21, 23, 34, 31, 32, 35, 36</t>
      </is>
    </nc>
  </rcc>
  <rcc rId="10388" sId="3" numFmtId="13">
    <oc r="N4">
      <v>0.27027027027027029</v>
    </oc>
    <nc r="N4">
      <v>0.29729729729729731</v>
    </nc>
  </rcc>
  <rfmt sheetId="4" sqref="Q5" start="0" length="0">
    <dxf>
      <fill>
        <patternFill>
          <bgColor rgb="FFFFFFFF"/>
        </patternFill>
      </fill>
    </dxf>
  </rfmt>
  <rfmt sheetId="4" sqref="R6" start="0" length="0">
    <dxf>
      <fill>
        <patternFill>
          <bgColor rgb="FFFFFFFF"/>
        </patternFill>
      </fill>
    </dxf>
  </rfmt>
  <rfmt sheetId="4" sqref="S6" start="0" length="0">
    <dxf>
      <fill>
        <patternFill>
          <bgColor rgb="FFFFFFFF"/>
        </patternFill>
      </fill>
    </dxf>
  </rfmt>
  <rfmt sheetId="4" sqref="T6" start="0" length="0">
    <dxf>
      <fill>
        <patternFill>
          <bgColor rgb="FFFFFFFF"/>
        </patternFill>
      </fill>
    </dxf>
  </rfmt>
  <rfmt sheetId="4" sqref="Q7" start="0" length="0">
    <dxf>
      <fill>
        <patternFill>
          <bgColor rgb="FFFFFFFF"/>
        </patternFill>
      </fill>
    </dxf>
  </rfmt>
  <rfmt sheetId="4" sqref="R7" start="0" length="0">
    <dxf>
      <fill>
        <patternFill>
          <bgColor rgb="FFFFFFFF"/>
        </patternFill>
      </fill>
    </dxf>
  </rfmt>
  <rfmt sheetId="4" sqref="S7" start="0" length="0">
    <dxf>
      <fill>
        <patternFill>
          <bgColor rgb="FFFFFFFF"/>
        </patternFill>
      </fill>
    </dxf>
  </rfmt>
  <rfmt sheetId="4" sqref="T7" start="0" length="0">
    <dxf>
      <fill>
        <patternFill>
          <bgColor rgb="FFFFFFFF"/>
        </patternFill>
      </fill>
    </dxf>
  </rfmt>
  <rfmt sheetId="4" sqref="Q5" start="0" length="0">
    <dxf>
      <fill>
        <patternFill>
          <bgColor rgb="FFCCFFCC"/>
        </patternFill>
      </fill>
    </dxf>
  </rfmt>
  <rfmt sheetId="4" sqref="R6" start="0" length="0">
    <dxf>
      <fill>
        <patternFill>
          <bgColor rgb="FFCCFFCC"/>
        </patternFill>
      </fill>
    </dxf>
  </rfmt>
  <rfmt sheetId="4" sqref="R6" start="0" length="0">
    <dxf>
      <fill>
        <patternFill>
          <bgColor rgb="FFC6EFCE"/>
        </patternFill>
      </fill>
    </dxf>
  </rfmt>
  <rfmt sheetId="4" sqref="S6" start="0" length="0">
    <dxf>
      <fill>
        <patternFill>
          <bgColor rgb="FFCCFFCC"/>
        </patternFill>
      </fill>
    </dxf>
  </rfmt>
  <rfmt sheetId="4" sqref="T6" start="0" length="0">
    <dxf>
      <fill>
        <patternFill>
          <bgColor rgb="FFCCFFCC"/>
        </patternFill>
      </fill>
    </dxf>
  </rfmt>
  <rfmt sheetId="4" sqref="Q7" start="0" length="0">
    <dxf>
      <fill>
        <patternFill>
          <bgColor rgb="FFCCFFCC"/>
        </patternFill>
      </fill>
    </dxf>
  </rfmt>
  <rfmt sheetId="4" sqref="Q7" start="0" length="0">
    <dxf>
      <fill>
        <patternFill>
          <bgColor rgb="FFC6EFCE"/>
        </patternFill>
      </fill>
    </dxf>
  </rfmt>
  <rfmt sheetId="4" sqref="R7" start="0" length="0">
    <dxf>
      <fill>
        <patternFill>
          <bgColor rgb="FFCCFFCC"/>
        </patternFill>
      </fill>
    </dxf>
  </rfmt>
  <rfmt sheetId="4" sqref="S7" start="0" length="0">
    <dxf>
      <fill>
        <patternFill>
          <bgColor rgb="FFCCFFCC"/>
        </patternFill>
      </fill>
    </dxf>
  </rfmt>
  <rfmt sheetId="4" sqref="T7" start="0" length="0">
    <dxf>
      <fill>
        <patternFill>
          <bgColor rgb="FFCCFFCC"/>
        </patternFill>
      </fill>
    </dxf>
  </rfmt>
  <rfmt sheetId="4" sqref="R10" start="0" length="0">
    <dxf>
      <fill>
        <patternFill>
          <bgColor rgb="FFFFFFFF"/>
        </patternFill>
      </fill>
    </dxf>
  </rfmt>
  <rfmt sheetId="4" sqref="Q11" start="0" length="0">
    <dxf>
      <fill>
        <patternFill>
          <bgColor rgb="FFFFFFFF"/>
        </patternFill>
      </fill>
    </dxf>
  </rfmt>
  <rfmt sheetId="4" sqref="Q12" start="0" length="0">
    <dxf>
      <fill>
        <patternFill>
          <bgColor rgb="FFFFFFFF"/>
        </patternFill>
      </fill>
    </dxf>
  </rfmt>
  <rfmt sheetId="4" sqref="R12" start="0" length="0">
    <dxf>
      <fill>
        <patternFill>
          <bgColor rgb="FFFFFFFF"/>
        </patternFill>
      </fill>
    </dxf>
  </rfmt>
  <rfmt sheetId="4" sqref="S12" start="0" length="0">
    <dxf>
      <fill>
        <patternFill>
          <bgColor rgb="FFFFFFFF"/>
        </patternFill>
      </fill>
    </dxf>
  </rfmt>
  <rfmt sheetId="4" sqref="Q13" start="0" length="0">
    <dxf>
      <fill>
        <patternFill>
          <bgColor rgb="FFFFFFFF"/>
        </patternFill>
      </fill>
    </dxf>
  </rfmt>
  <rfmt sheetId="4" sqref="R10" start="0" length="0">
    <dxf>
      <fill>
        <patternFill>
          <bgColor rgb="FFCCFFCC"/>
        </patternFill>
      </fill>
    </dxf>
  </rfmt>
  <rfmt sheetId="4" sqref="R10" start="0" length="0">
    <dxf>
      <fill>
        <patternFill>
          <bgColor rgb="FFC6EFCE"/>
        </patternFill>
      </fill>
    </dxf>
  </rfmt>
  <rfmt sheetId="4" sqref="Q11" start="0" length="0">
    <dxf>
      <fill>
        <patternFill>
          <bgColor rgb="FFCCFFCC"/>
        </patternFill>
      </fill>
    </dxf>
  </rfmt>
  <rfmt sheetId="4" sqref="Q12" start="0" length="0">
    <dxf>
      <fill>
        <patternFill>
          <bgColor rgb="FFCCFFCC"/>
        </patternFill>
      </fill>
    </dxf>
  </rfmt>
  <rfmt sheetId="4" sqref="Q12" start="0" length="0">
    <dxf>
      <fill>
        <patternFill>
          <bgColor rgb="FFC6EFCE"/>
        </patternFill>
      </fill>
    </dxf>
  </rfmt>
  <rfmt sheetId="4" sqref="R12" start="0" length="0">
    <dxf>
      <fill>
        <patternFill>
          <bgColor rgb="FFCCFFCC"/>
        </patternFill>
      </fill>
    </dxf>
  </rfmt>
  <rfmt sheetId="4" sqref="R12" start="0" length="0">
    <dxf>
      <fill>
        <patternFill>
          <bgColor rgb="FFC6EFCE"/>
        </patternFill>
      </fill>
    </dxf>
  </rfmt>
  <rfmt sheetId="4" sqref="S12" start="0" length="0">
    <dxf>
      <fill>
        <patternFill>
          <bgColor rgb="FFCCFFCC"/>
        </patternFill>
      </fill>
    </dxf>
  </rfmt>
  <rfmt sheetId="4" sqref="S12" start="0" length="0">
    <dxf>
      <fill>
        <patternFill>
          <bgColor rgb="FFC6EFCE"/>
        </patternFill>
      </fill>
    </dxf>
  </rfmt>
  <rfmt sheetId="4" sqref="Q13" start="0" length="0">
    <dxf>
      <fill>
        <patternFill>
          <bgColor rgb="FFCCFFCC"/>
        </patternFill>
      </fill>
    </dxf>
  </rfmt>
  <rfmt sheetId="4" sqref="Q13" start="0" length="0">
    <dxf>
      <fill>
        <patternFill>
          <bgColor rgb="FFC6EFCE"/>
        </patternFill>
      </fill>
    </dxf>
  </rfmt>
  <rcc rId="10389" sId="3" numFmtId="13">
    <oc r="P3">
      <v>0.2857142857142857</v>
    </oc>
    <nc r="P3">
      <v>0.14285714285714285</v>
    </nc>
  </rcc>
  <rfmt sheetId="4" sqref="V18" start="0" length="0">
    <dxf>
      <fill>
        <patternFill>
          <bgColor rgb="FFFFFFFF"/>
        </patternFill>
      </fill>
    </dxf>
  </rfmt>
  <rfmt sheetId="4" sqref="V19" start="0" length="0">
    <dxf>
      <fill>
        <patternFill>
          <bgColor rgb="FFFFFFFF"/>
        </patternFill>
      </fill>
    </dxf>
  </rfmt>
  <rfmt sheetId="4" sqref="V20" start="0" length="0">
    <dxf>
      <fill>
        <patternFill>
          <bgColor rgb="FFFFFFFF"/>
        </patternFill>
      </fill>
    </dxf>
  </rfmt>
  <rfmt sheetId="4" sqref="V21" start="0" length="0">
    <dxf>
      <fill>
        <patternFill>
          <bgColor rgb="FFFFFFFF"/>
        </patternFill>
      </fill>
    </dxf>
  </rfmt>
  <rfmt sheetId="4" sqref="V18" start="0" length="0">
    <dxf>
      <fill>
        <patternFill>
          <bgColor rgb="FFCCFFCC"/>
        </patternFill>
      </fill>
    </dxf>
  </rfmt>
  <rfmt sheetId="4" sqref="V18" start="0" length="0">
    <dxf>
      <fill>
        <patternFill>
          <bgColor rgb="FFC6EFCE"/>
        </patternFill>
      </fill>
    </dxf>
  </rfmt>
  <rfmt sheetId="4" sqref="V19" start="0" length="0">
    <dxf>
      <fill>
        <patternFill>
          <bgColor rgb="FFCCFFCC"/>
        </patternFill>
      </fill>
    </dxf>
  </rfmt>
  <rfmt sheetId="4" sqref="V19" start="0" length="0">
    <dxf>
      <fill>
        <patternFill>
          <bgColor rgb="FFC6EFCE"/>
        </patternFill>
      </fill>
    </dxf>
  </rfmt>
  <rfmt sheetId="4" sqref="V20" start="0" length="0">
    <dxf>
      <fill>
        <patternFill>
          <bgColor rgb="FFCCFFCC"/>
        </patternFill>
      </fill>
    </dxf>
  </rfmt>
  <rfmt sheetId="4" sqref="V20" start="0" length="0">
    <dxf>
      <fill>
        <patternFill>
          <bgColor rgb="FFC6EFCE"/>
        </patternFill>
      </fill>
    </dxf>
  </rfmt>
  <rfmt sheetId="4" sqref="V21" start="0" length="0">
    <dxf>
      <fill>
        <patternFill>
          <bgColor rgb="FFCCFFCC"/>
        </patternFill>
      </fill>
    </dxf>
  </rfmt>
  <rfmt sheetId="4" sqref="V21" start="0" length="0">
    <dxf>
      <fill>
        <patternFill>
          <bgColor rgb="FFC6EFCE"/>
        </patternFill>
      </fill>
    </dxf>
  </rfmt>
  <rfmt sheetId="4" sqref="N25" start="0" length="0">
    <dxf>
      <fill>
        <patternFill>
          <bgColor rgb="FFFFFFFF"/>
        </patternFill>
      </fill>
    </dxf>
  </rfmt>
  <rfmt sheetId="4" sqref="O25" start="0" length="0">
    <dxf>
      <fill>
        <patternFill>
          <bgColor rgb="FFFFFFFF"/>
        </patternFill>
      </fill>
    </dxf>
  </rfmt>
  <rfmt sheetId="4" sqref="P25" start="0" length="0">
    <dxf>
      <fill>
        <patternFill>
          <bgColor rgb="FFFFFFFF"/>
        </patternFill>
      </fill>
    </dxf>
  </rfmt>
  <rfmt sheetId="4" sqref="N26" start="0" length="0">
    <dxf>
      <fill>
        <patternFill>
          <bgColor rgb="FFFFFFFF"/>
        </patternFill>
      </fill>
    </dxf>
  </rfmt>
  <rfmt sheetId="4" sqref="O26" start="0" length="0">
    <dxf>
      <fill>
        <patternFill>
          <bgColor rgb="FFFFFFFF"/>
        </patternFill>
      </fill>
    </dxf>
  </rfmt>
  <rfmt sheetId="4" sqref="P26" start="0" length="0">
    <dxf>
      <fill>
        <patternFill>
          <bgColor rgb="FFFFFFFF"/>
        </patternFill>
      </fill>
    </dxf>
  </rfmt>
  <rfmt sheetId="4" sqref="S26" start="0" length="0">
    <dxf>
      <fill>
        <patternFill>
          <bgColor rgb="FFFFFFFF"/>
        </patternFill>
      </fill>
    </dxf>
  </rfmt>
  <rfmt sheetId="4" sqref="N27" start="0" length="0">
    <dxf>
      <fill>
        <patternFill>
          <bgColor rgb="FFFFFFFF"/>
        </patternFill>
      </fill>
    </dxf>
  </rfmt>
  <rfmt sheetId="4" sqref="N25" start="0" length="0">
    <dxf>
      <fill>
        <patternFill>
          <bgColor rgb="FFCCFFCC"/>
        </patternFill>
      </fill>
    </dxf>
  </rfmt>
  <rfmt sheetId="4" sqref="N25" start="0" length="0">
    <dxf>
      <fill>
        <patternFill>
          <bgColor rgb="FFC6EFCE"/>
        </patternFill>
      </fill>
    </dxf>
  </rfmt>
  <rfmt sheetId="4" sqref="O25" start="0" length="0">
    <dxf>
      <fill>
        <patternFill>
          <bgColor rgb="FFCCFFCC"/>
        </patternFill>
      </fill>
    </dxf>
  </rfmt>
  <rfmt sheetId="4" sqref="O25" start="0" length="0">
    <dxf>
      <fill>
        <patternFill>
          <bgColor rgb="FFC6EFCE"/>
        </patternFill>
      </fill>
    </dxf>
  </rfmt>
  <rfmt sheetId="4" sqref="P25" start="0" length="0">
    <dxf>
      <fill>
        <patternFill>
          <bgColor rgb="FFCCFFCC"/>
        </patternFill>
      </fill>
    </dxf>
  </rfmt>
  <rfmt sheetId="4" sqref="P25" start="0" length="0">
    <dxf>
      <fill>
        <patternFill>
          <bgColor rgb="FFC6EFCE"/>
        </patternFill>
      </fill>
    </dxf>
  </rfmt>
  <rfmt sheetId="4" sqref="N26" start="0" length="0">
    <dxf>
      <fill>
        <patternFill>
          <bgColor rgb="FFCCFFCC"/>
        </patternFill>
      </fill>
    </dxf>
  </rfmt>
  <rfmt sheetId="4" sqref="N26" start="0" length="0">
    <dxf>
      <fill>
        <patternFill>
          <bgColor rgb="FFC6EFCE"/>
        </patternFill>
      </fill>
    </dxf>
  </rfmt>
  <rfmt sheetId="4" sqref="O26" start="0" length="0">
    <dxf>
      <fill>
        <patternFill>
          <bgColor rgb="FFCCFFCC"/>
        </patternFill>
      </fill>
    </dxf>
  </rfmt>
  <rfmt sheetId="4" sqref="O26" start="0" length="0">
    <dxf>
      <fill>
        <patternFill>
          <bgColor rgb="FFC6EFCE"/>
        </patternFill>
      </fill>
    </dxf>
  </rfmt>
  <rfmt sheetId="4" sqref="P26" start="0" length="0">
    <dxf>
      <fill>
        <patternFill>
          <bgColor rgb="FFCCFFCC"/>
        </patternFill>
      </fill>
    </dxf>
  </rfmt>
  <rfmt sheetId="4" sqref="P26" start="0" length="0">
    <dxf>
      <fill>
        <patternFill>
          <bgColor rgb="FFC6EFCE"/>
        </patternFill>
      </fill>
    </dxf>
  </rfmt>
  <rfmt sheetId="4" sqref="S26" start="0" length="0">
    <dxf>
      <fill>
        <patternFill>
          <bgColor rgb="FFCCFFCC"/>
        </patternFill>
      </fill>
    </dxf>
  </rfmt>
  <rfmt sheetId="4" sqref="S26" start="0" length="0">
    <dxf>
      <fill>
        <patternFill>
          <bgColor rgb="FFC6EFCE"/>
        </patternFill>
      </fill>
    </dxf>
  </rfmt>
  <rfmt sheetId="4" sqref="N27" start="0" length="0">
    <dxf>
      <fill>
        <patternFill>
          <bgColor rgb="FFCCFFCC"/>
        </patternFill>
      </fill>
    </dxf>
  </rfmt>
  <rfmt sheetId="4" sqref="N27" start="0" length="0">
    <dxf>
      <fill>
        <patternFill>
          <bgColor rgb="FFC6EFCE"/>
        </patternFill>
      </fill>
    </dxf>
  </rfmt>
  <rfmt sheetId="4" sqref="V10" start="0" length="0">
    <dxf>
      <fill>
        <patternFill>
          <bgColor rgb="FFFFFFFF"/>
        </patternFill>
      </fill>
    </dxf>
  </rfmt>
  <rfmt sheetId="4" sqref="V11" start="0" length="0">
    <dxf>
      <fill>
        <patternFill>
          <bgColor rgb="FFFFFFFF"/>
        </patternFill>
      </fill>
    </dxf>
  </rfmt>
  <rfmt sheetId="4" sqref="V10" start="0" length="0">
    <dxf>
      <fill>
        <patternFill>
          <bgColor rgb="FFCCFFCC"/>
        </patternFill>
      </fill>
    </dxf>
  </rfmt>
  <rfmt sheetId="4" sqref="V10" start="0" length="0">
    <dxf>
      <fill>
        <patternFill>
          <bgColor rgb="FFC6EFCE"/>
        </patternFill>
      </fill>
    </dxf>
  </rfmt>
  <rfmt sheetId="4" sqref="V11" start="0" length="0">
    <dxf>
      <fill>
        <patternFill>
          <bgColor rgb="FFCCFFCC"/>
        </patternFill>
      </fill>
    </dxf>
  </rfmt>
  <rfmt sheetId="4" sqref="V11" start="0" length="0">
    <dxf>
      <fill>
        <patternFill>
          <bgColor rgb="FFC6EFCE"/>
        </patternFill>
      </fill>
    </dxf>
  </rfmt>
  <rfmt sheetId="4" sqref="V14" start="0" length="0">
    <dxf>
      <fill>
        <patternFill>
          <bgColor rgb="FFFFFFFF"/>
        </patternFill>
      </fill>
    </dxf>
  </rfmt>
  <rfmt sheetId="4" sqref="V15" start="0" length="0">
    <dxf>
      <fill>
        <patternFill>
          <bgColor rgb="FFFFFFFF"/>
        </patternFill>
      </fill>
    </dxf>
  </rfmt>
  <rfmt sheetId="4" sqref="V14" start="0" length="0">
    <dxf>
      <fill>
        <patternFill>
          <bgColor rgb="FFCCFFCC"/>
        </patternFill>
      </fill>
    </dxf>
  </rfmt>
  <rfmt sheetId="4" sqref="V14" start="0" length="0">
    <dxf>
      <fill>
        <patternFill>
          <bgColor rgb="FFC6EFCE"/>
        </patternFill>
      </fill>
    </dxf>
  </rfmt>
  <rfmt sheetId="4" sqref="V15" start="0" length="0">
    <dxf>
      <fill>
        <patternFill>
          <bgColor rgb="FFCCFFCC"/>
        </patternFill>
      </fill>
    </dxf>
  </rfmt>
  <rfmt sheetId="4" sqref="V15" start="0" length="0">
    <dxf>
      <fill>
        <patternFill>
          <bgColor rgb="FFC6EFCE"/>
        </patternFill>
      </fill>
    </dxf>
  </rfmt>
  <rfmt sheetId="4" sqref="H39" start="0" length="0">
    <dxf>
      <fill>
        <patternFill>
          <bgColor rgb="FFFFFFFF"/>
        </patternFill>
      </fill>
    </dxf>
  </rfmt>
  <rfmt sheetId="4" sqref="I39" start="0" length="0">
    <dxf>
      <fill>
        <patternFill>
          <bgColor rgb="FFFFFFFF"/>
        </patternFill>
      </fill>
    </dxf>
  </rfmt>
  <rfmt sheetId="4" sqref="J39" start="0" length="0">
    <dxf>
      <fill>
        <patternFill>
          <bgColor rgb="FFFFFFFF"/>
        </patternFill>
      </fill>
    </dxf>
  </rfmt>
  <rfmt sheetId="4" sqref="H39" start="0" length="0">
    <dxf>
      <fill>
        <patternFill>
          <bgColor rgb="FFCCFFCC"/>
        </patternFill>
      </fill>
    </dxf>
  </rfmt>
  <rfmt sheetId="4" sqref="H39" start="0" length="0">
    <dxf>
      <fill>
        <patternFill>
          <bgColor rgb="FFC6EFCE"/>
        </patternFill>
      </fill>
    </dxf>
  </rfmt>
  <rfmt sheetId="4" sqref="I39" start="0" length="0">
    <dxf>
      <fill>
        <patternFill>
          <bgColor rgb="FFCCFFCC"/>
        </patternFill>
      </fill>
    </dxf>
  </rfmt>
  <rfmt sheetId="4" sqref="I39" start="0" length="0">
    <dxf>
      <fill>
        <patternFill>
          <bgColor rgb="FFC6EFCE"/>
        </patternFill>
      </fill>
    </dxf>
  </rfmt>
  <rfmt sheetId="4" sqref="J39" start="0" length="0">
    <dxf>
      <fill>
        <patternFill>
          <bgColor rgb="FFCCFFCC"/>
        </patternFill>
      </fill>
    </dxf>
  </rfmt>
  <rfmt sheetId="4" sqref="J39" start="0" length="0">
    <dxf>
      <fill>
        <patternFill>
          <bgColor rgb="FFC6EFCE"/>
        </patternFill>
      </fill>
    </dxf>
  </rfmt>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A38" start="0" length="0">
    <dxf>
      <fill>
        <patternFill>
          <bgColor rgb="FFCCFFCC"/>
        </patternFill>
      </fill>
      <alignment horizontal="center" vertical="top" readingOrder="0"/>
      <border outline="0">
        <left style="medium">
          <color indexed="64"/>
        </left>
        <right style="thin">
          <color indexed="64"/>
        </right>
        <top style="thin">
          <color indexed="64"/>
        </top>
        <bottom style="thin">
          <color indexed="64"/>
        </bottom>
      </border>
    </dxf>
  </rfmt>
  <rcc rId="10390" sId="5" odxf="1" dxf="1">
    <nc r="B38">
      <f>C38 &amp;" ("&amp;D38&amp;")"</f>
    </nc>
    <odxf>
      <fill>
        <patternFill>
          <bgColor rgb="FFFFFFFF"/>
        </patternFill>
      </fill>
      <alignment horizontal="general" vertical="bottom" readingOrder="0"/>
      <border outline="0">
        <right/>
        <top/>
        <bottom/>
      </border>
    </odxf>
    <ndxf>
      <fill>
        <patternFill>
          <bgColor rgb="FFCCFFCC"/>
        </patternFill>
      </fill>
      <alignment horizontal="left" vertical="top" readingOrder="0"/>
      <border outline="0">
        <right style="thin">
          <color indexed="64"/>
        </right>
        <top style="thin">
          <color indexed="64"/>
        </top>
        <bottom style="thin">
          <color indexed="64"/>
        </bottom>
      </border>
    </ndxf>
  </rcc>
  <rcc rId="10391" sId="5" odxf="1" dxf="1">
    <nc r="C38" t="inlineStr">
      <is>
        <t>DVB-S2: QPSK</t>
      </is>
    </nc>
    <odxf>
      <fill>
        <patternFill>
          <bgColor rgb="FFFFFFFF"/>
        </patternFill>
      </fill>
      <border outline="0">
        <left/>
        <right/>
        <top/>
        <bottom/>
      </border>
    </odxf>
    <ndxf>
      <fill>
        <patternFill>
          <bgColor rgb="FFCCFFCC"/>
        </patternFill>
      </fill>
      <border outline="0">
        <left style="thin">
          <color indexed="64"/>
        </left>
        <right style="thin">
          <color indexed="64"/>
        </right>
        <top style="thin">
          <color indexed="64"/>
        </top>
        <bottom style="thin">
          <color indexed="64"/>
        </bottom>
      </border>
    </ndxf>
  </rcc>
  <rfmt sheetId="5" sqref="D38" start="0" length="0">
    <dxf>
      <font>
        <sz val="10"/>
        <color auto="1"/>
        <name val="Arial"/>
        <scheme val="none"/>
      </font>
      <fill>
        <patternFill>
          <bgColor rgb="FFCCFFCC"/>
        </patternFill>
      </fill>
      <border outline="0">
        <left style="thin">
          <color indexed="64"/>
        </left>
        <top style="thin">
          <color indexed="64"/>
        </top>
        <bottom style="thin">
          <color indexed="64"/>
        </bottom>
      </border>
    </dxf>
  </rfmt>
  <rfmt sheetId="5" sqref="E38" start="0" length="0">
    <dxf>
      <fill>
        <patternFill>
          <bgColor rgb="FFCCFFCC"/>
        </patternFill>
      </fill>
      <border outline="0">
        <left style="medium">
          <color indexed="64"/>
        </left>
        <right style="medium">
          <color indexed="64"/>
        </right>
        <top style="thin">
          <color indexed="64"/>
        </top>
        <bottom style="thin">
          <color indexed="64"/>
        </bottom>
      </border>
    </dxf>
  </rfmt>
  <rcc rId="10392" sId="5">
    <nc r="A38">
      <v>25</v>
    </nc>
  </rcc>
  <rcc rId="10393" sId="5">
    <nc r="D38" t="inlineStr">
      <is>
        <t>31.0 Msym : 9/10</t>
      </is>
    </nc>
  </rcc>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A39" start="0" length="0">
    <dxf>
      <fill>
        <patternFill patternType="solid">
          <bgColor rgb="FFCCFFCC"/>
        </patternFill>
      </fill>
      <alignment horizontal="center" vertical="top" readingOrder="0"/>
      <border outline="0">
        <left style="medium">
          <color indexed="64"/>
        </left>
        <right style="thin">
          <color indexed="64"/>
        </right>
        <top style="thin">
          <color indexed="64"/>
        </top>
        <bottom style="thin">
          <color indexed="64"/>
        </bottom>
      </border>
    </dxf>
  </rfmt>
  <rfmt sheetId="5" sqref="B39" start="0" length="0">
    <dxf>
      <fill>
        <patternFill patternType="solid">
          <bgColor rgb="FFCCFFCC"/>
        </patternFill>
      </fill>
      <alignment horizontal="left" vertical="top" readingOrder="0"/>
      <border outline="0">
        <right style="thin">
          <color indexed="64"/>
        </right>
        <top style="thin">
          <color indexed="64"/>
        </top>
        <bottom style="thin">
          <color indexed="64"/>
        </bottom>
      </border>
    </dxf>
  </rfmt>
  <rcc rId="10394" sId="5" odxf="1" dxf="1">
    <nc r="C39" t="inlineStr">
      <is>
        <t>DVB-S2: QPSK</t>
      </is>
    </nc>
    <odxf>
      <fill>
        <patternFill patternType="none">
          <bgColor indexed="65"/>
        </patternFill>
      </fill>
      <border outline="0">
        <left/>
        <right/>
        <top/>
        <bottom/>
      </border>
    </odxf>
    <ndxf>
      <fill>
        <patternFill patternType="solid">
          <bgColor rgb="FFCCFFCC"/>
        </patternFill>
      </fill>
      <border outline="0">
        <left style="thin">
          <color indexed="64"/>
        </left>
        <right style="thin">
          <color indexed="64"/>
        </right>
        <top style="thin">
          <color indexed="64"/>
        </top>
        <bottom style="thin">
          <color indexed="64"/>
        </bottom>
      </border>
    </ndxf>
  </rcc>
  <rfmt sheetId="5" sqref="D39" start="0" length="0">
    <dxf>
      <font>
        <sz val="10"/>
        <color auto="1"/>
        <name val="Arial"/>
        <scheme val="none"/>
      </font>
      <fill>
        <patternFill patternType="solid">
          <bgColor rgb="FFCCFFCC"/>
        </patternFill>
      </fill>
      <border outline="0">
        <left style="thin">
          <color indexed="64"/>
        </left>
        <top style="thin">
          <color indexed="64"/>
        </top>
        <bottom style="thin">
          <color indexed="64"/>
        </bottom>
      </border>
    </dxf>
  </rfmt>
  <rfmt sheetId="5" sqref="E39" start="0" length="0">
    <dxf>
      <fill>
        <patternFill patternType="solid">
          <bgColor rgb="FFCCFFCC"/>
        </patternFill>
      </fill>
      <border outline="0">
        <left style="medium">
          <color indexed="64"/>
        </left>
        <right style="medium">
          <color indexed="64"/>
        </right>
        <top style="thin">
          <color indexed="64"/>
        </top>
        <bottom style="thin">
          <color indexed="64"/>
        </bottom>
      </border>
    </dxf>
  </rfmt>
  <rfmt sheetId="5" sqref="F39" start="0" length="0">
    <dxf>
      <fill>
        <patternFill patternType="solid">
          <bgColor rgb="FFFFFFFF"/>
        </patternFill>
      </fill>
    </dxf>
  </rfmt>
  <rfmt sheetId="5" sqref="G39" start="0" length="0">
    <dxf>
      <fill>
        <patternFill patternType="solid">
          <bgColor rgb="FFFFFFFF"/>
        </patternFill>
      </fill>
    </dxf>
  </rfmt>
  <rfmt sheetId="5" sqref="H39" start="0" length="0">
    <dxf>
      <fill>
        <patternFill patternType="solid">
          <bgColor rgb="FFFFFFFF"/>
        </patternFill>
      </fill>
    </dxf>
  </rfmt>
  <rfmt sheetId="5" sqref="I39" start="0" length="0">
    <dxf>
      <fill>
        <patternFill patternType="solid">
          <bgColor rgb="FFFFFFFF"/>
        </patternFill>
      </fill>
    </dxf>
  </rfmt>
  <rcc rId="10395" sId="5">
    <nc r="A39">
      <v>26</v>
    </nc>
  </rcc>
  <rcc rId="10396" sId="5">
    <nc r="B39">
      <f>C39 &amp;" ("&amp;D39&amp;")"</f>
    </nc>
  </rcc>
  <rcc rId="10397" sId="5">
    <nc r="D39" t="inlineStr">
      <is>
        <t>31.3266 Msym : 9/10</t>
      </is>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7">
  <userInfo guid="{6133950C-AD93-4F66-94DA-17EB56166851}" name="Slava Abramov" id="-1249071131" dateTime="2014-02-20T09:53:54"/>
  <userInfo guid="{1C228C50-C767-47C2-B4E4-5F7E70071B5C}" name="jowvilla" id="-1965875382" dateTime="2014-02-26T10:39:28"/>
  <userInfo guid="{96CAB12E-F7A2-482B-BE6E-D8C34E96E959}" name="Slava Abramov" id="-1249108794" dateTime="2014-02-27T09:13:26"/>
  <userInfo guid="{156479B9-B29A-427B-AD03-6829FC3E90AF}" name="Slava Abramov" id="-1249061678" dateTime="2014-03-03T11:37:18"/>
  <userInfo guid="{CCC4F8A2-DE2A-4FE3-AA70-7230C0574DB3}" name="Slava Abramov" id="-1249068882" dateTime="2014-03-04T10:39:27"/>
  <userInfo guid="{FBAC1DE9-CF0E-4C3A-95A0-81552443D20F}" name="Slava Abramov" id="-1249055636" dateTime="2014-03-11T12:36:08"/>
  <userInfo guid="{FBAC1DE9-CF0E-4C3A-95A0-81552443D20F}" name="Slava Abramov" id="-1249053560" dateTime="2014-03-11T18:25:21"/>
  <userInfo guid="{FBAC1DE9-CF0E-4C3A-95A0-81552443D20F}" name="Slava Abramov" id="-1249101325" dateTime="2014-03-12T17:45:23"/>
  <userInfo guid="{21E42A52-13C1-419D-8155-AB5F6CD22E05}" name="Yao Sun -X (yaosu - HUNTECH CONTRACTS INC at Cisco)" id="-2099291727" dateTime="2014-04-09T11:53:20"/>
  <userInfo guid="{F6C12BB9-C33E-4385-B680-3E52B1958262}" name="sator-dsglab.gen" id="-656368711" dateTime="2014-04-25T20:09:48"/>
  <userInfo guid="{2816AC01-5652-4EC6-B9D4-CBA78DDF330E}" name="dparthip" id="-1688008020" dateTime="2014-05-05T14:58:51"/>
  <userInfo guid="{01C40603-D981-456F-B683-4413568FE5BD}" name="dparthip" id="-1688010480" dateTime="2014-05-12T16:47:41"/>
  <userInfo guid="{866EE33C-4660-49BD-9056-083EE69AD9C1}" name="dparthip" id="-1687947914" dateTime="2014-06-17T17:14:40"/>
  <userInfo guid="{72ED78B3-EF58-40E0-8083-91C900F7CFDE}" name="Slava Abramov" id="-1249093990" dateTime="2014-06-17T17:40:11"/>
  <userInfo guid="{72ED78B3-EF58-40E0-8083-91C900F7CFDE}" name="Slava Abramov" id="-1249059227" dateTime="2014-06-18T14:30:16"/>
  <userInfo guid="{72ED78B3-EF58-40E0-8083-91C900F7CFDE}" name="dparthip" id="-1688006557" dateTime="2014-06-18T15:59:40"/>
  <userInfo guid="{F38C543F-FC05-4A36-A71C-38F1F4B2CBA6}" name="Slava Abramov" id="-1249103465" dateTime="2014-06-19T14:26:14"/>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control" Target="../activeX/activeX2.xml"/><Relationship Id="rId3" Type="http://schemas.openxmlformats.org/officeDocument/2006/relationships/printerSettings" Target="../printerSettings/printerSettings3.bin"/><Relationship Id="rId21" Type="http://schemas.openxmlformats.org/officeDocument/2006/relationships/image" Target="../media/image3.emf"/><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image" Target="../media/image1.emf"/><Relationship Id="rId2" Type="http://schemas.openxmlformats.org/officeDocument/2006/relationships/printerSettings" Target="../printerSettings/printerSettings2.bin"/><Relationship Id="rId16" Type="http://schemas.openxmlformats.org/officeDocument/2006/relationships/control" Target="../activeX/activeX1.xml"/><Relationship Id="rId20"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image" Target="../media/image2.emf"/><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1.bin"/><Relationship Id="rId13" Type="http://schemas.openxmlformats.org/officeDocument/2006/relationships/printerSettings" Target="../printerSettings/printerSettings26.bin"/><Relationship Id="rId3" Type="http://schemas.openxmlformats.org/officeDocument/2006/relationships/printerSettings" Target="../printerSettings/printerSettings16.bin"/><Relationship Id="rId7" Type="http://schemas.openxmlformats.org/officeDocument/2006/relationships/printerSettings" Target="../printerSettings/printerSettings20.bin"/><Relationship Id="rId12" Type="http://schemas.openxmlformats.org/officeDocument/2006/relationships/printerSettings" Target="../printerSettings/printerSettings25.bin"/><Relationship Id="rId17" Type="http://schemas.openxmlformats.org/officeDocument/2006/relationships/image" Target="../media/image4.emf"/><Relationship Id="rId2" Type="http://schemas.openxmlformats.org/officeDocument/2006/relationships/printerSettings" Target="../printerSettings/printerSettings15.bin"/><Relationship Id="rId16" Type="http://schemas.openxmlformats.org/officeDocument/2006/relationships/control" Target="../activeX/activeX4.xml"/><Relationship Id="rId1" Type="http://schemas.openxmlformats.org/officeDocument/2006/relationships/printerSettings" Target="../printerSettings/printerSettings14.bin"/><Relationship Id="rId6" Type="http://schemas.openxmlformats.org/officeDocument/2006/relationships/printerSettings" Target="../printerSettings/printerSettings19.bin"/><Relationship Id="rId11" Type="http://schemas.openxmlformats.org/officeDocument/2006/relationships/printerSettings" Target="../printerSettings/printerSettings24.bin"/><Relationship Id="rId5" Type="http://schemas.openxmlformats.org/officeDocument/2006/relationships/printerSettings" Target="../printerSettings/printerSettings18.bin"/><Relationship Id="rId15" Type="http://schemas.openxmlformats.org/officeDocument/2006/relationships/vmlDrawing" Target="../drawings/vmlDrawing2.vml"/><Relationship Id="rId10" Type="http://schemas.openxmlformats.org/officeDocument/2006/relationships/printerSettings" Target="../printerSettings/printerSettings23.bin"/><Relationship Id="rId4" Type="http://schemas.openxmlformats.org/officeDocument/2006/relationships/printerSettings" Target="../printerSettings/printerSettings17.bin"/><Relationship Id="rId9" Type="http://schemas.openxmlformats.org/officeDocument/2006/relationships/printerSettings" Target="../printerSettings/printerSettings22.bin"/><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4.bin"/><Relationship Id="rId13" Type="http://schemas.openxmlformats.org/officeDocument/2006/relationships/vmlDrawing" Target="../drawings/vmlDrawing3.vml"/><Relationship Id="rId3" Type="http://schemas.openxmlformats.org/officeDocument/2006/relationships/printerSettings" Target="../printerSettings/printerSettings29.bin"/><Relationship Id="rId7" Type="http://schemas.openxmlformats.org/officeDocument/2006/relationships/printerSettings" Target="../printerSettings/printerSettings33.bin"/><Relationship Id="rId12" Type="http://schemas.openxmlformats.org/officeDocument/2006/relationships/drawing" Target="../drawings/drawing3.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11" Type="http://schemas.openxmlformats.org/officeDocument/2006/relationships/printerSettings" Target="../printerSettings/printerSettings37.bin"/><Relationship Id="rId5" Type="http://schemas.openxmlformats.org/officeDocument/2006/relationships/printerSettings" Target="../printerSettings/printerSettings31.bin"/><Relationship Id="rId15" Type="http://schemas.openxmlformats.org/officeDocument/2006/relationships/image" Target="../media/image5.emf"/><Relationship Id="rId10" Type="http://schemas.openxmlformats.org/officeDocument/2006/relationships/printerSettings" Target="../printerSettings/printerSettings36.bin"/><Relationship Id="rId4" Type="http://schemas.openxmlformats.org/officeDocument/2006/relationships/printerSettings" Target="../printerSettings/printerSettings30.bin"/><Relationship Id="rId9" Type="http://schemas.openxmlformats.org/officeDocument/2006/relationships/printerSettings" Target="../printerSettings/printerSettings35.bin"/><Relationship Id="rId1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5.bin"/><Relationship Id="rId3" Type="http://schemas.openxmlformats.org/officeDocument/2006/relationships/printerSettings" Target="../printerSettings/printerSettings40.bin"/><Relationship Id="rId7" Type="http://schemas.openxmlformats.org/officeDocument/2006/relationships/printerSettings" Target="../printerSettings/printerSettings44.bin"/><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11" Type="http://schemas.openxmlformats.org/officeDocument/2006/relationships/printerSettings" Target="../printerSettings/printerSettings48.bin"/><Relationship Id="rId5" Type="http://schemas.openxmlformats.org/officeDocument/2006/relationships/printerSettings" Target="../printerSettings/printerSettings42.bin"/><Relationship Id="rId10" Type="http://schemas.openxmlformats.org/officeDocument/2006/relationships/printerSettings" Target="../printerSettings/printerSettings47.bin"/><Relationship Id="rId4" Type="http://schemas.openxmlformats.org/officeDocument/2006/relationships/printerSettings" Target="../printerSettings/printerSettings41.bin"/><Relationship Id="rId9" Type="http://schemas.openxmlformats.org/officeDocument/2006/relationships/printerSettings" Target="../printerSettings/printerSettings46.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emf"/></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56.bin"/><Relationship Id="rId13" Type="http://schemas.openxmlformats.org/officeDocument/2006/relationships/printerSettings" Target="../printerSettings/printerSettings61.bin"/><Relationship Id="rId3" Type="http://schemas.openxmlformats.org/officeDocument/2006/relationships/printerSettings" Target="../printerSettings/printerSettings51.bin"/><Relationship Id="rId7" Type="http://schemas.openxmlformats.org/officeDocument/2006/relationships/printerSettings" Target="../printerSettings/printerSettings55.bin"/><Relationship Id="rId12" Type="http://schemas.openxmlformats.org/officeDocument/2006/relationships/printerSettings" Target="../printerSettings/printerSettings60.bin"/><Relationship Id="rId17" Type="http://schemas.openxmlformats.org/officeDocument/2006/relationships/image" Target="../media/image7.emf"/><Relationship Id="rId2" Type="http://schemas.openxmlformats.org/officeDocument/2006/relationships/printerSettings" Target="../printerSettings/printerSettings50.bin"/><Relationship Id="rId16" Type="http://schemas.openxmlformats.org/officeDocument/2006/relationships/control" Target="../activeX/activeX7.xml"/><Relationship Id="rId1" Type="http://schemas.openxmlformats.org/officeDocument/2006/relationships/printerSettings" Target="../printerSettings/printerSettings49.bin"/><Relationship Id="rId6" Type="http://schemas.openxmlformats.org/officeDocument/2006/relationships/printerSettings" Target="../printerSettings/printerSettings54.bin"/><Relationship Id="rId11" Type="http://schemas.openxmlformats.org/officeDocument/2006/relationships/printerSettings" Target="../printerSettings/printerSettings59.bin"/><Relationship Id="rId5" Type="http://schemas.openxmlformats.org/officeDocument/2006/relationships/printerSettings" Target="../printerSettings/printerSettings53.bin"/><Relationship Id="rId15" Type="http://schemas.openxmlformats.org/officeDocument/2006/relationships/vmlDrawing" Target="../drawings/vmlDrawing5.vml"/><Relationship Id="rId10" Type="http://schemas.openxmlformats.org/officeDocument/2006/relationships/printerSettings" Target="../printerSettings/printerSettings58.bin"/><Relationship Id="rId4" Type="http://schemas.openxmlformats.org/officeDocument/2006/relationships/printerSettings" Target="../printerSettings/printerSettings52.bin"/><Relationship Id="rId9" Type="http://schemas.openxmlformats.org/officeDocument/2006/relationships/printerSettings" Target="../printerSettings/printerSettings57.bin"/><Relationship Id="rId1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69.bin"/><Relationship Id="rId13" Type="http://schemas.openxmlformats.org/officeDocument/2006/relationships/printerSettings" Target="../printerSettings/printerSettings74.bin"/><Relationship Id="rId3" Type="http://schemas.openxmlformats.org/officeDocument/2006/relationships/printerSettings" Target="../printerSettings/printerSettings64.bin"/><Relationship Id="rId7" Type="http://schemas.openxmlformats.org/officeDocument/2006/relationships/printerSettings" Target="../printerSettings/printerSettings68.bin"/><Relationship Id="rId12" Type="http://schemas.openxmlformats.org/officeDocument/2006/relationships/printerSettings" Target="../printerSettings/printerSettings73.bin"/><Relationship Id="rId17" Type="http://schemas.openxmlformats.org/officeDocument/2006/relationships/image" Target="../media/image8.emf"/><Relationship Id="rId2" Type="http://schemas.openxmlformats.org/officeDocument/2006/relationships/printerSettings" Target="../printerSettings/printerSettings63.bin"/><Relationship Id="rId16" Type="http://schemas.openxmlformats.org/officeDocument/2006/relationships/control" Target="../activeX/activeX8.xml"/><Relationship Id="rId1" Type="http://schemas.openxmlformats.org/officeDocument/2006/relationships/printerSettings" Target="../printerSettings/printerSettings62.bin"/><Relationship Id="rId6" Type="http://schemas.openxmlformats.org/officeDocument/2006/relationships/printerSettings" Target="../printerSettings/printerSettings67.bin"/><Relationship Id="rId11" Type="http://schemas.openxmlformats.org/officeDocument/2006/relationships/printerSettings" Target="../printerSettings/printerSettings72.bin"/><Relationship Id="rId5" Type="http://schemas.openxmlformats.org/officeDocument/2006/relationships/printerSettings" Target="../printerSettings/printerSettings66.bin"/><Relationship Id="rId15" Type="http://schemas.openxmlformats.org/officeDocument/2006/relationships/vmlDrawing" Target="../drawings/vmlDrawing6.vml"/><Relationship Id="rId10" Type="http://schemas.openxmlformats.org/officeDocument/2006/relationships/printerSettings" Target="../printerSettings/printerSettings71.bin"/><Relationship Id="rId4" Type="http://schemas.openxmlformats.org/officeDocument/2006/relationships/printerSettings" Target="../printerSettings/printerSettings65.bin"/><Relationship Id="rId9" Type="http://schemas.openxmlformats.org/officeDocument/2006/relationships/printerSettings" Target="../printerSettings/printerSettings70.bin"/><Relationship Id="rId1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82.bin"/><Relationship Id="rId13" Type="http://schemas.openxmlformats.org/officeDocument/2006/relationships/printerSettings" Target="../printerSettings/printerSettings87.bin"/><Relationship Id="rId3" Type="http://schemas.openxmlformats.org/officeDocument/2006/relationships/printerSettings" Target="../printerSettings/printerSettings77.bin"/><Relationship Id="rId7" Type="http://schemas.openxmlformats.org/officeDocument/2006/relationships/printerSettings" Target="../printerSettings/printerSettings81.bin"/><Relationship Id="rId12" Type="http://schemas.openxmlformats.org/officeDocument/2006/relationships/printerSettings" Target="../printerSettings/printerSettings86.bin"/><Relationship Id="rId17" Type="http://schemas.openxmlformats.org/officeDocument/2006/relationships/image" Target="../media/image9.emf"/><Relationship Id="rId2" Type="http://schemas.openxmlformats.org/officeDocument/2006/relationships/printerSettings" Target="../printerSettings/printerSettings76.bin"/><Relationship Id="rId16" Type="http://schemas.openxmlformats.org/officeDocument/2006/relationships/control" Target="../activeX/activeX9.xml"/><Relationship Id="rId1" Type="http://schemas.openxmlformats.org/officeDocument/2006/relationships/printerSettings" Target="../printerSettings/printerSettings75.bin"/><Relationship Id="rId6" Type="http://schemas.openxmlformats.org/officeDocument/2006/relationships/printerSettings" Target="../printerSettings/printerSettings80.bin"/><Relationship Id="rId11" Type="http://schemas.openxmlformats.org/officeDocument/2006/relationships/printerSettings" Target="../printerSettings/printerSettings85.bin"/><Relationship Id="rId5" Type="http://schemas.openxmlformats.org/officeDocument/2006/relationships/printerSettings" Target="../printerSettings/printerSettings79.bin"/><Relationship Id="rId15" Type="http://schemas.openxmlformats.org/officeDocument/2006/relationships/vmlDrawing" Target="../drawings/vmlDrawing7.vml"/><Relationship Id="rId10" Type="http://schemas.openxmlformats.org/officeDocument/2006/relationships/printerSettings" Target="../printerSettings/printerSettings84.bin"/><Relationship Id="rId4" Type="http://schemas.openxmlformats.org/officeDocument/2006/relationships/printerSettings" Target="../printerSettings/printerSettings78.bin"/><Relationship Id="rId9" Type="http://schemas.openxmlformats.org/officeDocument/2006/relationships/printerSettings" Target="../printerSettings/printerSettings83.bin"/><Relationship Id="rId14"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1.emf"/></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95.bin"/><Relationship Id="rId13" Type="http://schemas.openxmlformats.org/officeDocument/2006/relationships/printerSettings" Target="../printerSettings/printerSettings100.bin"/><Relationship Id="rId3" Type="http://schemas.openxmlformats.org/officeDocument/2006/relationships/printerSettings" Target="../printerSettings/printerSettings90.bin"/><Relationship Id="rId7" Type="http://schemas.openxmlformats.org/officeDocument/2006/relationships/printerSettings" Target="../printerSettings/printerSettings94.bin"/><Relationship Id="rId12" Type="http://schemas.openxmlformats.org/officeDocument/2006/relationships/printerSettings" Target="../printerSettings/printerSettings99.bin"/><Relationship Id="rId17" Type="http://schemas.openxmlformats.org/officeDocument/2006/relationships/image" Target="../media/image12.emf"/><Relationship Id="rId2" Type="http://schemas.openxmlformats.org/officeDocument/2006/relationships/printerSettings" Target="../printerSettings/printerSettings89.bin"/><Relationship Id="rId16" Type="http://schemas.openxmlformats.org/officeDocument/2006/relationships/control" Target="../activeX/activeX12.xml"/><Relationship Id="rId1" Type="http://schemas.openxmlformats.org/officeDocument/2006/relationships/printerSettings" Target="../printerSettings/printerSettings88.bin"/><Relationship Id="rId6" Type="http://schemas.openxmlformats.org/officeDocument/2006/relationships/printerSettings" Target="../printerSettings/printerSettings93.bin"/><Relationship Id="rId11" Type="http://schemas.openxmlformats.org/officeDocument/2006/relationships/printerSettings" Target="../printerSettings/printerSettings98.bin"/><Relationship Id="rId5" Type="http://schemas.openxmlformats.org/officeDocument/2006/relationships/printerSettings" Target="../printerSettings/printerSettings92.bin"/><Relationship Id="rId15" Type="http://schemas.openxmlformats.org/officeDocument/2006/relationships/vmlDrawing" Target="../drawings/vmlDrawing10.vml"/><Relationship Id="rId10" Type="http://schemas.openxmlformats.org/officeDocument/2006/relationships/printerSettings" Target="../printerSettings/printerSettings97.bin"/><Relationship Id="rId4" Type="http://schemas.openxmlformats.org/officeDocument/2006/relationships/printerSettings" Target="../printerSettings/printerSettings91.bin"/><Relationship Id="rId9" Type="http://schemas.openxmlformats.org/officeDocument/2006/relationships/printerSettings" Target="../printerSettings/printerSettings96.bin"/><Relationship Id="rId14"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08.bin"/><Relationship Id="rId13" Type="http://schemas.openxmlformats.org/officeDocument/2006/relationships/printerSettings" Target="../printerSettings/printerSettings113.bin"/><Relationship Id="rId3" Type="http://schemas.openxmlformats.org/officeDocument/2006/relationships/printerSettings" Target="../printerSettings/printerSettings103.bin"/><Relationship Id="rId7" Type="http://schemas.openxmlformats.org/officeDocument/2006/relationships/printerSettings" Target="../printerSettings/printerSettings107.bin"/><Relationship Id="rId12" Type="http://schemas.openxmlformats.org/officeDocument/2006/relationships/printerSettings" Target="../printerSettings/printerSettings112.bin"/><Relationship Id="rId17" Type="http://schemas.openxmlformats.org/officeDocument/2006/relationships/image" Target="../media/image13.emf"/><Relationship Id="rId2" Type="http://schemas.openxmlformats.org/officeDocument/2006/relationships/printerSettings" Target="../printerSettings/printerSettings102.bin"/><Relationship Id="rId16" Type="http://schemas.openxmlformats.org/officeDocument/2006/relationships/control" Target="../activeX/activeX13.xml"/><Relationship Id="rId1" Type="http://schemas.openxmlformats.org/officeDocument/2006/relationships/printerSettings" Target="../printerSettings/printerSettings101.bin"/><Relationship Id="rId6" Type="http://schemas.openxmlformats.org/officeDocument/2006/relationships/printerSettings" Target="../printerSettings/printerSettings106.bin"/><Relationship Id="rId11" Type="http://schemas.openxmlformats.org/officeDocument/2006/relationships/printerSettings" Target="../printerSettings/printerSettings111.bin"/><Relationship Id="rId5" Type="http://schemas.openxmlformats.org/officeDocument/2006/relationships/printerSettings" Target="../printerSettings/printerSettings105.bin"/><Relationship Id="rId15" Type="http://schemas.openxmlformats.org/officeDocument/2006/relationships/vmlDrawing" Target="../drawings/vmlDrawing11.vml"/><Relationship Id="rId10" Type="http://schemas.openxmlformats.org/officeDocument/2006/relationships/printerSettings" Target="../printerSettings/printerSettings110.bin"/><Relationship Id="rId4" Type="http://schemas.openxmlformats.org/officeDocument/2006/relationships/printerSettings" Target="../printerSettings/printerSettings104.bin"/><Relationship Id="rId9" Type="http://schemas.openxmlformats.org/officeDocument/2006/relationships/printerSettings" Target="../printerSettings/printerSettings109.bin"/><Relationship Id="rId14"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121.bin"/><Relationship Id="rId13" Type="http://schemas.openxmlformats.org/officeDocument/2006/relationships/printerSettings" Target="../printerSettings/printerSettings126.bin"/><Relationship Id="rId3" Type="http://schemas.openxmlformats.org/officeDocument/2006/relationships/printerSettings" Target="../printerSettings/printerSettings116.bin"/><Relationship Id="rId7" Type="http://schemas.openxmlformats.org/officeDocument/2006/relationships/printerSettings" Target="../printerSettings/printerSettings120.bin"/><Relationship Id="rId12" Type="http://schemas.openxmlformats.org/officeDocument/2006/relationships/printerSettings" Target="../printerSettings/printerSettings125.bin"/><Relationship Id="rId17" Type="http://schemas.openxmlformats.org/officeDocument/2006/relationships/image" Target="../media/image14.emf"/><Relationship Id="rId2" Type="http://schemas.openxmlformats.org/officeDocument/2006/relationships/printerSettings" Target="../printerSettings/printerSettings115.bin"/><Relationship Id="rId16" Type="http://schemas.openxmlformats.org/officeDocument/2006/relationships/control" Target="../activeX/activeX14.xml"/><Relationship Id="rId1" Type="http://schemas.openxmlformats.org/officeDocument/2006/relationships/printerSettings" Target="../printerSettings/printerSettings114.bin"/><Relationship Id="rId6" Type="http://schemas.openxmlformats.org/officeDocument/2006/relationships/printerSettings" Target="../printerSettings/printerSettings119.bin"/><Relationship Id="rId11" Type="http://schemas.openxmlformats.org/officeDocument/2006/relationships/printerSettings" Target="../printerSettings/printerSettings124.bin"/><Relationship Id="rId5" Type="http://schemas.openxmlformats.org/officeDocument/2006/relationships/printerSettings" Target="../printerSettings/printerSettings118.bin"/><Relationship Id="rId15" Type="http://schemas.openxmlformats.org/officeDocument/2006/relationships/vmlDrawing" Target="../drawings/vmlDrawing12.vml"/><Relationship Id="rId10" Type="http://schemas.openxmlformats.org/officeDocument/2006/relationships/printerSettings" Target="../printerSettings/printerSettings123.bin"/><Relationship Id="rId4" Type="http://schemas.openxmlformats.org/officeDocument/2006/relationships/printerSettings" Target="../printerSettings/printerSettings117.bin"/><Relationship Id="rId9" Type="http://schemas.openxmlformats.org/officeDocument/2006/relationships/printerSettings" Target="../printerSettings/printerSettings122.bin"/><Relationship Id="rId14"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34.bin"/><Relationship Id="rId13" Type="http://schemas.openxmlformats.org/officeDocument/2006/relationships/printerSettings" Target="../printerSettings/printerSettings139.bin"/><Relationship Id="rId3" Type="http://schemas.openxmlformats.org/officeDocument/2006/relationships/printerSettings" Target="../printerSettings/printerSettings129.bin"/><Relationship Id="rId7" Type="http://schemas.openxmlformats.org/officeDocument/2006/relationships/printerSettings" Target="../printerSettings/printerSettings133.bin"/><Relationship Id="rId12" Type="http://schemas.openxmlformats.org/officeDocument/2006/relationships/printerSettings" Target="../printerSettings/printerSettings138.bin"/><Relationship Id="rId17" Type="http://schemas.openxmlformats.org/officeDocument/2006/relationships/image" Target="../media/image15.emf"/><Relationship Id="rId2" Type="http://schemas.openxmlformats.org/officeDocument/2006/relationships/printerSettings" Target="../printerSettings/printerSettings128.bin"/><Relationship Id="rId16" Type="http://schemas.openxmlformats.org/officeDocument/2006/relationships/control" Target="../activeX/activeX15.xml"/><Relationship Id="rId1" Type="http://schemas.openxmlformats.org/officeDocument/2006/relationships/printerSettings" Target="../printerSettings/printerSettings127.bin"/><Relationship Id="rId6" Type="http://schemas.openxmlformats.org/officeDocument/2006/relationships/printerSettings" Target="../printerSettings/printerSettings132.bin"/><Relationship Id="rId11" Type="http://schemas.openxmlformats.org/officeDocument/2006/relationships/printerSettings" Target="../printerSettings/printerSettings137.bin"/><Relationship Id="rId5" Type="http://schemas.openxmlformats.org/officeDocument/2006/relationships/printerSettings" Target="../printerSettings/printerSettings131.bin"/><Relationship Id="rId15" Type="http://schemas.openxmlformats.org/officeDocument/2006/relationships/vmlDrawing" Target="../drawings/vmlDrawing13.vml"/><Relationship Id="rId10" Type="http://schemas.openxmlformats.org/officeDocument/2006/relationships/printerSettings" Target="../printerSettings/printerSettings136.bin"/><Relationship Id="rId4" Type="http://schemas.openxmlformats.org/officeDocument/2006/relationships/printerSettings" Target="../printerSettings/printerSettings130.bin"/><Relationship Id="rId9" Type="http://schemas.openxmlformats.org/officeDocument/2006/relationships/printerSettings" Target="../printerSettings/printerSettings135.bin"/><Relationship Id="rId1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15"/>
  <sheetViews>
    <sheetView zoomScaleNormal="100" workbookViewId="0">
      <selection activeCell="D4" sqref="D4"/>
    </sheetView>
  </sheetViews>
  <sheetFormatPr defaultRowHeight="13.2" x14ac:dyDescent="0.25"/>
  <cols>
    <col min="1" max="1" width="16.109375" customWidth="1"/>
    <col min="2" max="2" width="38.88671875" customWidth="1"/>
    <col min="3" max="3" width="33.33203125" customWidth="1"/>
    <col min="4" max="4" width="18.33203125" customWidth="1"/>
    <col min="6" max="6" width="8.109375" customWidth="1"/>
    <col min="7" max="7" width="8.6640625" customWidth="1"/>
    <col min="8" max="8" width="22.88671875" bestFit="1" customWidth="1"/>
    <col min="9" max="9" width="48.88671875" customWidth="1"/>
  </cols>
  <sheetData>
    <row r="1" spans="1:9" ht="36" customHeight="1" x14ac:dyDescent="0.25">
      <c r="A1" s="110"/>
      <c r="C1" s="190" t="s">
        <v>625</v>
      </c>
      <c r="D1" s="190" t="s">
        <v>529</v>
      </c>
      <c r="F1" s="76"/>
    </row>
    <row r="2" spans="1:9" ht="20.100000000000001" customHeight="1" x14ac:dyDescent="0.3">
      <c r="B2" s="137" t="s">
        <v>609</v>
      </c>
      <c r="C2" s="137" t="s">
        <v>607</v>
      </c>
      <c r="D2" s="274" t="s">
        <v>610</v>
      </c>
      <c r="H2" s="212" t="s">
        <v>623</v>
      </c>
      <c r="I2" s="73"/>
    </row>
    <row r="3" spans="1:9" ht="20.100000000000001" customHeight="1" x14ac:dyDescent="0.25">
      <c r="B3" s="138" t="s">
        <v>0</v>
      </c>
      <c r="C3" s="138" t="s">
        <v>606</v>
      </c>
      <c r="D3" s="138" t="s">
        <v>540</v>
      </c>
    </row>
    <row r="4" spans="1:9" ht="20.100000000000001" customHeight="1" x14ac:dyDescent="0.25">
      <c r="B4" s="138" t="s">
        <v>500</v>
      </c>
      <c r="C4" s="138"/>
      <c r="D4" s="138" t="s">
        <v>631</v>
      </c>
      <c r="H4" s="213" t="s">
        <v>639</v>
      </c>
      <c r="I4" s="213" t="s">
        <v>640</v>
      </c>
    </row>
    <row r="5" spans="1:9" ht="20.100000000000001" customHeight="1" x14ac:dyDescent="0.25">
      <c r="B5" s="138" t="s">
        <v>501</v>
      </c>
      <c r="C5" s="138"/>
      <c r="D5" s="138"/>
      <c r="H5" s="214" t="s">
        <v>628</v>
      </c>
      <c r="I5" s="215" t="str">
        <f xml:space="preserve"> "T:\" &amp; LEFT(I4,5) &amp; "\Stability\"</f>
        <v>T:\D9859\Stability\</v>
      </c>
    </row>
    <row r="6" spans="1:9" ht="20.100000000000001" customHeight="1" x14ac:dyDescent="0.25">
      <c r="B6" s="138" t="s">
        <v>502</v>
      </c>
      <c r="C6" s="138"/>
      <c r="D6" s="138"/>
      <c r="H6" s="216" t="s">
        <v>624</v>
      </c>
      <c r="I6" s="215" t="str">
        <f xml:space="preserve"> I4 &amp; " Stab Tests_Grid_Scoreboard.xlsm"</f>
        <v>D9859-R1 Stab Tests_Grid_Scoreboard.xlsm</v>
      </c>
    </row>
    <row r="7" spans="1:9" ht="20.100000000000001" customHeight="1" x14ac:dyDescent="0.25">
      <c r="B7" s="138" t="s">
        <v>541</v>
      </c>
      <c r="C7" s="138"/>
      <c r="D7" s="138"/>
      <c r="H7" s="216" t="s">
        <v>626</v>
      </c>
      <c r="I7" s="217" t="str">
        <f>LEFT( I4,5) &amp; " Grid"</f>
        <v>D9859 Grid</v>
      </c>
    </row>
    <row r="8" spans="1:9" ht="20.100000000000001" customHeight="1" x14ac:dyDescent="0.25">
      <c r="B8" s="138" t="s">
        <v>555</v>
      </c>
      <c r="C8" s="138"/>
      <c r="D8" s="138"/>
      <c r="H8" s="216" t="s">
        <v>627</v>
      </c>
      <c r="I8" s="215" t="str">
        <f xml:space="preserve"> LEFT(I4,5) &amp; " Scoreboard"</f>
        <v>D9859 Scoreboard</v>
      </c>
    </row>
    <row r="9" spans="1:9" ht="20.100000000000001" customHeight="1" x14ac:dyDescent="0.25">
      <c r="B9" s="138" t="s">
        <v>228</v>
      </c>
      <c r="C9" s="138"/>
      <c r="D9" s="138"/>
      <c r="H9" s="211"/>
      <c r="I9" s="31"/>
    </row>
    <row r="10" spans="1:9" ht="20.100000000000001" customHeight="1" x14ac:dyDescent="0.25">
      <c r="B10" s="138" t="s">
        <v>542</v>
      </c>
      <c r="C10" s="138"/>
      <c r="D10" s="139"/>
      <c r="I10" s="31"/>
    </row>
    <row r="11" spans="1:9" ht="20.100000000000001" customHeight="1" x14ac:dyDescent="0.25">
      <c r="B11" s="138" t="s">
        <v>378</v>
      </c>
      <c r="C11" s="139"/>
      <c r="D11" s="139"/>
      <c r="I11" s="31"/>
    </row>
    <row r="12" spans="1:9" ht="20.100000000000001" customHeight="1" x14ac:dyDescent="0.25">
      <c r="B12" s="151" t="s">
        <v>556</v>
      </c>
      <c r="C12" s="139"/>
      <c r="D12" s="139"/>
      <c r="I12" s="31"/>
    </row>
    <row r="13" spans="1:9" ht="20.100000000000001" customHeight="1" x14ac:dyDescent="0.25"/>
    <row r="14" spans="1:9" ht="20.100000000000001" customHeight="1" x14ac:dyDescent="0.25"/>
    <row r="15" spans="1:9" ht="20.100000000000001" customHeight="1" x14ac:dyDescent="0.25"/>
  </sheetData>
  <customSheetViews>
    <customSheetView guid="{E7571780-ED88-421E-BB12-D2AF189A0D99}">
      <selection activeCell="B12" sqref="B12"/>
      <pageMargins left="0.7" right="0.7" top="0.75" bottom="0.75" header="0.3" footer="0.3"/>
      <pageSetup orientation="portrait" r:id="rId1"/>
    </customSheetView>
    <customSheetView guid="{609F876C-F41A-43C8-BD3D-0455630C6D86}">
      <selection activeCell="B12" sqref="B12"/>
      <pageMargins left="0.7" right="0.7" top="0.75" bottom="0.75" header="0.3" footer="0.3"/>
      <pageSetup orientation="portrait" r:id="rId2"/>
    </customSheetView>
    <customSheetView guid="{F5461B2D-C44D-459F-8141-3B434D52A3D6}">
      <selection activeCell="D4" sqref="D4"/>
      <pageMargins left="0.7" right="0.7" top="0.75" bottom="0.75" header="0.3" footer="0.3"/>
      <pageSetup orientation="portrait" r:id="rId3"/>
    </customSheetView>
    <customSheetView guid="{BF4A82E8-EC44-4B28-ABE7-07086B055DF8}">
      <selection activeCell="D4" sqref="D4"/>
      <pageMargins left="0.7" right="0.7" top="0.75" bottom="0.75" header="0.3" footer="0.3"/>
      <pageSetup orientation="portrait" r:id="rId4"/>
    </customSheetView>
    <customSheetView guid="{F9953651-D17A-4C02-9483-C34B454389F8}">
      <selection activeCell="B6" sqref="B6"/>
      <pageMargins left="0.7" right="0.7" top="0.75" bottom="0.75" header="0.3" footer="0.3"/>
      <pageSetup orientation="portrait" r:id="rId5"/>
    </customSheetView>
    <customSheetView guid="{4081EA0D-9F4E-4F6E-9740-125B98E42AAA}">
      <selection activeCell="D4" sqref="D4"/>
      <pageMargins left="0.7" right="0.7" top="0.75" bottom="0.75" header="0.3" footer="0.3"/>
      <pageSetup orientation="portrait" r:id="rId6"/>
    </customSheetView>
    <customSheetView guid="{568372EE-5594-48E8-AA4D-B2DFAABD6FBE}">
      <selection activeCell="B6" sqref="B6"/>
      <pageMargins left="0.7" right="0.7" top="0.75" bottom="0.75" header="0.3" footer="0.3"/>
      <pageSetup orientation="portrait" r:id="rId7"/>
    </customSheetView>
    <customSheetView guid="{0C14E275-67BD-4894-92C8-CC979B55C5D1}">
      <selection activeCell="B12" sqref="B12"/>
      <pageMargins left="0.7" right="0.7" top="0.75" bottom="0.75" header="0.3" footer="0.3"/>
      <pageSetup orientation="portrait" r:id="rId8"/>
    </customSheetView>
    <customSheetView guid="{E04D4D10-73E7-40D1-833B-CE4AC2EB45A8}">
      <selection activeCell="D4" sqref="D4"/>
      <pageMargins left="0.7" right="0.7" top="0.75" bottom="0.75" header="0.3" footer="0.3"/>
      <pageSetup orientation="portrait" r:id="rId9"/>
    </customSheetView>
    <customSheetView guid="{E6A6C2C1-501F-4FA5-9A65-F097BADC7A88}">
      <selection activeCell="C6" sqref="C6"/>
      <pageMargins left="0.7" right="0.7" top="0.75" bottom="0.75" header="0.3" footer="0.3"/>
      <pageSetup orientation="portrait" r:id="rId10"/>
    </customSheetView>
    <customSheetView guid="{189813C8-BE28-4174-A3B5-1C707449DBD3}">
      <selection activeCell="D4" sqref="D4"/>
      <pageMargins left="0.7" right="0.7" top="0.75" bottom="0.75" header="0.3" footer="0.3"/>
      <pageSetup orientation="portrait" r:id="rId11"/>
    </customSheetView>
    <customSheetView guid="{A1D6424A-E1FA-4BDE-9758-50490C40BCC4}">
      <selection activeCell="D4" sqref="D4"/>
      <pageMargins left="0.7" right="0.7" top="0.75" bottom="0.75" header="0.3" footer="0.3"/>
      <pageSetup orientation="portrait" r:id="rId12"/>
    </customSheetView>
  </customSheetViews>
  <hyperlinks>
    <hyperlink ref="D3" display="Basic Combinations"/>
    <hyperlink ref="B3" display="Input Test Cases"/>
    <hyperlink ref="B4" display="Conditional Access Test Cases"/>
    <hyperlink ref="B5" display="Audio Test Cases"/>
    <hyperlink ref="B6" display="Video Test Cases"/>
    <hyperlink ref="B7" display="VBI Test Cases"/>
    <hyperlink ref="B8" display="Subtitle Test Cases"/>
    <hyperlink ref="B9" display="MPE Test Cases"/>
    <hyperlink ref="B10" display="LSD Test Cases"/>
    <hyperlink ref="B11" display="DPM Test Cases"/>
    <hyperlink ref="B12" display="Transcode Test Cases"/>
    <hyperlink ref="D4" display="D9859 Grid"/>
    <hyperlink ref="C3" display="D9859 Scoreboard"/>
  </hyperlinks>
  <pageMargins left="0.7" right="0.7" top="0.75" bottom="0.75" header="0.3" footer="0.3"/>
  <pageSetup orientation="portrait" r:id="rId13"/>
  <drawing r:id="rId14"/>
  <legacyDrawing r:id="rId15"/>
  <controls>
    <mc:AlternateContent xmlns:mc="http://schemas.openxmlformats.org/markup-compatibility/2006">
      <mc:Choice Requires="x14">
        <control shapeId="1028" r:id="rId16" name="CommandButton3">
          <controlPr defaultSize="0" autoLine="0" r:id="rId17">
            <anchor moveWithCells="1">
              <from>
                <xdr:col>8</xdr:col>
                <xdr:colOff>457200</xdr:colOff>
                <xdr:row>11</xdr:row>
                <xdr:rowOff>22860</xdr:rowOff>
              </from>
              <to>
                <xdr:col>8</xdr:col>
                <xdr:colOff>2788920</xdr:colOff>
                <xdr:row>12</xdr:row>
                <xdr:rowOff>190500</xdr:rowOff>
              </to>
            </anchor>
          </controlPr>
        </control>
      </mc:Choice>
      <mc:Fallback>
        <control shapeId="1028" r:id="rId16" name="CommandButton3"/>
      </mc:Fallback>
    </mc:AlternateContent>
    <mc:AlternateContent xmlns:mc="http://schemas.openxmlformats.org/markup-compatibility/2006">
      <mc:Choice Requires="x14">
        <control shapeId="1027" r:id="rId18" name="CommandButton2">
          <controlPr defaultSize="0" autoLine="0" r:id="rId19">
            <anchor moveWithCells="1">
              <from>
                <xdr:col>8</xdr:col>
                <xdr:colOff>403860</xdr:colOff>
                <xdr:row>9</xdr:row>
                <xdr:rowOff>22860</xdr:rowOff>
              </from>
              <to>
                <xdr:col>8</xdr:col>
                <xdr:colOff>2964180</xdr:colOff>
                <xdr:row>10</xdr:row>
                <xdr:rowOff>121920</xdr:rowOff>
              </to>
            </anchor>
          </controlPr>
        </control>
      </mc:Choice>
      <mc:Fallback>
        <control shapeId="1027" r:id="rId18" name="CommandButton2"/>
      </mc:Fallback>
    </mc:AlternateContent>
    <mc:AlternateContent xmlns:mc="http://schemas.openxmlformats.org/markup-compatibility/2006">
      <mc:Choice Requires="x14">
        <control shapeId="1026" r:id="rId20" name="CommandButton1">
          <controlPr defaultSize="0" autoLine="0" autoPict="0" r:id="rId21">
            <anchor moveWithCells="1">
              <from>
                <xdr:col>1</xdr:col>
                <xdr:colOff>99060</xdr:colOff>
                <xdr:row>0</xdr:row>
                <xdr:rowOff>60960</xdr:rowOff>
              </from>
              <to>
                <xdr:col>2</xdr:col>
                <xdr:colOff>220980</xdr:colOff>
                <xdr:row>1</xdr:row>
                <xdr:rowOff>68580</xdr:rowOff>
              </to>
            </anchor>
          </controlPr>
        </control>
      </mc:Choice>
      <mc:Fallback>
        <control shapeId="1026" r:id="rId20"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D31"/>
  <sheetViews>
    <sheetView zoomScaleNormal="100" workbookViewId="0">
      <selection activeCell="F4" sqref="F4"/>
    </sheetView>
  </sheetViews>
  <sheetFormatPr defaultColWidth="16" defaultRowHeight="14.4" x14ac:dyDescent="0.3"/>
  <cols>
    <col min="1" max="1" width="8.44140625" style="82" customWidth="1"/>
    <col min="2" max="2" width="11.109375" style="80" customWidth="1"/>
    <col min="3" max="13" width="6.6640625" style="82" customWidth="1"/>
    <col min="14" max="18" width="1.44140625" style="82" customWidth="1"/>
    <col min="19" max="19" width="8.33203125" style="82" customWidth="1"/>
    <col min="20" max="20" width="19.5546875" style="82" customWidth="1"/>
    <col min="21" max="21" width="17.33203125" style="82" customWidth="1"/>
    <col min="22" max="22" width="15.33203125" style="82" customWidth="1"/>
    <col min="23" max="23" width="19.5546875" style="82" customWidth="1"/>
    <col min="24" max="24" width="13" style="82" customWidth="1"/>
    <col min="25" max="25" width="33" style="82" customWidth="1"/>
    <col min="26" max="26" width="17" style="82" customWidth="1"/>
    <col min="27" max="27" width="26.6640625" style="82" customWidth="1"/>
    <col min="28" max="28" width="15" style="82" customWidth="1"/>
    <col min="29" max="29" width="11.109375" style="82" customWidth="1"/>
    <col min="30" max="30" width="33" style="82" customWidth="1"/>
    <col min="31" max="16384" width="16" style="82"/>
  </cols>
  <sheetData>
    <row r="1" spans="1:30" ht="30.75" customHeight="1" x14ac:dyDescent="0.3">
      <c r="A1" s="93" t="s">
        <v>499</v>
      </c>
      <c r="B1" s="192" t="s">
        <v>606</v>
      </c>
      <c r="C1" s="93"/>
    </row>
    <row r="2" spans="1:30" x14ac:dyDescent="0.3">
      <c r="B2" s="81" t="s">
        <v>622</v>
      </c>
      <c r="C2" s="81" t="s">
        <v>206</v>
      </c>
    </row>
    <row r="3" spans="1:30" ht="28.8" x14ac:dyDescent="0.3">
      <c r="B3" s="83" t="s">
        <v>521</v>
      </c>
      <c r="C3" s="84" t="s">
        <v>522</v>
      </c>
      <c r="D3" s="84" t="s">
        <v>208</v>
      </c>
      <c r="E3" s="84" t="s">
        <v>377</v>
      </c>
      <c r="F3" s="84" t="s">
        <v>460</v>
      </c>
      <c r="G3" s="84" t="s">
        <v>210</v>
      </c>
      <c r="H3" s="84" t="s">
        <v>539</v>
      </c>
      <c r="I3" s="84" t="s">
        <v>209</v>
      </c>
      <c r="J3" s="84" t="s">
        <v>447</v>
      </c>
      <c r="K3" s="84" t="s">
        <v>448</v>
      </c>
      <c r="L3" s="84" t="s">
        <v>211</v>
      </c>
      <c r="M3" s="84" t="s">
        <v>212</v>
      </c>
      <c r="S3" s="133" t="s">
        <v>521</v>
      </c>
      <c r="T3" s="131" t="s">
        <v>522</v>
      </c>
      <c r="U3" s="131" t="s">
        <v>208</v>
      </c>
      <c r="V3" s="131" t="s">
        <v>377</v>
      </c>
      <c r="W3" s="131" t="s">
        <v>460</v>
      </c>
      <c r="X3" s="131" t="s">
        <v>210</v>
      </c>
      <c r="Y3" s="131" t="s">
        <v>539</v>
      </c>
      <c r="Z3" s="131" t="s">
        <v>209</v>
      </c>
      <c r="AA3" s="131" t="s">
        <v>447</v>
      </c>
      <c r="AB3" s="131" t="s">
        <v>448</v>
      </c>
      <c r="AC3" s="131" t="s">
        <v>211</v>
      </c>
      <c r="AD3" s="131" t="s">
        <v>212</v>
      </c>
    </row>
    <row r="4" spans="1:30" ht="28.8" x14ac:dyDescent="0.3">
      <c r="B4" s="85">
        <v>1</v>
      </c>
      <c r="C4" s="86">
        <v>1</v>
      </c>
      <c r="D4" s="86">
        <v>1</v>
      </c>
      <c r="E4" s="86">
        <v>1</v>
      </c>
      <c r="F4" s="86">
        <v>4</v>
      </c>
      <c r="G4" s="86">
        <v>5</v>
      </c>
      <c r="H4" s="86">
        <v>21</v>
      </c>
      <c r="I4" s="86">
        <v>2</v>
      </c>
      <c r="J4" s="86">
        <v>5</v>
      </c>
      <c r="K4" s="85">
        <v>15</v>
      </c>
      <c r="L4" s="85">
        <v>1</v>
      </c>
      <c r="M4" s="85">
        <v>1</v>
      </c>
      <c r="S4" s="132">
        <v>1</v>
      </c>
      <c r="T4" s="129" t="s">
        <v>583</v>
      </c>
      <c r="U4" s="129" t="s">
        <v>5</v>
      </c>
      <c r="V4" s="129" t="s">
        <v>594</v>
      </c>
      <c r="W4" s="129" t="s">
        <v>27</v>
      </c>
      <c r="X4" s="129" t="s">
        <v>534</v>
      </c>
      <c r="Y4" s="129" t="s">
        <v>557</v>
      </c>
      <c r="Z4" s="129" t="s">
        <v>599</v>
      </c>
      <c r="AA4" s="129" t="s">
        <v>571</v>
      </c>
      <c r="AB4" s="129" t="s">
        <v>572</v>
      </c>
      <c r="AC4" s="129" t="s">
        <v>488</v>
      </c>
      <c r="AD4" s="129" t="s">
        <v>543</v>
      </c>
    </row>
    <row r="5" spans="1:30" ht="28.8" x14ac:dyDescent="0.3">
      <c r="B5" s="85">
        <v>2</v>
      </c>
      <c r="C5" s="86">
        <v>8</v>
      </c>
      <c r="D5" s="86">
        <v>6</v>
      </c>
      <c r="E5" s="86">
        <v>2</v>
      </c>
      <c r="F5" s="86">
        <v>7</v>
      </c>
      <c r="G5" s="86">
        <v>2</v>
      </c>
      <c r="H5" s="86">
        <v>23</v>
      </c>
      <c r="I5" s="85">
        <v>1</v>
      </c>
      <c r="J5" s="86">
        <v>15</v>
      </c>
      <c r="K5" s="85">
        <v>5</v>
      </c>
      <c r="L5" s="85">
        <v>2</v>
      </c>
      <c r="M5" s="85">
        <v>10</v>
      </c>
      <c r="S5" s="132">
        <v>2</v>
      </c>
      <c r="T5" s="129" t="s">
        <v>584</v>
      </c>
      <c r="U5" s="129" t="s">
        <v>179</v>
      </c>
      <c r="V5" s="129" t="s">
        <v>595</v>
      </c>
      <c r="W5" s="129" t="s">
        <v>31</v>
      </c>
      <c r="X5" s="129" t="s">
        <v>533</v>
      </c>
      <c r="Y5" s="129" t="s">
        <v>558</v>
      </c>
      <c r="Z5" s="129" t="s">
        <v>600</v>
      </c>
      <c r="AA5" s="129" t="s">
        <v>572</v>
      </c>
      <c r="AB5" s="129" t="s">
        <v>571</v>
      </c>
      <c r="AC5" s="129" t="s">
        <v>489</v>
      </c>
      <c r="AD5" s="129" t="s">
        <v>544</v>
      </c>
    </row>
    <row r="6" spans="1:30" ht="28.8" x14ac:dyDescent="0.3">
      <c r="B6" s="85">
        <v>3</v>
      </c>
      <c r="C6" s="86">
        <v>16</v>
      </c>
      <c r="D6" s="87">
        <v>10</v>
      </c>
      <c r="E6" s="86">
        <v>3</v>
      </c>
      <c r="F6" s="86">
        <v>16</v>
      </c>
      <c r="G6" s="87">
        <v>6</v>
      </c>
      <c r="H6" s="86">
        <v>17</v>
      </c>
      <c r="I6" s="85">
        <v>6</v>
      </c>
      <c r="J6" s="86">
        <v>53</v>
      </c>
      <c r="K6" s="85">
        <v>15</v>
      </c>
      <c r="L6" s="85">
        <v>3</v>
      </c>
      <c r="M6" s="85">
        <v>11</v>
      </c>
      <c r="Q6" s="110"/>
      <c r="S6" s="132">
        <v>3</v>
      </c>
      <c r="T6" s="129" t="s">
        <v>585</v>
      </c>
      <c r="U6" s="129" t="s">
        <v>168</v>
      </c>
      <c r="V6" s="129" t="s">
        <v>379</v>
      </c>
      <c r="W6" s="129" t="s">
        <v>42</v>
      </c>
      <c r="X6" s="129" t="s">
        <v>535</v>
      </c>
      <c r="Y6" s="129" t="s">
        <v>559</v>
      </c>
      <c r="Z6" s="130" t="s">
        <v>601</v>
      </c>
      <c r="AA6" s="130" t="s">
        <v>573</v>
      </c>
      <c r="AB6" s="129" t="s">
        <v>572</v>
      </c>
      <c r="AC6" s="129" t="s">
        <v>490</v>
      </c>
      <c r="AD6" s="130" t="s">
        <v>545</v>
      </c>
    </row>
    <row r="7" spans="1:30" ht="43.2" x14ac:dyDescent="0.3">
      <c r="B7" s="85">
        <v>4</v>
      </c>
      <c r="C7" s="86">
        <v>11</v>
      </c>
      <c r="D7" s="87">
        <v>17</v>
      </c>
      <c r="E7" s="86">
        <v>4</v>
      </c>
      <c r="F7" s="86">
        <v>22</v>
      </c>
      <c r="G7" s="87">
        <v>6</v>
      </c>
      <c r="H7" s="86">
        <v>15</v>
      </c>
      <c r="I7" s="85">
        <v>8</v>
      </c>
      <c r="J7" s="86">
        <v>40</v>
      </c>
      <c r="K7" s="85">
        <v>5</v>
      </c>
      <c r="L7" s="85">
        <v>4</v>
      </c>
      <c r="M7" s="85">
        <v>12</v>
      </c>
      <c r="Q7" s="110"/>
      <c r="S7" s="132">
        <v>4</v>
      </c>
      <c r="T7" s="129" t="s">
        <v>586</v>
      </c>
      <c r="U7" s="129" t="s">
        <v>179</v>
      </c>
      <c r="V7" s="129" t="s">
        <v>380</v>
      </c>
      <c r="W7" s="129" t="s">
        <v>51</v>
      </c>
      <c r="X7" s="129" t="s">
        <v>535</v>
      </c>
      <c r="Y7" s="129" t="s">
        <v>560</v>
      </c>
      <c r="Z7" s="129" t="s">
        <v>602</v>
      </c>
      <c r="AA7" s="129" t="s">
        <v>574</v>
      </c>
      <c r="AB7" s="129" t="s">
        <v>571</v>
      </c>
      <c r="AC7" s="129" t="s">
        <v>491</v>
      </c>
      <c r="AD7" s="129" t="s">
        <v>546</v>
      </c>
    </row>
    <row r="8" spans="1:30" ht="28.8" x14ac:dyDescent="0.3">
      <c r="B8" s="85">
        <v>5</v>
      </c>
      <c r="C8" s="86">
        <v>3</v>
      </c>
      <c r="D8" s="86">
        <v>12</v>
      </c>
      <c r="E8" s="86">
        <v>5</v>
      </c>
      <c r="F8" s="86">
        <v>25</v>
      </c>
      <c r="G8" s="86">
        <v>7</v>
      </c>
      <c r="H8" s="86">
        <v>19</v>
      </c>
      <c r="I8" s="85">
        <v>7</v>
      </c>
      <c r="J8" s="86">
        <v>31</v>
      </c>
      <c r="K8" s="85">
        <v>15</v>
      </c>
      <c r="L8" s="85">
        <v>0</v>
      </c>
      <c r="M8" s="85">
        <v>2</v>
      </c>
      <c r="Q8" s="110"/>
      <c r="S8" s="132">
        <v>5</v>
      </c>
      <c r="T8" s="129" t="s">
        <v>587</v>
      </c>
      <c r="U8" s="129" t="s">
        <v>173</v>
      </c>
      <c r="V8" s="129" t="s">
        <v>596</v>
      </c>
      <c r="W8" s="129" t="s">
        <v>55</v>
      </c>
      <c r="X8" s="129" t="s">
        <v>535</v>
      </c>
      <c r="Y8" s="129" t="s">
        <v>561</v>
      </c>
      <c r="Z8" s="129" t="s">
        <v>603</v>
      </c>
      <c r="AA8" s="129" t="s">
        <v>575</v>
      </c>
      <c r="AB8" s="129" t="s">
        <v>572</v>
      </c>
      <c r="AC8" s="129"/>
      <c r="AD8" s="129" t="s">
        <v>547</v>
      </c>
    </row>
    <row r="9" spans="1:30" ht="28.8" x14ac:dyDescent="0.3">
      <c r="B9" s="85">
        <v>6</v>
      </c>
      <c r="C9" s="86">
        <v>9</v>
      </c>
      <c r="D9" s="86">
        <v>2</v>
      </c>
      <c r="E9" s="86">
        <v>6</v>
      </c>
      <c r="F9" s="86">
        <v>1</v>
      </c>
      <c r="G9" s="87">
        <v>6</v>
      </c>
      <c r="H9" s="86" t="s">
        <v>524</v>
      </c>
      <c r="I9" s="85" t="s">
        <v>524</v>
      </c>
      <c r="J9" s="86">
        <v>25</v>
      </c>
      <c r="K9" s="85">
        <v>5</v>
      </c>
      <c r="L9" s="85">
        <v>1</v>
      </c>
      <c r="M9" s="85">
        <v>3</v>
      </c>
      <c r="Q9" s="110"/>
      <c r="S9" s="132">
        <v>6</v>
      </c>
      <c r="T9" s="129" t="s">
        <v>588</v>
      </c>
      <c r="U9" s="129" t="s">
        <v>180</v>
      </c>
      <c r="V9" s="129" t="s">
        <v>597</v>
      </c>
      <c r="W9" s="129" t="s">
        <v>15</v>
      </c>
      <c r="X9" s="129" t="s">
        <v>535</v>
      </c>
      <c r="Y9" s="129"/>
      <c r="Z9" s="129"/>
      <c r="AA9" s="129" t="s">
        <v>576</v>
      </c>
      <c r="AB9" s="129" t="s">
        <v>571</v>
      </c>
      <c r="AC9" s="129" t="s">
        <v>488</v>
      </c>
      <c r="AD9" s="129" t="s">
        <v>548</v>
      </c>
    </row>
    <row r="10" spans="1:30" ht="28.8" x14ac:dyDescent="0.3">
      <c r="B10" s="85">
        <v>7</v>
      </c>
      <c r="C10" s="86">
        <v>16</v>
      </c>
      <c r="D10" s="87">
        <v>11</v>
      </c>
      <c r="E10" s="86">
        <v>7</v>
      </c>
      <c r="F10" s="86">
        <v>10</v>
      </c>
      <c r="G10" s="86">
        <v>5</v>
      </c>
      <c r="H10" s="86">
        <v>9</v>
      </c>
      <c r="I10" s="85">
        <v>4</v>
      </c>
      <c r="J10" s="86"/>
      <c r="K10" s="85">
        <v>15</v>
      </c>
      <c r="L10" s="85">
        <v>2</v>
      </c>
      <c r="M10" s="85">
        <v>4</v>
      </c>
      <c r="Q10" s="110"/>
      <c r="S10" s="132">
        <v>7</v>
      </c>
      <c r="T10" s="129" t="s">
        <v>585</v>
      </c>
      <c r="U10" s="129" t="s">
        <v>172</v>
      </c>
      <c r="V10" s="129" t="s">
        <v>598</v>
      </c>
      <c r="W10" s="129" t="s">
        <v>33</v>
      </c>
      <c r="X10" s="129" t="s">
        <v>534</v>
      </c>
      <c r="Y10" s="129" t="s">
        <v>562</v>
      </c>
      <c r="Z10" s="129" t="s">
        <v>604</v>
      </c>
      <c r="AA10" s="129"/>
      <c r="AB10" s="129" t="s">
        <v>572</v>
      </c>
      <c r="AC10" s="129" t="s">
        <v>489</v>
      </c>
      <c r="AD10" s="129" t="s">
        <v>549</v>
      </c>
    </row>
    <row r="11" spans="1:30" ht="28.8" x14ac:dyDescent="0.3">
      <c r="B11" s="85">
        <v>8</v>
      </c>
      <c r="C11" s="86">
        <v>13</v>
      </c>
      <c r="D11" s="86">
        <v>3</v>
      </c>
      <c r="E11" s="86">
        <v>1</v>
      </c>
      <c r="F11" s="86">
        <v>13</v>
      </c>
      <c r="G11" s="86">
        <v>2</v>
      </c>
      <c r="H11" s="86">
        <v>11</v>
      </c>
      <c r="I11" s="85">
        <v>3</v>
      </c>
      <c r="J11" s="86">
        <v>13</v>
      </c>
      <c r="K11" s="85">
        <v>13</v>
      </c>
      <c r="L11" s="85">
        <v>3</v>
      </c>
      <c r="M11" s="85">
        <v>5</v>
      </c>
      <c r="Q11" s="110"/>
      <c r="S11" s="132">
        <v>8</v>
      </c>
      <c r="T11" s="129" t="s">
        <v>589</v>
      </c>
      <c r="U11" s="129" t="s">
        <v>180</v>
      </c>
      <c r="V11" s="129" t="s">
        <v>594</v>
      </c>
      <c r="W11" s="129" t="s">
        <v>40</v>
      </c>
      <c r="X11" s="129" t="s">
        <v>533</v>
      </c>
      <c r="Y11" s="129" t="s">
        <v>563</v>
      </c>
      <c r="Z11" s="129" t="s">
        <v>605</v>
      </c>
      <c r="AA11" s="129" t="s">
        <v>577</v>
      </c>
      <c r="AB11" s="129" t="s">
        <v>577</v>
      </c>
      <c r="AC11" s="129" t="s">
        <v>490</v>
      </c>
      <c r="AD11" s="129" t="s">
        <v>550</v>
      </c>
    </row>
    <row r="12" spans="1:30" ht="28.8" x14ac:dyDescent="0.3">
      <c r="B12" s="85">
        <v>9</v>
      </c>
      <c r="C12" s="86">
        <v>6</v>
      </c>
      <c r="D12" s="86">
        <v>18</v>
      </c>
      <c r="E12" s="86">
        <v>2</v>
      </c>
      <c r="F12" s="86">
        <v>28</v>
      </c>
      <c r="G12" s="87">
        <v>6</v>
      </c>
      <c r="H12" s="86">
        <v>5</v>
      </c>
      <c r="I12" s="85">
        <v>6</v>
      </c>
      <c r="J12" s="86">
        <v>52</v>
      </c>
      <c r="K12" s="85">
        <v>15</v>
      </c>
      <c r="L12" s="85">
        <v>4</v>
      </c>
      <c r="M12" s="85">
        <v>6</v>
      </c>
      <c r="Q12" s="110"/>
      <c r="S12" s="132">
        <v>9</v>
      </c>
      <c r="T12" s="129" t="s">
        <v>590</v>
      </c>
      <c r="U12" s="129" t="s">
        <v>179</v>
      </c>
      <c r="V12" s="129" t="s">
        <v>595</v>
      </c>
      <c r="W12" s="129" t="s">
        <v>56</v>
      </c>
      <c r="X12" s="129" t="s">
        <v>535</v>
      </c>
      <c r="Y12" s="129" t="s">
        <v>564</v>
      </c>
      <c r="Z12" s="129" t="s">
        <v>601</v>
      </c>
      <c r="AA12" s="129" t="s">
        <v>578</v>
      </c>
      <c r="AB12" s="129" t="s">
        <v>572</v>
      </c>
      <c r="AC12" s="129" t="s">
        <v>491</v>
      </c>
      <c r="AD12" s="129" t="s">
        <v>551</v>
      </c>
    </row>
    <row r="13" spans="1:30" ht="28.8" x14ac:dyDescent="0.3">
      <c r="B13" s="85">
        <v>10</v>
      </c>
      <c r="C13" s="86">
        <v>10</v>
      </c>
      <c r="D13" s="86">
        <v>7</v>
      </c>
      <c r="E13" s="86">
        <v>3</v>
      </c>
      <c r="F13" s="86">
        <v>34</v>
      </c>
      <c r="G13" s="87">
        <v>6</v>
      </c>
      <c r="H13" s="86">
        <v>7</v>
      </c>
      <c r="I13" s="85">
        <v>8</v>
      </c>
      <c r="J13" s="86">
        <v>39</v>
      </c>
      <c r="K13" s="85">
        <v>13</v>
      </c>
      <c r="L13" s="85">
        <v>0</v>
      </c>
      <c r="M13" s="85">
        <v>7</v>
      </c>
      <c r="Q13" s="110"/>
      <c r="S13" s="132">
        <v>10</v>
      </c>
      <c r="T13" s="130" t="s">
        <v>591</v>
      </c>
      <c r="U13" s="130" t="s">
        <v>179</v>
      </c>
      <c r="V13" s="130" t="s">
        <v>379</v>
      </c>
      <c r="W13" s="130" t="s">
        <v>65</v>
      </c>
      <c r="X13" s="130" t="s">
        <v>535</v>
      </c>
      <c r="Y13" s="130" t="s">
        <v>565</v>
      </c>
      <c r="Z13" s="129" t="s">
        <v>602</v>
      </c>
      <c r="AA13" s="130" t="s">
        <v>579</v>
      </c>
      <c r="AB13" s="129" t="s">
        <v>577</v>
      </c>
      <c r="AC13" s="129"/>
      <c r="AD13" s="129" t="s">
        <v>552</v>
      </c>
    </row>
    <row r="14" spans="1:30" ht="28.8" x14ac:dyDescent="0.3">
      <c r="B14" s="85">
        <v>11</v>
      </c>
      <c r="C14" s="86">
        <v>19</v>
      </c>
      <c r="D14" s="86">
        <v>15</v>
      </c>
      <c r="E14" s="86">
        <v>4</v>
      </c>
      <c r="F14" s="86">
        <v>37</v>
      </c>
      <c r="G14" s="86">
        <v>7</v>
      </c>
      <c r="H14" s="86">
        <v>4</v>
      </c>
      <c r="I14" s="85"/>
      <c r="J14" s="86">
        <v>30</v>
      </c>
      <c r="K14" s="85">
        <v>15</v>
      </c>
      <c r="L14" s="85">
        <v>1</v>
      </c>
      <c r="M14" s="85">
        <v>8</v>
      </c>
      <c r="Q14" s="110"/>
      <c r="S14" s="132">
        <v>11</v>
      </c>
      <c r="T14" s="129" t="s">
        <v>592</v>
      </c>
      <c r="U14" s="129" t="s">
        <v>180</v>
      </c>
      <c r="V14" s="129" t="s">
        <v>380</v>
      </c>
      <c r="W14" s="129" t="s">
        <v>66</v>
      </c>
      <c r="X14" s="129" t="s">
        <v>535</v>
      </c>
      <c r="Y14" s="129" t="s">
        <v>566</v>
      </c>
      <c r="Z14" s="129"/>
      <c r="AA14" s="129" t="s">
        <v>580</v>
      </c>
      <c r="AB14" s="129" t="s">
        <v>572</v>
      </c>
      <c r="AC14" s="129" t="s">
        <v>488</v>
      </c>
      <c r="AD14" s="129" t="s">
        <v>553</v>
      </c>
    </row>
    <row r="15" spans="1:30" ht="28.8" x14ac:dyDescent="0.3">
      <c r="B15" s="85">
        <v>12</v>
      </c>
      <c r="C15" s="86">
        <v>14</v>
      </c>
      <c r="D15" s="86">
        <v>10</v>
      </c>
      <c r="E15" s="86">
        <v>5</v>
      </c>
      <c r="F15" s="86">
        <v>29</v>
      </c>
      <c r="G15" s="87">
        <v>6</v>
      </c>
      <c r="H15" s="86">
        <v>1</v>
      </c>
      <c r="I15" s="85"/>
      <c r="J15" s="86">
        <v>23</v>
      </c>
      <c r="K15" s="85">
        <v>13</v>
      </c>
      <c r="L15" s="85">
        <v>2</v>
      </c>
      <c r="M15" s="85">
        <v>9</v>
      </c>
      <c r="Q15" s="110"/>
      <c r="S15" s="132">
        <v>12</v>
      </c>
      <c r="T15" s="129" t="s">
        <v>593</v>
      </c>
      <c r="U15" s="129" t="s">
        <v>168</v>
      </c>
      <c r="V15" s="129" t="s">
        <v>596</v>
      </c>
      <c r="W15" s="129" t="s">
        <v>56</v>
      </c>
      <c r="X15" s="129" t="s">
        <v>535</v>
      </c>
      <c r="Y15" s="129" t="s">
        <v>567</v>
      </c>
      <c r="Z15" s="129"/>
      <c r="AA15" s="129" t="s">
        <v>581</v>
      </c>
      <c r="AB15" s="129" t="s">
        <v>577</v>
      </c>
      <c r="AC15" s="129" t="s">
        <v>489</v>
      </c>
      <c r="AD15" s="129" t="s">
        <v>554</v>
      </c>
    </row>
    <row r="18" spans="2:30" x14ac:dyDescent="0.3">
      <c r="B18" s="81" t="s">
        <v>525</v>
      </c>
      <c r="C18" s="81" t="s">
        <v>206</v>
      </c>
    </row>
    <row r="19" spans="2:30" ht="28.8" x14ac:dyDescent="0.3">
      <c r="B19" s="83" t="s">
        <v>521</v>
      </c>
      <c r="C19" s="84" t="s">
        <v>522</v>
      </c>
      <c r="D19" s="84" t="s">
        <v>208</v>
      </c>
      <c r="E19" s="84" t="s">
        <v>377</v>
      </c>
      <c r="F19" s="84" t="s">
        <v>460</v>
      </c>
      <c r="G19" s="84" t="s">
        <v>210</v>
      </c>
      <c r="H19" s="84" t="s">
        <v>539</v>
      </c>
      <c r="I19" s="84" t="s">
        <v>209</v>
      </c>
      <c r="J19" s="84" t="s">
        <v>447</v>
      </c>
      <c r="K19" s="84" t="s">
        <v>448</v>
      </c>
      <c r="L19" s="84" t="s">
        <v>211</v>
      </c>
      <c r="M19" s="84" t="s">
        <v>212</v>
      </c>
      <c r="S19" s="133" t="s">
        <v>521</v>
      </c>
      <c r="T19" s="131" t="s">
        <v>522</v>
      </c>
      <c r="U19" s="131" t="s">
        <v>208</v>
      </c>
      <c r="V19" s="131" t="s">
        <v>377</v>
      </c>
      <c r="W19" s="131" t="s">
        <v>460</v>
      </c>
      <c r="X19" s="131" t="s">
        <v>210</v>
      </c>
      <c r="Y19" s="131" t="s">
        <v>539</v>
      </c>
      <c r="Z19" s="131" t="s">
        <v>209</v>
      </c>
      <c r="AA19" s="131" t="s">
        <v>447</v>
      </c>
      <c r="AB19" s="131" t="s">
        <v>448</v>
      </c>
      <c r="AC19" s="131" t="s">
        <v>211</v>
      </c>
      <c r="AD19" s="131" t="s">
        <v>212</v>
      </c>
    </row>
    <row r="20" spans="2:30" ht="28.8" x14ac:dyDescent="0.3">
      <c r="B20" s="85">
        <v>1</v>
      </c>
      <c r="C20" s="86">
        <v>1</v>
      </c>
      <c r="D20" s="86">
        <v>1</v>
      </c>
      <c r="E20" s="86">
        <v>1</v>
      </c>
      <c r="F20" s="86">
        <v>4</v>
      </c>
      <c r="G20" s="86">
        <v>5</v>
      </c>
      <c r="H20" s="88" t="s">
        <v>524</v>
      </c>
      <c r="I20" s="86">
        <v>2</v>
      </c>
      <c r="J20" s="86">
        <v>5</v>
      </c>
      <c r="K20" s="85">
        <v>15</v>
      </c>
      <c r="L20" s="85">
        <v>1</v>
      </c>
      <c r="M20" s="85">
        <v>1</v>
      </c>
      <c r="S20" s="132">
        <f t="shared" ref="S20:S31" si="0">B20</f>
        <v>1</v>
      </c>
      <c r="T20" s="129" t="s">
        <v>583</v>
      </c>
      <c r="U20" s="129" t="s">
        <v>5</v>
      </c>
      <c r="V20" s="129" t="s">
        <v>594</v>
      </c>
      <c r="W20" s="129" t="s">
        <v>27</v>
      </c>
      <c r="X20" s="129" t="s">
        <v>534</v>
      </c>
      <c r="Y20" s="129"/>
      <c r="Z20" s="129" t="s">
        <v>599</v>
      </c>
      <c r="AA20" s="129" t="s">
        <v>571</v>
      </c>
      <c r="AB20" s="129" t="s">
        <v>572</v>
      </c>
      <c r="AC20" s="129" t="s">
        <v>488</v>
      </c>
      <c r="AD20" s="129" t="s">
        <v>543</v>
      </c>
    </row>
    <row r="21" spans="2:30" ht="28.8" x14ac:dyDescent="0.3">
      <c r="B21" s="85">
        <v>2</v>
      </c>
      <c r="C21" s="86">
        <v>8</v>
      </c>
      <c r="D21" s="86">
        <v>6</v>
      </c>
      <c r="E21" s="86">
        <v>2</v>
      </c>
      <c r="F21" s="86">
        <v>7</v>
      </c>
      <c r="G21" s="86">
        <v>2</v>
      </c>
      <c r="H21" s="88" t="s">
        <v>524</v>
      </c>
      <c r="I21" s="85">
        <v>1</v>
      </c>
      <c r="J21" s="86">
        <v>15</v>
      </c>
      <c r="K21" s="85">
        <v>5</v>
      </c>
      <c r="L21" s="85">
        <v>2</v>
      </c>
      <c r="M21" s="85">
        <v>10</v>
      </c>
      <c r="S21" s="132">
        <f t="shared" si="0"/>
        <v>2</v>
      </c>
      <c r="T21" s="129" t="s">
        <v>584</v>
      </c>
      <c r="U21" s="129" t="s">
        <v>179</v>
      </c>
      <c r="V21" s="129" t="s">
        <v>595</v>
      </c>
      <c r="W21" s="129" t="s">
        <v>31</v>
      </c>
      <c r="X21" s="129" t="s">
        <v>533</v>
      </c>
      <c r="Y21" s="129"/>
      <c r="Z21" s="129" t="s">
        <v>600</v>
      </c>
      <c r="AA21" s="129" t="s">
        <v>572</v>
      </c>
      <c r="AB21" s="129" t="s">
        <v>571</v>
      </c>
      <c r="AC21" s="129" t="s">
        <v>489</v>
      </c>
      <c r="AD21" s="129" t="s">
        <v>544</v>
      </c>
    </row>
    <row r="22" spans="2:30" ht="28.8" x14ac:dyDescent="0.3">
      <c r="B22" s="85">
        <v>3</v>
      </c>
      <c r="C22" s="86">
        <v>16</v>
      </c>
      <c r="D22" s="87">
        <v>10</v>
      </c>
      <c r="E22" s="86">
        <v>3</v>
      </c>
      <c r="F22" s="86">
        <v>16</v>
      </c>
      <c r="G22" s="87">
        <v>6</v>
      </c>
      <c r="H22" s="88" t="s">
        <v>524</v>
      </c>
      <c r="I22" s="85">
        <v>6</v>
      </c>
      <c r="J22" s="86">
        <v>53</v>
      </c>
      <c r="K22" s="85">
        <v>15</v>
      </c>
      <c r="L22" s="85">
        <v>3</v>
      </c>
      <c r="M22" s="85">
        <v>11</v>
      </c>
      <c r="S22" s="132">
        <f t="shared" si="0"/>
        <v>3</v>
      </c>
      <c r="T22" s="129" t="s">
        <v>585</v>
      </c>
      <c r="U22" s="129" t="s">
        <v>168</v>
      </c>
      <c r="V22" s="129" t="s">
        <v>379</v>
      </c>
      <c r="W22" s="129" t="s">
        <v>42</v>
      </c>
      <c r="X22" s="129" t="s">
        <v>535</v>
      </c>
      <c r="Y22" s="129"/>
      <c r="Z22" s="129" t="s">
        <v>601</v>
      </c>
      <c r="AA22" s="129" t="s">
        <v>573</v>
      </c>
      <c r="AB22" s="129" t="s">
        <v>572</v>
      </c>
      <c r="AC22" s="129" t="s">
        <v>490</v>
      </c>
      <c r="AD22" s="129" t="s">
        <v>545</v>
      </c>
    </row>
    <row r="23" spans="2:30" ht="28.8" x14ac:dyDescent="0.3">
      <c r="B23" s="85">
        <v>4</v>
      </c>
      <c r="C23" s="86">
        <v>11</v>
      </c>
      <c r="D23" s="87">
        <v>17</v>
      </c>
      <c r="E23" s="86">
        <v>4</v>
      </c>
      <c r="F23" s="86">
        <v>22</v>
      </c>
      <c r="G23" s="87">
        <v>6</v>
      </c>
      <c r="H23" s="88" t="s">
        <v>524</v>
      </c>
      <c r="I23" s="85">
        <v>8</v>
      </c>
      <c r="J23" s="86">
        <v>40</v>
      </c>
      <c r="K23" s="85">
        <v>5</v>
      </c>
      <c r="L23" s="85">
        <v>4</v>
      </c>
      <c r="M23" s="85">
        <v>12</v>
      </c>
      <c r="S23" s="132">
        <f t="shared" si="0"/>
        <v>4</v>
      </c>
      <c r="T23" s="129" t="s">
        <v>586</v>
      </c>
      <c r="U23" s="129" t="s">
        <v>179</v>
      </c>
      <c r="V23" s="129" t="s">
        <v>380</v>
      </c>
      <c r="W23" s="129" t="s">
        <v>51</v>
      </c>
      <c r="X23" s="129" t="s">
        <v>535</v>
      </c>
      <c r="Y23" s="129"/>
      <c r="Z23" s="129" t="s">
        <v>602</v>
      </c>
      <c r="AA23" s="129" t="s">
        <v>574</v>
      </c>
      <c r="AB23" s="129" t="s">
        <v>571</v>
      </c>
      <c r="AC23" s="129" t="s">
        <v>491</v>
      </c>
      <c r="AD23" s="129" t="s">
        <v>546</v>
      </c>
    </row>
    <row r="24" spans="2:30" ht="28.8" x14ac:dyDescent="0.3">
      <c r="B24" s="85">
        <v>5</v>
      </c>
      <c r="C24" s="86">
        <v>3</v>
      </c>
      <c r="D24" s="86">
        <v>12</v>
      </c>
      <c r="E24" s="86">
        <v>2</v>
      </c>
      <c r="F24" s="86">
        <v>25</v>
      </c>
      <c r="G24" s="86">
        <v>7</v>
      </c>
      <c r="H24" s="88" t="s">
        <v>524</v>
      </c>
      <c r="I24" s="85">
        <v>7</v>
      </c>
      <c r="J24" s="86">
        <v>31</v>
      </c>
      <c r="K24" s="85">
        <v>15</v>
      </c>
      <c r="L24" s="85">
        <v>0</v>
      </c>
      <c r="M24" s="85">
        <v>2</v>
      </c>
      <c r="S24" s="132">
        <f t="shared" si="0"/>
        <v>5</v>
      </c>
      <c r="T24" s="129" t="s">
        <v>587</v>
      </c>
      <c r="U24" s="129" t="s">
        <v>173</v>
      </c>
      <c r="V24" s="129" t="s">
        <v>595</v>
      </c>
      <c r="W24" s="129" t="s">
        <v>55</v>
      </c>
      <c r="X24" s="129" t="s">
        <v>535</v>
      </c>
      <c r="Y24" s="129"/>
      <c r="Z24" s="129" t="s">
        <v>603</v>
      </c>
      <c r="AA24" s="129" t="s">
        <v>575</v>
      </c>
      <c r="AB24" s="129" t="s">
        <v>572</v>
      </c>
      <c r="AC24" s="129"/>
      <c r="AD24" s="129" t="s">
        <v>547</v>
      </c>
    </row>
    <row r="25" spans="2:30" ht="28.8" x14ac:dyDescent="0.3">
      <c r="B25" s="85">
        <v>6</v>
      </c>
      <c r="C25" s="86">
        <v>9</v>
      </c>
      <c r="D25" s="86">
        <v>2</v>
      </c>
      <c r="E25" s="86">
        <v>3</v>
      </c>
      <c r="F25" s="86">
        <v>1</v>
      </c>
      <c r="G25" s="87" t="s">
        <v>523</v>
      </c>
      <c r="H25" s="88" t="s">
        <v>524</v>
      </c>
      <c r="I25" s="88" t="s">
        <v>524</v>
      </c>
      <c r="J25" s="86">
        <v>25</v>
      </c>
      <c r="K25" s="85">
        <v>5</v>
      </c>
      <c r="L25" s="85">
        <v>1</v>
      </c>
      <c r="M25" s="85">
        <v>3</v>
      </c>
      <c r="S25" s="132">
        <f t="shared" si="0"/>
        <v>6</v>
      </c>
      <c r="T25" s="129" t="s">
        <v>588</v>
      </c>
      <c r="U25" s="129" t="s">
        <v>180</v>
      </c>
      <c r="V25" s="129" t="s">
        <v>379</v>
      </c>
      <c r="W25" s="129" t="s">
        <v>15</v>
      </c>
      <c r="X25" s="129"/>
      <c r="Y25" s="129"/>
      <c r="Z25" s="129"/>
      <c r="AA25" s="129" t="s">
        <v>576</v>
      </c>
      <c r="AB25" s="129" t="s">
        <v>571</v>
      </c>
      <c r="AC25" s="129" t="s">
        <v>488</v>
      </c>
      <c r="AD25" s="129" t="s">
        <v>548</v>
      </c>
    </row>
    <row r="26" spans="2:30" ht="28.8" x14ac:dyDescent="0.3">
      <c r="B26" s="85">
        <v>7</v>
      </c>
      <c r="C26" s="86">
        <v>16</v>
      </c>
      <c r="D26" s="87">
        <v>11</v>
      </c>
      <c r="E26" s="86">
        <v>4</v>
      </c>
      <c r="F26" s="86">
        <v>10</v>
      </c>
      <c r="G26" s="86">
        <v>5</v>
      </c>
      <c r="H26" s="88" t="s">
        <v>524</v>
      </c>
      <c r="I26" s="85">
        <v>4</v>
      </c>
      <c r="J26" s="86"/>
      <c r="K26" s="85">
        <v>15</v>
      </c>
      <c r="L26" s="85">
        <v>2</v>
      </c>
      <c r="M26" s="85">
        <v>4</v>
      </c>
      <c r="S26" s="132">
        <f t="shared" si="0"/>
        <v>7</v>
      </c>
      <c r="T26" s="129" t="s">
        <v>585</v>
      </c>
      <c r="U26" s="129" t="s">
        <v>172</v>
      </c>
      <c r="V26" s="129" t="s">
        <v>380</v>
      </c>
      <c r="W26" s="129" t="s">
        <v>33</v>
      </c>
      <c r="X26" s="129" t="s">
        <v>534</v>
      </c>
      <c r="Y26" s="129"/>
      <c r="Z26" s="129" t="s">
        <v>604</v>
      </c>
      <c r="AA26" s="129"/>
      <c r="AB26" s="129" t="s">
        <v>572</v>
      </c>
      <c r="AC26" s="129" t="s">
        <v>489</v>
      </c>
      <c r="AD26" s="129" t="s">
        <v>549</v>
      </c>
    </row>
    <row r="27" spans="2:30" ht="28.8" x14ac:dyDescent="0.3">
      <c r="B27" s="85">
        <v>8</v>
      </c>
      <c r="C27" s="86">
        <v>13</v>
      </c>
      <c r="D27" s="86">
        <v>3</v>
      </c>
      <c r="E27" s="86">
        <v>1</v>
      </c>
      <c r="F27" s="86">
        <v>13</v>
      </c>
      <c r="G27" s="86">
        <v>2</v>
      </c>
      <c r="H27" s="88" t="s">
        <v>524</v>
      </c>
      <c r="I27" s="85">
        <v>3</v>
      </c>
      <c r="J27" s="86">
        <v>13</v>
      </c>
      <c r="K27" s="85">
        <v>13</v>
      </c>
      <c r="L27" s="85">
        <v>3</v>
      </c>
      <c r="M27" s="85">
        <v>5</v>
      </c>
      <c r="S27" s="132">
        <f t="shared" si="0"/>
        <v>8</v>
      </c>
      <c r="T27" s="129" t="s">
        <v>589</v>
      </c>
      <c r="U27" s="129" t="s">
        <v>180</v>
      </c>
      <c r="V27" s="129" t="s">
        <v>594</v>
      </c>
      <c r="W27" s="129" t="s">
        <v>40</v>
      </c>
      <c r="X27" s="129" t="s">
        <v>533</v>
      </c>
      <c r="Y27" s="129"/>
      <c r="Z27" s="129" t="s">
        <v>605</v>
      </c>
      <c r="AA27" s="129" t="s">
        <v>577</v>
      </c>
      <c r="AB27" s="129" t="s">
        <v>577</v>
      </c>
      <c r="AC27" s="129" t="s">
        <v>490</v>
      </c>
      <c r="AD27" s="129" t="s">
        <v>550</v>
      </c>
    </row>
    <row r="28" spans="2:30" ht="28.8" x14ac:dyDescent="0.3">
      <c r="B28" s="85">
        <v>9</v>
      </c>
      <c r="C28" s="86">
        <v>6</v>
      </c>
      <c r="D28" s="86">
        <v>18</v>
      </c>
      <c r="E28" s="86">
        <v>2</v>
      </c>
      <c r="F28" s="86">
        <v>28</v>
      </c>
      <c r="G28" s="87">
        <v>6</v>
      </c>
      <c r="H28" s="88" t="s">
        <v>524</v>
      </c>
      <c r="I28" s="85">
        <v>6</v>
      </c>
      <c r="J28" s="86">
        <v>52</v>
      </c>
      <c r="K28" s="85">
        <v>15</v>
      </c>
      <c r="L28" s="85">
        <v>4</v>
      </c>
      <c r="M28" s="85">
        <v>6</v>
      </c>
      <c r="S28" s="132">
        <f t="shared" si="0"/>
        <v>9</v>
      </c>
      <c r="T28" s="129" t="s">
        <v>590</v>
      </c>
      <c r="U28" s="129" t="s">
        <v>179</v>
      </c>
      <c r="V28" s="129" t="s">
        <v>595</v>
      </c>
      <c r="W28" s="129" t="s">
        <v>56</v>
      </c>
      <c r="X28" s="129" t="s">
        <v>535</v>
      </c>
      <c r="Y28" s="129"/>
      <c r="Z28" s="129" t="s">
        <v>601</v>
      </c>
      <c r="AA28" s="129" t="s">
        <v>578</v>
      </c>
      <c r="AB28" s="129" t="s">
        <v>572</v>
      </c>
      <c r="AC28" s="129" t="s">
        <v>491</v>
      </c>
      <c r="AD28" s="129" t="s">
        <v>551</v>
      </c>
    </row>
    <row r="29" spans="2:30" ht="28.8" x14ac:dyDescent="0.3">
      <c r="B29" s="85">
        <v>10</v>
      </c>
      <c r="C29" s="86">
        <v>10</v>
      </c>
      <c r="D29" s="86">
        <v>7</v>
      </c>
      <c r="E29" s="86">
        <v>3</v>
      </c>
      <c r="F29" s="86">
        <v>34</v>
      </c>
      <c r="G29" s="87">
        <v>6</v>
      </c>
      <c r="H29" s="88" t="s">
        <v>524</v>
      </c>
      <c r="I29" s="85">
        <v>8</v>
      </c>
      <c r="J29" s="86">
        <v>39</v>
      </c>
      <c r="K29" s="85">
        <v>13</v>
      </c>
      <c r="L29" s="85">
        <v>0</v>
      </c>
      <c r="M29" s="85">
        <v>7</v>
      </c>
      <c r="S29" s="132">
        <f t="shared" si="0"/>
        <v>10</v>
      </c>
      <c r="T29" s="129" t="s">
        <v>591</v>
      </c>
      <c r="U29" s="129" t="s">
        <v>179</v>
      </c>
      <c r="V29" s="129" t="s">
        <v>379</v>
      </c>
      <c r="W29" s="129" t="s">
        <v>65</v>
      </c>
      <c r="X29" s="129" t="s">
        <v>535</v>
      </c>
      <c r="Y29" s="129"/>
      <c r="Z29" s="129" t="s">
        <v>602</v>
      </c>
      <c r="AA29" s="129" t="s">
        <v>579</v>
      </c>
      <c r="AB29" s="129" t="s">
        <v>577</v>
      </c>
      <c r="AC29" s="129"/>
      <c r="AD29" s="129" t="s">
        <v>552</v>
      </c>
    </row>
    <row r="30" spans="2:30" ht="28.8" x14ac:dyDescent="0.3">
      <c r="B30" s="85">
        <v>11</v>
      </c>
      <c r="C30" s="86">
        <v>19</v>
      </c>
      <c r="D30" s="86">
        <v>15</v>
      </c>
      <c r="E30" s="86">
        <v>4</v>
      </c>
      <c r="F30" s="86">
        <v>37</v>
      </c>
      <c r="G30" s="86">
        <v>7</v>
      </c>
      <c r="H30" s="88" t="s">
        <v>524</v>
      </c>
      <c r="I30" s="85"/>
      <c r="J30" s="86">
        <v>30</v>
      </c>
      <c r="K30" s="85">
        <v>15</v>
      </c>
      <c r="L30" s="85">
        <v>1</v>
      </c>
      <c r="M30" s="85">
        <v>8</v>
      </c>
      <c r="S30" s="132">
        <f t="shared" si="0"/>
        <v>11</v>
      </c>
      <c r="T30" s="129" t="s">
        <v>592</v>
      </c>
      <c r="U30" s="129" t="s">
        <v>180</v>
      </c>
      <c r="V30" s="129" t="s">
        <v>380</v>
      </c>
      <c r="W30" s="129" t="s">
        <v>66</v>
      </c>
      <c r="X30" s="129" t="s">
        <v>535</v>
      </c>
      <c r="Y30" s="129"/>
      <c r="Z30" s="129"/>
      <c r="AA30" s="129" t="s">
        <v>580</v>
      </c>
      <c r="AB30" s="129" t="s">
        <v>572</v>
      </c>
      <c r="AC30" s="129" t="s">
        <v>488</v>
      </c>
      <c r="AD30" s="129" t="s">
        <v>553</v>
      </c>
    </row>
    <row r="31" spans="2:30" ht="28.8" x14ac:dyDescent="0.3">
      <c r="B31" s="85">
        <v>12</v>
      </c>
      <c r="C31" s="86">
        <v>14</v>
      </c>
      <c r="D31" s="86">
        <v>10</v>
      </c>
      <c r="E31" s="86">
        <v>2</v>
      </c>
      <c r="F31" s="86">
        <v>29</v>
      </c>
      <c r="G31" s="87">
        <v>6</v>
      </c>
      <c r="H31" s="88" t="s">
        <v>524</v>
      </c>
      <c r="I31" s="85"/>
      <c r="J31" s="86">
        <v>23</v>
      </c>
      <c r="K31" s="85">
        <v>13</v>
      </c>
      <c r="L31" s="85">
        <v>2</v>
      </c>
      <c r="M31" s="85">
        <v>9</v>
      </c>
      <c r="S31" s="132">
        <f t="shared" si="0"/>
        <v>12</v>
      </c>
      <c r="T31" s="129" t="s">
        <v>593</v>
      </c>
      <c r="U31" s="129" t="s">
        <v>168</v>
      </c>
      <c r="V31" s="129" t="s">
        <v>595</v>
      </c>
      <c r="W31" s="129" t="s">
        <v>56</v>
      </c>
      <c r="X31" s="129" t="s">
        <v>535</v>
      </c>
      <c r="Y31" s="129"/>
      <c r="Z31" s="129"/>
      <c r="AA31" s="129" t="s">
        <v>581</v>
      </c>
      <c r="AB31" s="129" t="s">
        <v>577</v>
      </c>
      <c r="AC31" s="129" t="s">
        <v>489</v>
      </c>
      <c r="AD31" s="129" t="s">
        <v>554</v>
      </c>
    </row>
  </sheetData>
  <customSheetViews>
    <customSheetView guid="{E7571780-ED88-421E-BB12-D2AF189A0D99}">
      <selection activeCell="F4" sqref="F4"/>
      <pageMargins left="0.7" right="0.7" top="0.75" bottom="0.75" header="0.3" footer="0.3"/>
      <pageSetup orientation="portrait" r:id="rId1"/>
    </customSheetView>
    <customSheetView guid="{609F876C-F41A-43C8-BD3D-0455630C6D86}">
      <selection activeCell="F4" sqref="F4"/>
      <pageMargins left="0.7" right="0.7" top="0.75" bottom="0.75" header="0.3" footer="0.3"/>
      <pageSetup orientation="portrait" r:id="rId2"/>
    </customSheetView>
    <customSheetView guid="{F5461B2D-C44D-459F-8141-3B434D52A3D6}">
      <selection activeCell="F4" sqref="F4"/>
      <pageMargins left="0.7" right="0.7" top="0.75" bottom="0.75" header="0.3" footer="0.3"/>
      <pageSetup orientation="portrait" r:id="rId3"/>
    </customSheetView>
    <customSheetView guid="{BF4A82E8-EC44-4B28-ABE7-07086B055DF8}">
      <selection activeCell="F4" sqref="F4"/>
      <pageMargins left="0.7" right="0.7" top="0.75" bottom="0.75" header="0.3" footer="0.3"/>
      <pageSetup orientation="portrait" r:id="rId4"/>
    </customSheetView>
    <customSheetView guid="{F9953651-D17A-4C02-9483-C34B454389F8}">
      <pageMargins left="0.7" right="0.7" top="0.75" bottom="0.75" header="0.3" footer="0.3"/>
      <pageSetup orientation="portrait" r:id="rId5"/>
    </customSheetView>
    <customSheetView guid="{4081EA0D-9F4E-4F6E-9740-125B98E42AAA}">
      <pageMargins left="0.7" right="0.7" top="0.75" bottom="0.75" header="0.3" footer="0.3"/>
      <pageSetup orientation="portrait" r:id="rId6"/>
    </customSheetView>
    <customSheetView guid="{568372EE-5594-48E8-AA4D-B2DFAABD6FBE}">
      <pageMargins left="0.7" right="0.7" top="0.75" bottom="0.75" header="0.3" footer="0.3"/>
      <pageSetup orientation="portrait" r:id="rId7"/>
    </customSheetView>
    <customSheetView guid="{0C14E275-67BD-4894-92C8-CC979B55C5D1}">
      <pageMargins left="0.7" right="0.7" top="0.75" bottom="0.75" header="0.3" footer="0.3"/>
      <pageSetup orientation="portrait" r:id="rId8"/>
    </customSheetView>
    <customSheetView guid="{E04D4D10-73E7-40D1-833B-CE4AC2EB45A8}">
      <pageMargins left="0.7" right="0.7" top="0.75" bottom="0.75" header="0.3" footer="0.3"/>
      <pageSetup orientation="portrait" r:id="rId9"/>
    </customSheetView>
    <customSheetView guid="{E6A6C2C1-501F-4FA5-9A65-F097BADC7A88}" showPageBreaks="1" fitToPage="1" topLeftCell="H1">
      <selection activeCell="F4" sqref="F4"/>
      <pageMargins left="0.7" right="0.7" top="0.75" bottom="0.75" header="0.3" footer="0.3"/>
      <pageSetup paperSize="5" scale="48" fitToHeight="0" orientation="landscape" r:id="rId10"/>
    </customSheetView>
    <customSheetView guid="{189813C8-BE28-4174-A3B5-1C707449DBD3}">
      <selection activeCell="F4" sqref="F4"/>
      <pageMargins left="0.7" right="0.7" top="0.75" bottom="0.75" header="0.3" footer="0.3"/>
      <pageSetup orientation="portrait" r:id="rId11"/>
    </customSheetView>
    <customSheetView guid="{A1D6424A-E1FA-4BDE-9758-50490C40BCC4}">
      <selection activeCell="F4" sqref="F4"/>
      <pageMargins left="0.7" right="0.7" top="0.75" bottom="0.75" header="0.3" footer="0.3"/>
      <pageSetup orientation="portrait" r:id="rId12"/>
    </customSheetView>
  </customSheetViews>
  <hyperlinks>
    <hyperlink ref="A1" display="Directory"/>
    <hyperlink ref="B1" display="D9859 Scoreboard"/>
  </hyperlinks>
  <pageMargins left="0.7" right="0.7" top="0.75" bottom="0.75" header="0.3" footer="0.3"/>
  <pageSetup orientation="portrait" r:id="rId13"/>
  <drawing r:id="rId14"/>
  <legacyDrawing r:id="rId15"/>
  <controls>
    <mc:AlternateContent xmlns:mc="http://schemas.openxmlformats.org/markup-compatibility/2006">
      <mc:Choice Requires="x14">
        <control shapeId="7169" r:id="rId16" name="CommandButton1">
          <controlPr defaultSize="0" autoLine="0" autoPict="0" r:id="rId17">
            <anchor moveWithCells="1">
              <from>
                <xdr:col>18</xdr:col>
                <xdr:colOff>114300</xdr:colOff>
                <xdr:row>0</xdr:row>
                <xdr:rowOff>76200</xdr:rowOff>
              </from>
              <to>
                <xdr:col>20</xdr:col>
                <xdr:colOff>0</xdr:colOff>
                <xdr:row>2</xdr:row>
                <xdr:rowOff>0</xdr:rowOff>
              </to>
            </anchor>
          </controlPr>
        </control>
      </mc:Choice>
      <mc:Fallback>
        <control shapeId="7169" r:id="rId1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Y145"/>
  <sheetViews>
    <sheetView topLeftCell="J1" zoomScale="90" zoomScaleNormal="90" workbookViewId="0">
      <pane ySplit="9" topLeftCell="A10" activePane="bottomLeft" state="frozen"/>
      <selection activeCell="J1" sqref="J1"/>
      <selection pane="bottomLeft" activeCell="Z140" sqref="Z140"/>
    </sheetView>
  </sheetViews>
  <sheetFormatPr defaultColWidth="9.109375" defaultRowHeight="14.4" x14ac:dyDescent="0.3"/>
  <cols>
    <col min="1" max="1" width="11" style="201" bestFit="1" customWidth="1"/>
    <col min="2" max="2" width="10" style="201" customWidth="1"/>
    <col min="3" max="3" width="6.33203125" style="201" bestFit="1" customWidth="1"/>
    <col min="4" max="4" width="13" style="201" bestFit="1" customWidth="1"/>
    <col min="5" max="5" width="12.33203125" style="201" customWidth="1"/>
    <col min="6" max="6" width="7.33203125" style="201" bestFit="1" customWidth="1"/>
    <col min="7" max="7" width="6.6640625" style="201" bestFit="1" customWidth="1"/>
    <col min="8" max="8" width="7.33203125" style="201" customWidth="1"/>
    <col min="9" max="10" width="7.109375" style="201" bestFit="1" customWidth="1"/>
    <col min="11" max="11" width="10.109375" style="201" customWidth="1"/>
    <col min="12" max="14" width="7.109375" style="201" bestFit="1" customWidth="1"/>
    <col min="15" max="15" width="6.88671875" style="201" bestFit="1" customWidth="1"/>
    <col min="16" max="16" width="6" style="201" bestFit="1" customWidth="1"/>
    <col min="17" max="17" width="6.88671875" style="201" bestFit="1" customWidth="1"/>
    <col min="18" max="18" width="7.5546875" style="201" bestFit="1" customWidth="1"/>
    <col min="19" max="19" width="5.6640625" style="201" bestFit="1" customWidth="1"/>
    <col min="20" max="20" width="5.33203125" style="201" bestFit="1" customWidth="1"/>
    <col min="21" max="21" width="6.6640625" style="207" customWidth="1"/>
    <col min="22" max="22" width="12.44140625" style="208" bestFit="1" customWidth="1"/>
    <col min="23" max="23" width="8.33203125" style="201" customWidth="1"/>
    <col min="24" max="24" width="58.33203125" style="209" bestFit="1" customWidth="1"/>
    <col min="25" max="25" width="9.109375" style="201"/>
    <col min="26" max="26" width="19.6640625" style="201" customWidth="1"/>
    <col min="27" max="27" width="37.109375" style="201" customWidth="1"/>
    <col min="28" max="16384" width="9.109375" style="201"/>
  </cols>
  <sheetData>
    <row r="1" spans="1:25" ht="15" thickBot="1" x14ac:dyDescent="0.35">
      <c r="A1" s="113" t="s">
        <v>499</v>
      </c>
      <c r="B1" s="620" t="s">
        <v>606</v>
      </c>
      <c r="C1" s="621"/>
      <c r="D1" s="621"/>
      <c r="E1" s="621"/>
      <c r="F1" s="621"/>
      <c r="G1" s="621"/>
      <c r="H1" s="621"/>
      <c r="I1" s="621"/>
      <c r="J1" s="621"/>
      <c r="K1" s="621"/>
      <c r="L1" s="621"/>
      <c r="M1" s="621"/>
      <c r="N1" s="621"/>
      <c r="O1" s="621"/>
      <c r="P1" s="621"/>
      <c r="Q1" s="621"/>
      <c r="R1" s="621"/>
      <c r="S1" s="621"/>
      <c r="T1" s="621"/>
      <c r="U1" s="622"/>
      <c r="V1" s="198"/>
      <c r="W1" s="199"/>
      <c r="X1" s="264"/>
      <c r="Y1" s="200" t="s">
        <v>2</v>
      </c>
    </row>
    <row r="2" spans="1:25" ht="15" thickBot="1" x14ac:dyDescent="0.35">
      <c r="A2" s="202" t="s">
        <v>512</v>
      </c>
      <c r="B2" s="193" t="s">
        <v>184</v>
      </c>
      <c r="C2" s="193" t="s">
        <v>208</v>
      </c>
      <c r="D2" s="193" t="s">
        <v>67</v>
      </c>
      <c r="E2" s="193" t="s">
        <v>447</v>
      </c>
      <c r="F2" s="193" t="s">
        <v>448</v>
      </c>
      <c r="G2" s="193" t="s">
        <v>629</v>
      </c>
      <c r="H2" s="193" t="s">
        <v>630</v>
      </c>
      <c r="I2" s="193" t="s">
        <v>632</v>
      </c>
      <c r="J2" s="193" t="s">
        <v>633</v>
      </c>
      <c r="K2" s="193" t="s">
        <v>634</v>
      </c>
      <c r="L2" s="193" t="s">
        <v>635</v>
      </c>
      <c r="M2" s="193" t="s">
        <v>636</v>
      </c>
      <c r="N2" s="193" t="s">
        <v>637</v>
      </c>
      <c r="O2" s="193" t="s">
        <v>528</v>
      </c>
      <c r="P2" s="193" t="s">
        <v>210</v>
      </c>
      <c r="Q2" s="193" t="s">
        <v>211</v>
      </c>
      <c r="R2" s="193" t="s">
        <v>212</v>
      </c>
      <c r="S2" s="193" t="s">
        <v>503</v>
      </c>
      <c r="T2" s="193" t="s">
        <v>504</v>
      </c>
      <c r="U2" s="194" t="s">
        <v>377</v>
      </c>
      <c r="V2" s="198" t="s">
        <v>505</v>
      </c>
      <c r="W2" s="199" t="s">
        <v>506</v>
      </c>
      <c r="X2" s="265" t="s">
        <v>507</v>
      </c>
      <c r="Y2" s="203" t="s">
        <v>509</v>
      </c>
    </row>
    <row r="3" spans="1:25" ht="15" thickTop="1" x14ac:dyDescent="0.3">
      <c r="A3" s="218" t="s">
        <v>641</v>
      </c>
      <c r="B3" s="219">
        <v>0.47058823529411764</v>
      </c>
      <c r="C3" s="219">
        <v>8.3333333333333329E-2</v>
      </c>
      <c r="D3" s="219">
        <v>0.20408163265306123</v>
      </c>
      <c r="E3" s="219">
        <v>0.15094339622641509</v>
      </c>
      <c r="F3" s="219">
        <v>7.1428571428571425E-2</v>
      </c>
      <c r="G3" s="219">
        <v>0.13513513513513514</v>
      </c>
      <c r="H3" s="219">
        <v>0.1891891891891892</v>
      </c>
      <c r="I3" s="219">
        <v>0.27027027027027029</v>
      </c>
      <c r="J3" s="219">
        <v>0.29729729729729731</v>
      </c>
      <c r="K3" s="219">
        <v>0.21621621621621623</v>
      </c>
      <c r="L3" s="219">
        <v>0.1891891891891892</v>
      </c>
      <c r="M3" s="219">
        <v>0.16216216216216217</v>
      </c>
      <c r="N3" s="219">
        <v>0.16216216216216217</v>
      </c>
      <c r="O3" s="219">
        <v>0.75</v>
      </c>
      <c r="P3" s="219">
        <v>0.14285714285714285</v>
      </c>
      <c r="Q3" s="219">
        <v>0</v>
      </c>
      <c r="R3" s="219">
        <v>0</v>
      </c>
      <c r="S3" s="219">
        <v>0</v>
      </c>
      <c r="T3" s="219">
        <v>0</v>
      </c>
      <c r="U3" s="219">
        <v>0</v>
      </c>
      <c r="V3" s="219"/>
      <c r="W3" s="219"/>
      <c r="X3" s="266"/>
      <c r="Y3" s="307" t="s">
        <v>3</v>
      </c>
    </row>
    <row r="4" spans="1:25" x14ac:dyDescent="0.3">
      <c r="A4" s="223" t="s">
        <v>642</v>
      </c>
      <c r="B4" s="224">
        <v>0.88235294117647056</v>
      </c>
      <c r="C4" s="224">
        <v>0.75</v>
      </c>
      <c r="D4" s="224">
        <v>0.67346938775510201</v>
      </c>
      <c r="E4" s="224">
        <v>0.73584905660377353</v>
      </c>
      <c r="F4" s="224">
        <v>1</v>
      </c>
      <c r="G4" s="224">
        <v>0.64864864864864868</v>
      </c>
      <c r="H4" s="224">
        <v>0.7567567567567568</v>
      </c>
      <c r="I4" s="224">
        <v>0.72972972972972971</v>
      </c>
      <c r="J4" s="224">
        <v>0.72972972972972971</v>
      </c>
      <c r="K4" s="224">
        <v>0.45945945945945948</v>
      </c>
      <c r="L4" s="224">
        <v>0.40540540540540543</v>
      </c>
      <c r="M4" s="224">
        <v>0.29729729729729731</v>
      </c>
      <c r="N4" s="224">
        <v>0.29729729729729731</v>
      </c>
      <c r="O4" s="224">
        <v>1</v>
      </c>
      <c r="P4" s="224">
        <v>0.8571428571428571</v>
      </c>
      <c r="Q4" s="224">
        <v>1</v>
      </c>
      <c r="R4" s="224">
        <v>1</v>
      </c>
      <c r="S4" s="224">
        <v>1</v>
      </c>
      <c r="T4" s="224">
        <v>1</v>
      </c>
      <c r="U4" s="224">
        <v>0.42857142857142855</v>
      </c>
      <c r="V4" s="224"/>
      <c r="W4" s="224"/>
      <c r="X4" s="267"/>
      <c r="Y4" s="205" t="s">
        <v>4</v>
      </c>
    </row>
    <row r="5" spans="1:25" ht="27" customHeight="1" x14ac:dyDescent="0.3">
      <c r="A5" s="204" t="s">
        <v>510</v>
      </c>
      <c r="B5" s="195" t="s">
        <v>701</v>
      </c>
      <c r="C5" s="195" t="s">
        <v>677</v>
      </c>
      <c r="D5" s="195" t="s">
        <v>730</v>
      </c>
      <c r="E5" s="195" t="s">
        <v>755</v>
      </c>
      <c r="F5" s="195"/>
      <c r="G5" s="195" t="s">
        <v>756</v>
      </c>
      <c r="H5" s="195" t="s">
        <v>724</v>
      </c>
      <c r="I5" s="195" t="s">
        <v>757</v>
      </c>
      <c r="J5" s="195" t="s">
        <v>758</v>
      </c>
      <c r="K5" s="195" t="s">
        <v>759</v>
      </c>
      <c r="L5" s="195" t="s">
        <v>760</v>
      </c>
      <c r="M5" s="195" t="s">
        <v>761</v>
      </c>
      <c r="N5" s="195" t="s">
        <v>761</v>
      </c>
      <c r="O5" s="195"/>
      <c r="P5" s="195">
        <v>1</v>
      </c>
      <c r="Q5" s="195"/>
      <c r="R5" s="195"/>
      <c r="S5" s="195"/>
      <c r="T5" s="195"/>
      <c r="U5" s="195" t="s">
        <v>670</v>
      </c>
      <c r="V5" s="195"/>
      <c r="W5" s="195"/>
      <c r="X5" s="196"/>
      <c r="Y5" s="268" t="s">
        <v>638</v>
      </c>
    </row>
    <row r="6" spans="1:25" ht="15" thickBot="1" x14ac:dyDescent="0.35">
      <c r="A6" s="220" t="s">
        <v>511</v>
      </c>
      <c r="B6" s="221"/>
      <c r="C6" s="221"/>
      <c r="D6" s="221"/>
      <c r="E6" s="221"/>
      <c r="F6" s="221"/>
      <c r="G6" s="221"/>
      <c r="H6" s="221"/>
      <c r="I6" s="221"/>
      <c r="J6" s="221"/>
      <c r="K6" s="221"/>
      <c r="L6" s="221"/>
      <c r="M6" s="221"/>
      <c r="N6" s="221"/>
      <c r="O6" s="221"/>
      <c r="P6" s="221"/>
      <c r="Q6" s="221"/>
      <c r="R6" s="221"/>
      <c r="S6" s="221"/>
      <c r="T6" s="221"/>
      <c r="U6" s="221"/>
      <c r="V6" s="221"/>
      <c r="W6" s="221"/>
      <c r="X6" s="222"/>
    </row>
    <row r="7" spans="1:25" s="206" customFormat="1" ht="72.599999999999994" thickTop="1" x14ac:dyDescent="0.3">
      <c r="A7" s="562">
        <v>41690</v>
      </c>
      <c r="B7" s="563">
        <v>4</v>
      </c>
      <c r="C7" s="563">
        <v>15</v>
      </c>
      <c r="D7" s="563">
        <v>18</v>
      </c>
      <c r="E7" s="563">
        <v>28</v>
      </c>
      <c r="F7" s="563">
        <v>2</v>
      </c>
      <c r="G7" s="564">
        <v>17</v>
      </c>
      <c r="H7" s="564">
        <v>17</v>
      </c>
      <c r="I7" s="564">
        <v>17</v>
      </c>
      <c r="J7" s="564">
        <v>17</v>
      </c>
      <c r="K7" s="564">
        <v>18</v>
      </c>
      <c r="L7" s="564">
        <v>18</v>
      </c>
      <c r="M7" s="564">
        <v>18</v>
      </c>
      <c r="N7" s="564">
        <v>18</v>
      </c>
      <c r="O7" s="563">
        <v>5</v>
      </c>
      <c r="P7" s="563">
        <v>7</v>
      </c>
      <c r="Q7" s="563">
        <v>3</v>
      </c>
      <c r="R7" s="563">
        <v>9</v>
      </c>
      <c r="S7" s="563">
        <v>1</v>
      </c>
      <c r="T7" s="563">
        <v>2</v>
      </c>
      <c r="U7" s="563">
        <v>5</v>
      </c>
      <c r="V7" s="565" t="s">
        <v>678</v>
      </c>
      <c r="W7" s="566" t="s">
        <v>660</v>
      </c>
      <c r="X7" s="557" t="s">
        <v>661</v>
      </c>
    </row>
    <row r="8" spans="1:25" s="206" customFormat="1" ht="48" x14ac:dyDescent="0.3">
      <c r="A8" s="555">
        <v>41691</v>
      </c>
      <c r="B8" s="563">
        <v>5</v>
      </c>
      <c r="C8" s="563">
        <v>16</v>
      </c>
      <c r="D8" s="563">
        <v>39</v>
      </c>
      <c r="E8" s="563">
        <v>43</v>
      </c>
      <c r="F8" s="563">
        <v>8</v>
      </c>
      <c r="G8" s="564">
        <v>4</v>
      </c>
      <c r="H8" s="564">
        <v>8</v>
      </c>
      <c r="I8" s="564">
        <v>0</v>
      </c>
      <c r="J8" s="564">
        <v>0</v>
      </c>
      <c r="K8" s="564">
        <v>0</v>
      </c>
      <c r="L8" s="564">
        <v>0</v>
      </c>
      <c r="M8" s="564">
        <v>0</v>
      </c>
      <c r="N8" s="564">
        <v>0</v>
      </c>
      <c r="O8" s="563">
        <v>7</v>
      </c>
      <c r="P8" s="563">
        <v>4</v>
      </c>
      <c r="Q8" s="563">
        <v>2</v>
      </c>
      <c r="R8" s="563">
        <v>11</v>
      </c>
      <c r="S8" s="563">
        <v>1</v>
      </c>
      <c r="T8" s="563">
        <v>2</v>
      </c>
      <c r="U8" s="563">
        <v>7</v>
      </c>
      <c r="V8" s="565" t="s">
        <v>678</v>
      </c>
      <c r="W8" s="200" t="s">
        <v>2</v>
      </c>
      <c r="X8" s="569" t="s">
        <v>662</v>
      </c>
    </row>
    <row r="9" spans="1:25" s="206" customFormat="1" ht="72" x14ac:dyDescent="0.3">
      <c r="A9" s="555">
        <v>41694</v>
      </c>
      <c r="B9" s="563">
        <v>11</v>
      </c>
      <c r="C9" s="563">
        <v>17</v>
      </c>
      <c r="D9" s="563">
        <v>11</v>
      </c>
      <c r="E9" s="563">
        <v>17</v>
      </c>
      <c r="F9" s="563">
        <v>5</v>
      </c>
      <c r="G9" s="564">
        <v>9</v>
      </c>
      <c r="H9" s="564">
        <v>9</v>
      </c>
      <c r="I9" s="564">
        <v>9</v>
      </c>
      <c r="J9" s="564">
        <v>10</v>
      </c>
      <c r="K9" s="564">
        <v>10</v>
      </c>
      <c r="L9" s="564">
        <v>10</v>
      </c>
      <c r="M9" s="564">
        <v>0</v>
      </c>
      <c r="N9" s="564">
        <v>0</v>
      </c>
      <c r="O9" s="563">
        <v>4</v>
      </c>
      <c r="P9" s="563">
        <v>6</v>
      </c>
      <c r="Q9" s="563">
        <v>3</v>
      </c>
      <c r="R9" s="563">
        <v>5</v>
      </c>
      <c r="S9" s="563">
        <v>2</v>
      </c>
      <c r="T9" s="563">
        <v>2</v>
      </c>
      <c r="U9" s="563">
        <v>5</v>
      </c>
      <c r="V9" s="565" t="s">
        <v>683</v>
      </c>
      <c r="W9" s="200" t="s">
        <v>2</v>
      </c>
      <c r="X9" s="569" t="s">
        <v>663</v>
      </c>
    </row>
    <row r="10" spans="1:25" s="580" customFormat="1" ht="48" customHeight="1" x14ac:dyDescent="0.3">
      <c r="A10" s="578">
        <v>41695</v>
      </c>
      <c r="B10" s="563">
        <v>14</v>
      </c>
      <c r="C10" s="563">
        <v>17</v>
      </c>
      <c r="D10" s="563">
        <v>24</v>
      </c>
      <c r="E10" s="563">
        <v>52</v>
      </c>
      <c r="F10" s="563">
        <v>11</v>
      </c>
      <c r="G10" s="564">
        <v>32</v>
      </c>
      <c r="H10" s="564">
        <v>32</v>
      </c>
      <c r="I10" s="564">
        <v>34</v>
      </c>
      <c r="J10" s="564">
        <v>0</v>
      </c>
      <c r="K10" s="564">
        <v>0</v>
      </c>
      <c r="L10" s="564">
        <v>0</v>
      </c>
      <c r="M10" s="564">
        <v>0</v>
      </c>
      <c r="N10" s="564">
        <v>0</v>
      </c>
      <c r="O10" s="563">
        <v>6</v>
      </c>
      <c r="P10" s="563">
        <v>6</v>
      </c>
      <c r="Q10" s="563">
        <v>2</v>
      </c>
      <c r="R10" s="563">
        <v>2</v>
      </c>
      <c r="S10" s="563">
        <v>1</v>
      </c>
      <c r="T10" s="563">
        <v>2</v>
      </c>
      <c r="U10" s="563">
        <v>7</v>
      </c>
      <c r="V10" s="565" t="s">
        <v>678</v>
      </c>
      <c r="W10" s="563" t="s">
        <v>2</v>
      </c>
      <c r="X10" s="579" t="s">
        <v>664</v>
      </c>
    </row>
    <row r="11" spans="1:25" s="580" customFormat="1" ht="48" customHeight="1" x14ac:dyDescent="0.3">
      <c r="A11" s="578">
        <v>41696</v>
      </c>
      <c r="B11" s="563">
        <v>13</v>
      </c>
      <c r="C11" s="563">
        <v>18</v>
      </c>
      <c r="D11" s="563">
        <v>36</v>
      </c>
      <c r="E11" s="563">
        <v>51</v>
      </c>
      <c r="F11" s="563">
        <v>13</v>
      </c>
      <c r="G11" s="564">
        <v>3</v>
      </c>
      <c r="H11" s="564">
        <v>7</v>
      </c>
      <c r="I11" s="564">
        <v>0</v>
      </c>
      <c r="J11" s="564">
        <v>0</v>
      </c>
      <c r="K11" s="564">
        <v>0</v>
      </c>
      <c r="L11" s="564">
        <v>0</v>
      </c>
      <c r="M11" s="564">
        <v>0</v>
      </c>
      <c r="N11" s="564">
        <v>0</v>
      </c>
      <c r="O11" s="563">
        <v>8</v>
      </c>
      <c r="P11" s="563">
        <v>5</v>
      </c>
      <c r="Q11" s="563">
        <v>2</v>
      </c>
      <c r="R11" s="563">
        <v>2</v>
      </c>
      <c r="S11" s="563">
        <v>1</v>
      </c>
      <c r="T11" s="563">
        <v>2</v>
      </c>
      <c r="U11" s="563">
        <v>7</v>
      </c>
      <c r="V11" s="565" t="s">
        <v>678</v>
      </c>
      <c r="W11" s="563" t="s">
        <v>2</v>
      </c>
      <c r="X11" s="579" t="s">
        <v>665</v>
      </c>
    </row>
    <row r="12" spans="1:25" s="580" customFormat="1" ht="48" customHeight="1" x14ac:dyDescent="0.3">
      <c r="A12" s="578">
        <v>41697</v>
      </c>
      <c r="B12" s="563">
        <v>14</v>
      </c>
      <c r="C12" s="563">
        <v>18</v>
      </c>
      <c r="D12" s="563">
        <v>35</v>
      </c>
      <c r="E12" s="563">
        <v>18</v>
      </c>
      <c r="F12" s="563">
        <v>14</v>
      </c>
      <c r="G12" s="564">
        <v>26</v>
      </c>
      <c r="H12" s="564">
        <v>26</v>
      </c>
      <c r="I12" s="564">
        <v>28</v>
      </c>
      <c r="J12" s="564">
        <v>0</v>
      </c>
      <c r="K12" s="564">
        <v>0</v>
      </c>
      <c r="L12" s="564">
        <v>0</v>
      </c>
      <c r="M12" s="564">
        <v>0</v>
      </c>
      <c r="N12" s="564">
        <v>0</v>
      </c>
      <c r="O12" s="563">
        <v>6</v>
      </c>
      <c r="P12" s="563">
        <v>5</v>
      </c>
      <c r="Q12" s="563">
        <v>3</v>
      </c>
      <c r="R12" s="563">
        <v>5</v>
      </c>
      <c r="S12" s="563">
        <v>1</v>
      </c>
      <c r="T12" s="563">
        <v>2</v>
      </c>
      <c r="U12" s="563">
        <v>5</v>
      </c>
      <c r="V12" s="565" t="s">
        <v>678</v>
      </c>
      <c r="W12" s="563" t="s">
        <v>2</v>
      </c>
      <c r="X12" s="579" t="s">
        <v>666</v>
      </c>
    </row>
    <row r="13" spans="1:25" s="580" customFormat="1" ht="48" customHeight="1" x14ac:dyDescent="0.3">
      <c r="A13" s="578">
        <v>41698</v>
      </c>
      <c r="B13" s="563">
        <v>14</v>
      </c>
      <c r="C13" s="563">
        <v>16</v>
      </c>
      <c r="D13" s="563">
        <v>23</v>
      </c>
      <c r="E13" s="563">
        <v>48</v>
      </c>
      <c r="F13" s="563">
        <v>10</v>
      </c>
      <c r="G13" s="564">
        <v>15</v>
      </c>
      <c r="H13" s="564">
        <v>19</v>
      </c>
      <c r="I13" s="564">
        <v>0</v>
      </c>
      <c r="J13" s="564">
        <v>0</v>
      </c>
      <c r="K13" s="564">
        <v>0</v>
      </c>
      <c r="L13" s="564">
        <v>0</v>
      </c>
      <c r="M13" s="564">
        <v>0</v>
      </c>
      <c r="N13" s="564">
        <v>0</v>
      </c>
      <c r="O13" s="563">
        <v>8</v>
      </c>
      <c r="P13" s="563">
        <v>5</v>
      </c>
      <c r="Q13" s="563">
        <v>1</v>
      </c>
      <c r="R13" s="563">
        <v>1</v>
      </c>
      <c r="S13" s="563">
        <v>1</v>
      </c>
      <c r="T13" s="563">
        <v>2</v>
      </c>
      <c r="U13" s="563">
        <v>7</v>
      </c>
      <c r="V13" s="565" t="s">
        <v>678</v>
      </c>
      <c r="W13" s="563" t="s">
        <v>2</v>
      </c>
      <c r="X13" s="579" t="s">
        <v>667</v>
      </c>
    </row>
    <row r="14" spans="1:25" s="206" customFormat="1" ht="72" x14ac:dyDescent="0.3">
      <c r="A14" s="562">
        <v>41701</v>
      </c>
      <c r="B14" s="563">
        <v>2</v>
      </c>
      <c r="C14" s="563">
        <v>15</v>
      </c>
      <c r="D14" s="563">
        <v>7</v>
      </c>
      <c r="E14" s="563">
        <v>25</v>
      </c>
      <c r="F14" s="563">
        <v>12</v>
      </c>
      <c r="G14" s="564">
        <v>23</v>
      </c>
      <c r="H14" s="564">
        <v>23</v>
      </c>
      <c r="I14" s="564">
        <v>23</v>
      </c>
      <c r="J14" s="564">
        <v>23</v>
      </c>
      <c r="K14" s="564">
        <v>24</v>
      </c>
      <c r="L14" s="564">
        <v>24</v>
      </c>
      <c r="M14" s="564">
        <v>24</v>
      </c>
      <c r="N14" s="564">
        <v>24</v>
      </c>
      <c r="O14" s="563">
        <v>3</v>
      </c>
      <c r="P14" s="563">
        <v>2</v>
      </c>
      <c r="Q14" s="563">
        <v>3</v>
      </c>
      <c r="R14" s="563">
        <v>5</v>
      </c>
      <c r="S14" s="563">
        <v>1</v>
      </c>
      <c r="T14" s="563">
        <v>1</v>
      </c>
      <c r="U14" s="563">
        <v>5</v>
      </c>
      <c r="V14" s="565" t="s">
        <v>678</v>
      </c>
      <c r="W14" s="566" t="s">
        <v>660</v>
      </c>
      <c r="X14" s="557" t="s">
        <v>668</v>
      </c>
    </row>
    <row r="15" spans="1:25" s="206" customFormat="1" ht="36" x14ac:dyDescent="0.3">
      <c r="A15" s="562">
        <v>41702</v>
      </c>
      <c r="B15" s="563">
        <v>1</v>
      </c>
      <c r="C15" s="563">
        <v>1</v>
      </c>
      <c r="D15" s="563">
        <v>4</v>
      </c>
      <c r="E15" s="563">
        <v>24</v>
      </c>
      <c r="F15" s="563">
        <v>3</v>
      </c>
      <c r="G15" s="564">
        <v>21</v>
      </c>
      <c r="H15" s="564">
        <v>21</v>
      </c>
      <c r="I15" s="564">
        <v>21</v>
      </c>
      <c r="J15" s="564">
        <v>21</v>
      </c>
      <c r="K15" s="564">
        <v>22</v>
      </c>
      <c r="L15" s="564">
        <v>22</v>
      </c>
      <c r="M15" s="564">
        <v>22</v>
      </c>
      <c r="N15" s="564">
        <v>22</v>
      </c>
      <c r="O15" s="563">
        <v>4</v>
      </c>
      <c r="P15" s="563">
        <v>2</v>
      </c>
      <c r="Q15" s="563">
        <v>4</v>
      </c>
      <c r="R15" s="563">
        <v>0</v>
      </c>
      <c r="S15" s="563">
        <v>1</v>
      </c>
      <c r="T15" s="563">
        <v>1</v>
      </c>
      <c r="U15" s="563">
        <v>6</v>
      </c>
      <c r="V15" s="565" t="s">
        <v>678</v>
      </c>
      <c r="W15" s="563" t="s">
        <v>2</v>
      </c>
      <c r="X15" s="557" t="s">
        <v>669</v>
      </c>
    </row>
    <row r="16" spans="1:25" s="206" customFormat="1" ht="60" x14ac:dyDescent="0.3">
      <c r="A16" s="562">
        <v>41703</v>
      </c>
      <c r="B16" s="563">
        <v>13</v>
      </c>
      <c r="C16" s="563">
        <v>15</v>
      </c>
      <c r="D16" s="563">
        <v>38</v>
      </c>
      <c r="E16" s="563">
        <v>44</v>
      </c>
      <c r="F16" s="563">
        <v>9</v>
      </c>
      <c r="G16" s="564">
        <v>8</v>
      </c>
      <c r="H16" s="564">
        <v>37</v>
      </c>
      <c r="I16" s="564">
        <v>0</v>
      </c>
      <c r="J16" s="564">
        <v>0</v>
      </c>
      <c r="K16" s="564">
        <v>0</v>
      </c>
      <c r="L16" s="564">
        <v>0</v>
      </c>
      <c r="M16" s="564">
        <v>0</v>
      </c>
      <c r="N16" s="564">
        <v>0</v>
      </c>
      <c r="O16" s="563">
        <v>5</v>
      </c>
      <c r="P16" s="563">
        <v>7</v>
      </c>
      <c r="Q16" s="563">
        <v>2</v>
      </c>
      <c r="R16" s="563">
        <v>11</v>
      </c>
      <c r="S16" s="563">
        <v>1</v>
      </c>
      <c r="T16" s="563">
        <v>2</v>
      </c>
      <c r="U16" s="563">
        <v>7</v>
      </c>
      <c r="V16" s="565" t="s">
        <v>678</v>
      </c>
      <c r="W16" s="563" t="s">
        <v>2</v>
      </c>
      <c r="X16" s="557" t="s">
        <v>671</v>
      </c>
    </row>
    <row r="17" spans="1:24" s="206" customFormat="1" ht="36" x14ac:dyDescent="0.3">
      <c r="A17" s="562">
        <v>41704</v>
      </c>
      <c r="B17" s="563">
        <v>4</v>
      </c>
      <c r="C17" s="563">
        <v>2</v>
      </c>
      <c r="D17" s="563">
        <v>8</v>
      </c>
      <c r="E17" s="563">
        <v>20</v>
      </c>
      <c r="F17" s="563">
        <v>15</v>
      </c>
      <c r="G17" s="564">
        <v>23</v>
      </c>
      <c r="H17" s="564">
        <v>23</v>
      </c>
      <c r="I17" s="564">
        <v>24</v>
      </c>
      <c r="J17" s="564">
        <v>24</v>
      </c>
      <c r="K17" s="564">
        <v>0</v>
      </c>
      <c r="L17" s="564">
        <v>0</v>
      </c>
      <c r="M17" s="564">
        <v>0</v>
      </c>
      <c r="N17" s="564">
        <v>0</v>
      </c>
      <c r="O17" s="563">
        <v>5</v>
      </c>
      <c r="P17" s="563">
        <v>3</v>
      </c>
      <c r="Q17" s="563">
        <v>4</v>
      </c>
      <c r="R17" s="563">
        <v>12</v>
      </c>
      <c r="S17" s="563">
        <v>0</v>
      </c>
      <c r="T17" s="563">
        <v>1</v>
      </c>
      <c r="U17" s="563">
        <v>5</v>
      </c>
      <c r="V17" s="565" t="s">
        <v>678</v>
      </c>
      <c r="W17" s="563" t="s">
        <v>2</v>
      </c>
      <c r="X17" s="557" t="s">
        <v>672</v>
      </c>
    </row>
    <row r="18" spans="1:24" s="206" customFormat="1" ht="96" x14ac:dyDescent="0.3">
      <c r="A18" s="562">
        <v>41705</v>
      </c>
      <c r="B18" s="563">
        <v>3</v>
      </c>
      <c r="C18" s="563">
        <v>3</v>
      </c>
      <c r="D18" s="563">
        <v>14</v>
      </c>
      <c r="E18" s="563">
        <v>31</v>
      </c>
      <c r="F18" s="563">
        <v>16</v>
      </c>
      <c r="G18" s="564">
        <v>11</v>
      </c>
      <c r="H18" s="564">
        <v>11</v>
      </c>
      <c r="I18" s="564">
        <v>11</v>
      </c>
      <c r="J18" s="564">
        <v>11</v>
      </c>
      <c r="K18" s="564">
        <v>12</v>
      </c>
      <c r="L18" s="564">
        <v>12</v>
      </c>
      <c r="M18" s="564">
        <v>12</v>
      </c>
      <c r="N18" s="564">
        <v>12</v>
      </c>
      <c r="O18" s="563">
        <v>2</v>
      </c>
      <c r="P18" s="563">
        <v>3</v>
      </c>
      <c r="Q18" s="563">
        <v>4</v>
      </c>
      <c r="R18" s="563">
        <v>12</v>
      </c>
      <c r="S18" s="563">
        <v>1</v>
      </c>
      <c r="T18" s="563">
        <v>2</v>
      </c>
      <c r="U18" s="563">
        <v>5</v>
      </c>
      <c r="V18" s="565" t="s">
        <v>678</v>
      </c>
      <c r="W18" s="563" t="s">
        <v>2</v>
      </c>
      <c r="X18" s="557" t="s">
        <v>673</v>
      </c>
    </row>
    <row r="19" spans="1:24" s="206" customFormat="1" ht="48" x14ac:dyDescent="0.3">
      <c r="A19" s="562">
        <v>41708</v>
      </c>
      <c r="B19" s="563">
        <v>18</v>
      </c>
      <c r="C19" s="563">
        <v>7</v>
      </c>
      <c r="D19" s="563">
        <v>16</v>
      </c>
      <c r="E19" s="563">
        <v>34</v>
      </c>
      <c r="F19" s="563">
        <v>4</v>
      </c>
      <c r="G19" s="564">
        <v>31</v>
      </c>
      <c r="H19" s="564">
        <v>31</v>
      </c>
      <c r="I19" s="564">
        <v>31</v>
      </c>
      <c r="J19" s="564">
        <v>31</v>
      </c>
      <c r="K19" s="564">
        <v>33</v>
      </c>
      <c r="L19" s="564">
        <v>33</v>
      </c>
      <c r="M19" s="564">
        <v>33</v>
      </c>
      <c r="N19" s="564">
        <v>33</v>
      </c>
      <c r="O19" s="563">
        <v>5</v>
      </c>
      <c r="P19" s="563">
        <v>7</v>
      </c>
      <c r="Q19" s="563">
        <v>2</v>
      </c>
      <c r="R19" s="563">
        <v>10</v>
      </c>
      <c r="S19" s="563">
        <v>1</v>
      </c>
      <c r="T19" s="563">
        <v>2</v>
      </c>
      <c r="U19" s="563">
        <v>6</v>
      </c>
      <c r="V19" s="565" t="s">
        <v>678</v>
      </c>
      <c r="W19" s="563" t="s">
        <v>2</v>
      </c>
      <c r="X19" s="557" t="s">
        <v>674</v>
      </c>
    </row>
    <row r="20" spans="1:24" s="206" customFormat="1" ht="36" x14ac:dyDescent="0.3">
      <c r="A20" s="562">
        <v>41709</v>
      </c>
      <c r="B20" s="563">
        <v>17</v>
      </c>
      <c r="C20" s="563">
        <v>17</v>
      </c>
      <c r="D20" s="563">
        <v>17</v>
      </c>
      <c r="E20" s="563">
        <v>34</v>
      </c>
      <c r="F20" s="563">
        <v>4</v>
      </c>
      <c r="G20" s="564">
        <v>14</v>
      </c>
      <c r="H20" s="564">
        <v>13</v>
      </c>
      <c r="I20" s="564">
        <v>0</v>
      </c>
      <c r="J20" s="564">
        <v>0</v>
      </c>
      <c r="K20" s="564">
        <v>0</v>
      </c>
      <c r="L20" s="564">
        <v>0</v>
      </c>
      <c r="M20" s="564">
        <v>0</v>
      </c>
      <c r="N20" s="564">
        <v>0</v>
      </c>
      <c r="O20" s="563">
        <v>8</v>
      </c>
      <c r="P20" s="563">
        <v>5</v>
      </c>
      <c r="Q20" s="563">
        <v>1</v>
      </c>
      <c r="R20" s="563">
        <v>5</v>
      </c>
      <c r="S20" s="563">
        <v>1</v>
      </c>
      <c r="T20" s="563">
        <v>2</v>
      </c>
      <c r="U20" s="563">
        <v>6</v>
      </c>
      <c r="V20" s="565" t="s">
        <v>678</v>
      </c>
      <c r="W20" s="563" t="s">
        <v>2</v>
      </c>
      <c r="X20" s="557" t="s">
        <v>675</v>
      </c>
    </row>
    <row r="21" spans="1:24" s="206" customFormat="1" ht="36" x14ac:dyDescent="0.3">
      <c r="A21" s="562">
        <v>41710</v>
      </c>
      <c r="B21" s="563">
        <v>18</v>
      </c>
      <c r="C21" s="563">
        <v>7</v>
      </c>
      <c r="D21" s="563">
        <v>27</v>
      </c>
      <c r="E21" s="563">
        <v>39</v>
      </c>
      <c r="F21" s="563">
        <v>7</v>
      </c>
      <c r="G21" s="564">
        <v>16</v>
      </c>
      <c r="H21" s="564">
        <v>16</v>
      </c>
      <c r="I21" s="564">
        <v>20</v>
      </c>
      <c r="J21" s="564">
        <v>20</v>
      </c>
      <c r="K21" s="564">
        <v>0</v>
      </c>
      <c r="L21" s="564">
        <v>0</v>
      </c>
      <c r="M21" s="564">
        <v>0</v>
      </c>
      <c r="N21" s="564">
        <v>0</v>
      </c>
      <c r="O21" s="563">
        <v>1</v>
      </c>
      <c r="P21" s="563">
        <v>7</v>
      </c>
      <c r="Q21" s="563">
        <v>2</v>
      </c>
      <c r="R21" s="563">
        <v>10</v>
      </c>
      <c r="S21" s="563">
        <v>1</v>
      </c>
      <c r="T21" s="563">
        <v>2</v>
      </c>
      <c r="U21" s="563">
        <v>6</v>
      </c>
      <c r="V21" s="565" t="s">
        <v>678</v>
      </c>
      <c r="W21" s="563" t="s">
        <v>2</v>
      </c>
      <c r="X21" s="557" t="s">
        <v>675</v>
      </c>
    </row>
    <row r="22" spans="1:24" s="206" customFormat="1" ht="36" x14ac:dyDescent="0.3">
      <c r="A22" s="562">
        <v>41711</v>
      </c>
      <c r="B22" s="563">
        <v>19</v>
      </c>
      <c r="C22" s="563">
        <v>6</v>
      </c>
      <c r="D22" s="563">
        <v>10</v>
      </c>
      <c r="E22" s="563">
        <v>33</v>
      </c>
      <c r="F22" s="563">
        <v>1</v>
      </c>
      <c r="G22" s="564">
        <v>29</v>
      </c>
      <c r="H22" s="564">
        <v>29</v>
      </c>
      <c r="I22" s="564">
        <v>29</v>
      </c>
      <c r="J22" s="564">
        <v>29</v>
      </c>
      <c r="K22" s="564">
        <v>30</v>
      </c>
      <c r="L22" s="564">
        <v>30</v>
      </c>
      <c r="M22" s="564">
        <v>30</v>
      </c>
      <c r="N22" s="564">
        <v>30</v>
      </c>
      <c r="O22" s="563">
        <v>4</v>
      </c>
      <c r="P22" s="563">
        <v>5</v>
      </c>
      <c r="Q22" s="563">
        <v>3</v>
      </c>
      <c r="R22" s="563">
        <v>9</v>
      </c>
      <c r="S22" s="563">
        <v>1</v>
      </c>
      <c r="T22" s="563">
        <v>2</v>
      </c>
      <c r="U22" s="563">
        <v>5</v>
      </c>
      <c r="V22" s="565" t="s">
        <v>678</v>
      </c>
      <c r="W22" s="563" t="s">
        <v>2</v>
      </c>
      <c r="X22" s="557" t="s">
        <v>676</v>
      </c>
    </row>
    <row r="23" spans="1:24" s="206" customFormat="1" ht="108" x14ac:dyDescent="0.3">
      <c r="A23" s="562">
        <v>41712</v>
      </c>
      <c r="B23" s="563">
        <v>3</v>
      </c>
      <c r="C23" s="563">
        <v>3</v>
      </c>
      <c r="D23" s="563">
        <v>14</v>
      </c>
      <c r="E23" s="563">
        <v>31</v>
      </c>
      <c r="F23" s="563">
        <v>16</v>
      </c>
      <c r="G23" s="564">
        <v>11</v>
      </c>
      <c r="H23" s="564">
        <v>11</v>
      </c>
      <c r="I23" s="564">
        <v>11</v>
      </c>
      <c r="J23" s="564">
        <v>11</v>
      </c>
      <c r="K23" s="564">
        <v>12</v>
      </c>
      <c r="L23" s="564">
        <v>12</v>
      </c>
      <c r="M23" s="564">
        <v>12</v>
      </c>
      <c r="N23" s="564">
        <v>12</v>
      </c>
      <c r="O23" s="563">
        <v>2</v>
      </c>
      <c r="P23" s="563">
        <v>3</v>
      </c>
      <c r="Q23" s="563">
        <v>4</v>
      </c>
      <c r="R23" s="563">
        <v>12</v>
      </c>
      <c r="S23" s="563">
        <v>1</v>
      </c>
      <c r="T23" s="563">
        <v>2</v>
      </c>
      <c r="U23" s="563">
        <v>5</v>
      </c>
      <c r="V23" s="565" t="s">
        <v>683</v>
      </c>
      <c r="W23" s="563" t="s">
        <v>2</v>
      </c>
      <c r="X23" s="557" t="s">
        <v>679</v>
      </c>
    </row>
    <row r="24" spans="1:24" s="206" customFormat="1" ht="84" x14ac:dyDescent="0.3">
      <c r="A24" s="562">
        <v>41715</v>
      </c>
      <c r="B24" s="563">
        <v>16</v>
      </c>
      <c r="C24" s="563">
        <v>3</v>
      </c>
      <c r="D24" s="563">
        <v>5</v>
      </c>
      <c r="E24" s="563">
        <v>15</v>
      </c>
      <c r="F24" s="563">
        <v>7</v>
      </c>
      <c r="G24" s="564">
        <v>35</v>
      </c>
      <c r="H24" s="564">
        <v>35</v>
      </c>
      <c r="I24" s="564">
        <v>36</v>
      </c>
      <c r="J24" s="564">
        <v>36</v>
      </c>
      <c r="K24" s="563">
        <v>0</v>
      </c>
      <c r="L24" s="563">
        <v>0</v>
      </c>
      <c r="M24" s="563">
        <v>0</v>
      </c>
      <c r="N24" s="563">
        <v>0</v>
      </c>
      <c r="O24" s="563">
        <v>3</v>
      </c>
      <c r="P24" s="563">
        <v>6</v>
      </c>
      <c r="Q24" s="563">
        <v>4</v>
      </c>
      <c r="R24" s="563">
        <v>12</v>
      </c>
      <c r="S24" s="563">
        <v>2</v>
      </c>
      <c r="T24" s="563">
        <v>2</v>
      </c>
      <c r="U24" s="563">
        <v>5</v>
      </c>
      <c r="V24" s="565" t="s">
        <v>683</v>
      </c>
      <c r="W24" s="563" t="s">
        <v>2</v>
      </c>
      <c r="X24" s="557" t="s">
        <v>680</v>
      </c>
    </row>
    <row r="25" spans="1:24" s="206" customFormat="1" ht="48" x14ac:dyDescent="0.3">
      <c r="A25" s="562">
        <v>41716</v>
      </c>
      <c r="B25" s="563">
        <v>19</v>
      </c>
      <c r="C25" s="563">
        <v>2</v>
      </c>
      <c r="D25" s="563">
        <v>12</v>
      </c>
      <c r="E25" s="563">
        <v>23</v>
      </c>
      <c r="F25" s="563">
        <v>1</v>
      </c>
      <c r="G25" s="564">
        <v>29</v>
      </c>
      <c r="H25" s="564">
        <v>29</v>
      </c>
      <c r="I25" s="564">
        <v>29</v>
      </c>
      <c r="J25" s="564">
        <v>29</v>
      </c>
      <c r="K25" s="564">
        <v>30</v>
      </c>
      <c r="L25" s="564">
        <v>30</v>
      </c>
      <c r="M25" s="564">
        <v>30</v>
      </c>
      <c r="N25" s="564">
        <v>30</v>
      </c>
      <c r="O25" s="563">
        <v>4</v>
      </c>
      <c r="P25" s="563">
        <v>5</v>
      </c>
      <c r="Q25" s="563">
        <v>3</v>
      </c>
      <c r="R25" s="563">
        <v>9</v>
      </c>
      <c r="S25" s="563">
        <v>1</v>
      </c>
      <c r="T25" s="563">
        <v>2</v>
      </c>
      <c r="U25" s="563">
        <v>5</v>
      </c>
      <c r="V25" s="565" t="s">
        <v>683</v>
      </c>
      <c r="W25" s="563" t="s">
        <v>2</v>
      </c>
      <c r="X25" s="557" t="s">
        <v>681</v>
      </c>
    </row>
    <row r="26" spans="1:24" s="206" customFormat="1" ht="60" x14ac:dyDescent="0.3">
      <c r="A26" s="562">
        <v>41717</v>
      </c>
      <c r="B26" s="563">
        <v>10</v>
      </c>
      <c r="C26" s="563">
        <v>15</v>
      </c>
      <c r="D26" s="563">
        <v>32</v>
      </c>
      <c r="E26" s="563">
        <v>32</v>
      </c>
      <c r="F26" s="563">
        <v>5</v>
      </c>
      <c r="G26" s="564">
        <v>2</v>
      </c>
      <c r="H26" s="564">
        <v>2</v>
      </c>
      <c r="I26" s="564">
        <v>6</v>
      </c>
      <c r="J26" s="563">
        <v>0</v>
      </c>
      <c r="K26" s="563">
        <v>0</v>
      </c>
      <c r="L26" s="563">
        <v>0</v>
      </c>
      <c r="M26" s="563">
        <v>0</v>
      </c>
      <c r="N26" s="563">
        <v>0</v>
      </c>
      <c r="O26" s="563">
        <v>7</v>
      </c>
      <c r="P26" s="563">
        <v>7</v>
      </c>
      <c r="Q26" s="563">
        <v>3</v>
      </c>
      <c r="R26" s="563">
        <v>10</v>
      </c>
      <c r="S26" s="563">
        <v>1</v>
      </c>
      <c r="T26" s="563">
        <v>2</v>
      </c>
      <c r="U26" s="563">
        <v>6</v>
      </c>
      <c r="V26" s="565" t="s">
        <v>683</v>
      </c>
      <c r="W26" s="563" t="s">
        <v>2</v>
      </c>
      <c r="X26" s="557" t="s">
        <v>682</v>
      </c>
    </row>
    <row r="27" spans="1:24" s="206" customFormat="1" ht="84" x14ac:dyDescent="0.3">
      <c r="A27" s="562">
        <v>41718</v>
      </c>
      <c r="B27" s="563">
        <v>9</v>
      </c>
      <c r="C27" s="563">
        <v>3</v>
      </c>
      <c r="D27" s="563">
        <v>28</v>
      </c>
      <c r="E27" s="563">
        <v>38</v>
      </c>
      <c r="F27" s="563">
        <v>0</v>
      </c>
      <c r="G27" s="564">
        <v>5</v>
      </c>
      <c r="H27" s="564">
        <v>5</v>
      </c>
      <c r="I27" s="564">
        <v>5</v>
      </c>
      <c r="J27" s="564">
        <v>5</v>
      </c>
      <c r="K27" s="564">
        <v>5</v>
      </c>
      <c r="L27" s="564">
        <v>5</v>
      </c>
      <c r="M27" s="564">
        <v>0</v>
      </c>
      <c r="N27" s="564">
        <v>0</v>
      </c>
      <c r="O27" s="563">
        <v>4</v>
      </c>
      <c r="P27" s="563">
        <v>5</v>
      </c>
      <c r="Q27" s="563">
        <v>3</v>
      </c>
      <c r="R27" s="563">
        <v>2</v>
      </c>
      <c r="S27" s="563">
        <v>1</v>
      </c>
      <c r="T27" s="563">
        <v>2</v>
      </c>
      <c r="U27" s="563">
        <v>5</v>
      </c>
      <c r="V27" s="565" t="s">
        <v>684</v>
      </c>
      <c r="W27" s="563" t="s">
        <v>2</v>
      </c>
      <c r="X27" s="557" t="s">
        <v>685</v>
      </c>
    </row>
    <row r="28" spans="1:24" s="206" customFormat="1" ht="84" x14ac:dyDescent="0.3">
      <c r="A28" s="562">
        <v>41719</v>
      </c>
      <c r="B28" s="563">
        <v>12</v>
      </c>
      <c r="C28" s="563">
        <v>18</v>
      </c>
      <c r="D28" s="563">
        <v>29</v>
      </c>
      <c r="E28" s="563">
        <v>30</v>
      </c>
      <c r="F28" s="563">
        <v>6</v>
      </c>
      <c r="G28" s="564">
        <v>25</v>
      </c>
      <c r="H28" s="564">
        <v>25</v>
      </c>
      <c r="I28" s="564">
        <v>27</v>
      </c>
      <c r="J28" s="563">
        <v>0</v>
      </c>
      <c r="K28" s="563">
        <v>0</v>
      </c>
      <c r="L28" s="563">
        <v>0</v>
      </c>
      <c r="M28" s="563">
        <v>0</v>
      </c>
      <c r="N28" s="563">
        <v>0</v>
      </c>
      <c r="O28" s="563">
        <v>6</v>
      </c>
      <c r="P28" s="563">
        <v>6</v>
      </c>
      <c r="Q28" s="563">
        <v>1</v>
      </c>
      <c r="R28" s="563">
        <v>1</v>
      </c>
      <c r="S28" s="563">
        <v>1</v>
      </c>
      <c r="T28" s="563">
        <v>2</v>
      </c>
      <c r="U28" s="563">
        <v>6</v>
      </c>
      <c r="V28" s="565" t="s">
        <v>684</v>
      </c>
      <c r="W28" s="563" t="s">
        <v>2</v>
      </c>
      <c r="X28" s="557" t="s">
        <v>686</v>
      </c>
    </row>
    <row r="29" spans="1:24" s="206" customFormat="1" ht="36" x14ac:dyDescent="0.3">
      <c r="A29" s="562">
        <v>41722</v>
      </c>
      <c r="B29" s="563">
        <v>6</v>
      </c>
      <c r="C29" s="563">
        <v>17</v>
      </c>
      <c r="D29" s="563">
        <v>16</v>
      </c>
      <c r="E29" s="563">
        <v>27</v>
      </c>
      <c r="F29" s="563">
        <v>3</v>
      </c>
      <c r="G29" s="564">
        <v>13</v>
      </c>
      <c r="H29" s="564">
        <v>13</v>
      </c>
      <c r="I29" s="564">
        <v>7</v>
      </c>
      <c r="J29" s="563">
        <v>0</v>
      </c>
      <c r="K29" s="563">
        <v>0</v>
      </c>
      <c r="L29" s="563">
        <v>0</v>
      </c>
      <c r="M29" s="563">
        <v>0</v>
      </c>
      <c r="N29" s="563">
        <v>0</v>
      </c>
      <c r="O29" s="563">
        <v>8</v>
      </c>
      <c r="P29" s="563">
        <v>0</v>
      </c>
      <c r="Q29" s="563">
        <v>4</v>
      </c>
      <c r="R29" s="563">
        <v>5</v>
      </c>
      <c r="S29" s="563">
        <v>1</v>
      </c>
      <c r="T29" s="563">
        <v>1</v>
      </c>
      <c r="U29" s="563">
        <v>7</v>
      </c>
      <c r="V29" s="565" t="s">
        <v>684</v>
      </c>
      <c r="W29" s="563" t="s">
        <v>2</v>
      </c>
      <c r="X29" s="557" t="s">
        <v>687</v>
      </c>
    </row>
    <row r="30" spans="1:24" s="206" customFormat="1" ht="84" x14ac:dyDescent="0.3">
      <c r="A30" s="562">
        <v>41723</v>
      </c>
      <c r="B30" s="563">
        <v>5</v>
      </c>
      <c r="C30" s="563">
        <v>18</v>
      </c>
      <c r="D30" s="563">
        <v>33</v>
      </c>
      <c r="E30" s="563">
        <v>29</v>
      </c>
      <c r="F30" s="563">
        <v>8</v>
      </c>
      <c r="G30" s="564">
        <v>6</v>
      </c>
      <c r="H30" s="564">
        <v>2</v>
      </c>
      <c r="I30" s="563">
        <v>0</v>
      </c>
      <c r="J30" s="563">
        <v>0</v>
      </c>
      <c r="K30" s="563">
        <v>0</v>
      </c>
      <c r="L30" s="563">
        <v>0</v>
      </c>
      <c r="M30" s="563">
        <v>0</v>
      </c>
      <c r="N30" s="563">
        <v>0</v>
      </c>
      <c r="O30" s="563">
        <v>5</v>
      </c>
      <c r="P30" s="563">
        <v>7</v>
      </c>
      <c r="Q30" s="563">
        <v>2</v>
      </c>
      <c r="R30" s="563">
        <v>9</v>
      </c>
      <c r="S30" s="563">
        <v>2</v>
      </c>
      <c r="T30" s="563">
        <v>2</v>
      </c>
      <c r="U30" s="563">
        <v>7</v>
      </c>
      <c r="V30" s="565" t="s">
        <v>684</v>
      </c>
      <c r="W30" s="563" t="s">
        <v>2</v>
      </c>
      <c r="X30" s="557" t="s">
        <v>688</v>
      </c>
    </row>
    <row r="31" spans="1:24" s="206" customFormat="1" ht="72" x14ac:dyDescent="0.3">
      <c r="A31" s="562">
        <v>41724</v>
      </c>
      <c r="B31" s="563">
        <v>14</v>
      </c>
      <c r="C31" s="563">
        <v>16</v>
      </c>
      <c r="D31" s="563">
        <v>46</v>
      </c>
      <c r="E31" s="563">
        <v>33</v>
      </c>
      <c r="F31" s="563">
        <v>7</v>
      </c>
      <c r="G31" s="563">
        <v>1</v>
      </c>
      <c r="H31" s="563">
        <v>25</v>
      </c>
      <c r="I31" s="563">
        <v>0</v>
      </c>
      <c r="J31" s="563">
        <v>0</v>
      </c>
      <c r="K31" s="563">
        <v>0</v>
      </c>
      <c r="L31" s="563">
        <v>0</v>
      </c>
      <c r="M31" s="563">
        <v>0</v>
      </c>
      <c r="N31" s="563">
        <v>0</v>
      </c>
      <c r="O31" s="563">
        <v>6</v>
      </c>
      <c r="P31" s="563">
        <v>0</v>
      </c>
      <c r="Q31" s="563">
        <v>0</v>
      </c>
      <c r="R31" s="563">
        <v>0</v>
      </c>
      <c r="S31" s="563">
        <v>2</v>
      </c>
      <c r="T31" s="563">
        <v>2</v>
      </c>
      <c r="U31" s="563">
        <v>6</v>
      </c>
      <c r="V31" s="565" t="s">
        <v>684</v>
      </c>
      <c r="W31" s="563" t="s">
        <v>2</v>
      </c>
      <c r="X31" s="557" t="s">
        <v>689</v>
      </c>
    </row>
    <row r="32" spans="1:24" s="206" customFormat="1" ht="72" x14ac:dyDescent="0.3">
      <c r="A32" s="562">
        <v>41725</v>
      </c>
      <c r="B32" s="563">
        <v>13</v>
      </c>
      <c r="C32" s="563">
        <v>17</v>
      </c>
      <c r="D32" s="563">
        <v>47</v>
      </c>
      <c r="E32" s="563">
        <v>34</v>
      </c>
      <c r="F32" s="563">
        <v>11</v>
      </c>
      <c r="G32" s="563">
        <v>2</v>
      </c>
      <c r="H32" s="563">
        <v>6</v>
      </c>
      <c r="I32" s="563">
        <v>0</v>
      </c>
      <c r="J32" s="563">
        <v>0</v>
      </c>
      <c r="K32" s="563">
        <v>0</v>
      </c>
      <c r="L32" s="563">
        <v>0</v>
      </c>
      <c r="M32" s="563">
        <v>0</v>
      </c>
      <c r="N32" s="563">
        <v>0</v>
      </c>
      <c r="O32" s="563">
        <v>7</v>
      </c>
      <c r="P32" s="563">
        <v>7</v>
      </c>
      <c r="Q32" s="563">
        <v>1</v>
      </c>
      <c r="R32" s="563">
        <v>6</v>
      </c>
      <c r="S32" s="563">
        <v>1</v>
      </c>
      <c r="T32" s="563">
        <v>2</v>
      </c>
      <c r="U32" s="563">
        <v>6</v>
      </c>
      <c r="V32" s="565" t="s">
        <v>684</v>
      </c>
      <c r="W32" s="563" t="s">
        <v>2</v>
      </c>
      <c r="X32" s="557" t="s">
        <v>690</v>
      </c>
    </row>
    <row r="33" spans="1:24" s="206" customFormat="1" ht="72" x14ac:dyDescent="0.3">
      <c r="A33" s="562">
        <v>41726</v>
      </c>
      <c r="B33" s="563">
        <v>13</v>
      </c>
      <c r="C33" s="563">
        <v>18</v>
      </c>
      <c r="D33" s="563">
        <v>34</v>
      </c>
      <c r="E33" s="563">
        <v>50</v>
      </c>
      <c r="F33" s="563">
        <v>10</v>
      </c>
      <c r="G33" s="563">
        <v>3</v>
      </c>
      <c r="H33" s="563">
        <v>3</v>
      </c>
      <c r="I33" s="563">
        <v>3</v>
      </c>
      <c r="J33" s="564">
        <v>26</v>
      </c>
      <c r="K33" s="564">
        <v>26</v>
      </c>
      <c r="L33" s="564">
        <v>26</v>
      </c>
      <c r="M33" s="564">
        <v>0</v>
      </c>
      <c r="N33" s="564">
        <v>0</v>
      </c>
      <c r="O33" s="563">
        <v>8</v>
      </c>
      <c r="P33" s="563">
        <v>0</v>
      </c>
      <c r="Q33" s="563">
        <v>4</v>
      </c>
      <c r="R33" s="563">
        <v>11</v>
      </c>
      <c r="S33" s="563">
        <v>2</v>
      </c>
      <c r="T33" s="563">
        <v>1</v>
      </c>
      <c r="U33" s="563">
        <v>5</v>
      </c>
      <c r="V33" s="565" t="s">
        <v>684</v>
      </c>
      <c r="W33" s="563" t="s">
        <v>2</v>
      </c>
      <c r="X33" s="557" t="s">
        <v>691</v>
      </c>
    </row>
    <row r="34" spans="1:24" s="206" customFormat="1" ht="72" x14ac:dyDescent="0.3">
      <c r="A34" s="562">
        <v>41729</v>
      </c>
      <c r="B34" s="563">
        <v>13</v>
      </c>
      <c r="C34" s="563">
        <v>3</v>
      </c>
      <c r="D34" s="563">
        <v>29</v>
      </c>
      <c r="E34" s="563">
        <v>30</v>
      </c>
      <c r="F34" s="563">
        <v>6</v>
      </c>
      <c r="G34" s="563">
        <v>25</v>
      </c>
      <c r="H34" s="563">
        <v>25</v>
      </c>
      <c r="I34" s="563">
        <v>27</v>
      </c>
      <c r="J34" s="563">
        <v>0</v>
      </c>
      <c r="K34" s="563">
        <v>0</v>
      </c>
      <c r="L34" s="563">
        <v>0</v>
      </c>
      <c r="M34" s="563">
        <v>0</v>
      </c>
      <c r="N34" s="563">
        <v>0</v>
      </c>
      <c r="O34" s="563">
        <v>6</v>
      </c>
      <c r="P34" s="563">
        <v>6</v>
      </c>
      <c r="Q34" s="563">
        <v>1</v>
      </c>
      <c r="R34" s="563">
        <v>1</v>
      </c>
      <c r="S34" s="563">
        <v>1</v>
      </c>
      <c r="T34" s="563">
        <v>2</v>
      </c>
      <c r="U34" s="563">
        <v>6</v>
      </c>
      <c r="V34" s="565" t="s">
        <v>684</v>
      </c>
      <c r="W34" s="563" t="s">
        <v>2</v>
      </c>
      <c r="X34" s="557" t="s">
        <v>692</v>
      </c>
    </row>
    <row r="35" spans="1:24" s="206" customFormat="1" ht="60" x14ac:dyDescent="0.3">
      <c r="A35" s="562">
        <v>41730</v>
      </c>
      <c r="B35" s="563">
        <v>14</v>
      </c>
      <c r="C35" s="563">
        <v>16</v>
      </c>
      <c r="D35" s="563">
        <v>46</v>
      </c>
      <c r="E35" s="563">
        <v>33</v>
      </c>
      <c r="F35" s="563">
        <v>7</v>
      </c>
      <c r="G35" s="563">
        <v>1</v>
      </c>
      <c r="H35" s="563">
        <v>25</v>
      </c>
      <c r="I35" s="563">
        <v>0</v>
      </c>
      <c r="J35" s="563">
        <v>0</v>
      </c>
      <c r="K35" s="563">
        <v>0</v>
      </c>
      <c r="L35" s="563">
        <v>0</v>
      </c>
      <c r="M35" s="563">
        <v>0</v>
      </c>
      <c r="N35" s="563">
        <v>0</v>
      </c>
      <c r="O35" s="563">
        <v>6</v>
      </c>
      <c r="P35" s="563">
        <v>0</v>
      </c>
      <c r="Q35" s="563">
        <v>3</v>
      </c>
      <c r="R35" s="563">
        <v>10</v>
      </c>
      <c r="S35" s="563">
        <v>2</v>
      </c>
      <c r="T35" s="563">
        <v>2</v>
      </c>
      <c r="U35" s="563">
        <v>6</v>
      </c>
      <c r="V35" s="565" t="s">
        <v>684</v>
      </c>
      <c r="W35" s="563" t="s">
        <v>2</v>
      </c>
      <c r="X35" s="557" t="s">
        <v>693</v>
      </c>
    </row>
    <row r="36" spans="1:24" s="206" customFormat="1" ht="96" x14ac:dyDescent="0.3">
      <c r="A36" s="562">
        <v>41731</v>
      </c>
      <c r="B36" s="563">
        <v>13</v>
      </c>
      <c r="C36" s="563">
        <v>15</v>
      </c>
      <c r="D36" s="563">
        <v>19</v>
      </c>
      <c r="E36" s="563">
        <v>34</v>
      </c>
      <c r="F36" s="563">
        <v>11</v>
      </c>
      <c r="G36" s="563">
        <v>18</v>
      </c>
      <c r="H36" s="563">
        <v>18</v>
      </c>
      <c r="I36" s="563">
        <v>14</v>
      </c>
      <c r="J36" s="563">
        <v>14</v>
      </c>
      <c r="K36" s="563">
        <v>0</v>
      </c>
      <c r="L36" s="563">
        <v>0</v>
      </c>
      <c r="M36" s="563">
        <v>0</v>
      </c>
      <c r="N36" s="563">
        <v>0</v>
      </c>
      <c r="O36" s="563">
        <v>7</v>
      </c>
      <c r="P36" s="563">
        <v>7</v>
      </c>
      <c r="Q36" s="563">
        <v>1</v>
      </c>
      <c r="R36" s="563">
        <v>6</v>
      </c>
      <c r="S36" s="563">
        <v>1</v>
      </c>
      <c r="T36" s="563">
        <v>2</v>
      </c>
      <c r="U36" s="563">
        <v>6</v>
      </c>
      <c r="V36" s="565" t="s">
        <v>684</v>
      </c>
      <c r="W36" s="563" t="s">
        <v>2</v>
      </c>
      <c r="X36" s="557" t="s">
        <v>694</v>
      </c>
    </row>
    <row r="37" spans="1:24" s="206" customFormat="1" ht="60" x14ac:dyDescent="0.3">
      <c r="A37" s="562">
        <v>41732</v>
      </c>
      <c r="B37" s="563">
        <v>14</v>
      </c>
      <c r="C37" s="563">
        <v>18</v>
      </c>
      <c r="D37" s="563">
        <v>33</v>
      </c>
      <c r="E37" s="563">
        <v>29</v>
      </c>
      <c r="F37" s="563">
        <v>8</v>
      </c>
      <c r="G37" s="563">
        <v>6</v>
      </c>
      <c r="H37" s="563">
        <v>2</v>
      </c>
      <c r="I37" s="563">
        <v>0</v>
      </c>
      <c r="J37" s="563">
        <v>0</v>
      </c>
      <c r="K37" s="563">
        <v>0</v>
      </c>
      <c r="L37" s="563">
        <v>0</v>
      </c>
      <c r="M37" s="563">
        <v>0</v>
      </c>
      <c r="N37" s="563">
        <v>0</v>
      </c>
      <c r="O37" s="563">
        <v>5</v>
      </c>
      <c r="P37" s="563">
        <v>7</v>
      </c>
      <c r="Q37" s="563">
        <v>2</v>
      </c>
      <c r="R37" s="563">
        <v>9</v>
      </c>
      <c r="S37" s="563">
        <v>2</v>
      </c>
      <c r="T37" s="563">
        <v>2</v>
      </c>
      <c r="U37" s="563">
        <v>7</v>
      </c>
      <c r="V37" s="565" t="s">
        <v>684</v>
      </c>
      <c r="W37" s="563" t="s">
        <v>2</v>
      </c>
      <c r="X37" s="557" t="s">
        <v>695</v>
      </c>
    </row>
    <row r="38" spans="1:24" s="206" customFormat="1" ht="72" x14ac:dyDescent="0.3">
      <c r="A38" s="562">
        <v>41733</v>
      </c>
      <c r="B38" s="563">
        <v>14</v>
      </c>
      <c r="C38" s="563">
        <v>6</v>
      </c>
      <c r="D38" s="563">
        <v>46</v>
      </c>
      <c r="E38" s="563">
        <v>33</v>
      </c>
      <c r="F38" s="563">
        <v>7</v>
      </c>
      <c r="G38" s="563">
        <v>1</v>
      </c>
      <c r="H38" s="563">
        <v>25</v>
      </c>
      <c r="I38" s="563">
        <v>0</v>
      </c>
      <c r="J38" s="563">
        <v>0</v>
      </c>
      <c r="K38" s="563">
        <v>0</v>
      </c>
      <c r="L38" s="563">
        <v>0</v>
      </c>
      <c r="M38" s="563">
        <v>0</v>
      </c>
      <c r="N38" s="563">
        <v>0</v>
      </c>
      <c r="O38" s="563">
        <v>6</v>
      </c>
      <c r="P38" s="563">
        <v>0</v>
      </c>
      <c r="Q38" s="563">
        <v>3</v>
      </c>
      <c r="R38" s="563">
        <v>10</v>
      </c>
      <c r="S38" s="563">
        <v>2</v>
      </c>
      <c r="T38" s="563">
        <v>2</v>
      </c>
      <c r="U38" s="563">
        <v>6</v>
      </c>
      <c r="V38" s="565" t="s">
        <v>684</v>
      </c>
      <c r="W38" s="563" t="s">
        <v>2</v>
      </c>
      <c r="X38" s="557" t="s">
        <v>696</v>
      </c>
    </row>
    <row r="39" spans="1:24" s="206" customFormat="1" ht="48" x14ac:dyDescent="0.3">
      <c r="A39" s="562">
        <v>41736</v>
      </c>
      <c r="B39" s="563">
        <v>15</v>
      </c>
      <c r="C39" s="563">
        <v>17</v>
      </c>
      <c r="D39" s="563">
        <v>18</v>
      </c>
      <c r="E39" s="563">
        <v>34</v>
      </c>
      <c r="F39" s="563">
        <v>4</v>
      </c>
      <c r="G39" s="563">
        <v>31</v>
      </c>
      <c r="H39" s="563">
        <v>31</v>
      </c>
      <c r="I39" s="563">
        <v>33</v>
      </c>
      <c r="J39" s="563">
        <v>33</v>
      </c>
      <c r="K39" s="563">
        <v>0</v>
      </c>
      <c r="L39" s="563">
        <v>0</v>
      </c>
      <c r="M39" s="563">
        <v>0</v>
      </c>
      <c r="N39" s="563">
        <v>0</v>
      </c>
      <c r="O39" s="563">
        <v>6</v>
      </c>
      <c r="P39" s="563">
        <v>5</v>
      </c>
      <c r="Q39" s="563">
        <v>1</v>
      </c>
      <c r="R39" s="563">
        <v>5</v>
      </c>
      <c r="S39" s="563">
        <v>1</v>
      </c>
      <c r="T39" s="563">
        <v>2</v>
      </c>
      <c r="U39" s="563">
        <v>6</v>
      </c>
      <c r="V39" s="565" t="s">
        <v>684</v>
      </c>
      <c r="W39" s="563" t="s">
        <v>2</v>
      </c>
      <c r="X39" s="557" t="s">
        <v>697</v>
      </c>
    </row>
    <row r="40" spans="1:24" s="206" customFormat="1" ht="36" x14ac:dyDescent="0.3">
      <c r="A40" s="562">
        <v>41737</v>
      </c>
      <c r="B40" s="563">
        <v>17</v>
      </c>
      <c r="C40" s="563">
        <v>17</v>
      </c>
      <c r="D40" s="563">
        <v>17</v>
      </c>
      <c r="E40" s="563">
        <v>34</v>
      </c>
      <c r="F40" s="563">
        <v>4</v>
      </c>
      <c r="G40" s="563">
        <v>17</v>
      </c>
      <c r="H40" s="563">
        <v>13</v>
      </c>
      <c r="I40" s="563">
        <v>0</v>
      </c>
      <c r="J40" s="563">
        <v>0</v>
      </c>
      <c r="K40" s="563">
        <v>0</v>
      </c>
      <c r="L40" s="563">
        <v>0</v>
      </c>
      <c r="M40" s="563">
        <v>0</v>
      </c>
      <c r="N40" s="563">
        <v>0</v>
      </c>
      <c r="O40" s="563">
        <v>8</v>
      </c>
      <c r="P40" s="563">
        <v>5</v>
      </c>
      <c r="Q40" s="563">
        <v>1</v>
      </c>
      <c r="R40" s="563">
        <v>5</v>
      </c>
      <c r="S40" s="563">
        <v>1</v>
      </c>
      <c r="T40" s="563">
        <v>2</v>
      </c>
      <c r="U40" s="563">
        <v>6</v>
      </c>
      <c r="V40" s="565" t="s">
        <v>684</v>
      </c>
      <c r="W40" s="563" t="s">
        <v>2</v>
      </c>
      <c r="X40" s="557" t="s">
        <v>698</v>
      </c>
    </row>
    <row r="41" spans="1:24" s="206" customFormat="1" ht="72" x14ac:dyDescent="0.3">
      <c r="A41" s="562">
        <v>41738</v>
      </c>
      <c r="B41" s="563">
        <v>18</v>
      </c>
      <c r="C41" s="563">
        <v>7</v>
      </c>
      <c r="D41" s="563">
        <v>27</v>
      </c>
      <c r="E41" s="563">
        <v>34</v>
      </c>
      <c r="F41" s="563">
        <v>7</v>
      </c>
      <c r="G41" s="563">
        <v>16</v>
      </c>
      <c r="H41" s="563">
        <v>20</v>
      </c>
      <c r="I41" s="563">
        <v>0</v>
      </c>
      <c r="J41" s="563">
        <v>0</v>
      </c>
      <c r="K41" s="563">
        <v>0</v>
      </c>
      <c r="L41" s="563">
        <v>0</v>
      </c>
      <c r="M41" s="563">
        <v>0</v>
      </c>
      <c r="N41" s="563">
        <v>0</v>
      </c>
      <c r="O41" s="563">
        <v>5</v>
      </c>
      <c r="P41" s="563">
        <v>7</v>
      </c>
      <c r="Q41" s="563">
        <v>2</v>
      </c>
      <c r="R41" s="563">
        <v>10</v>
      </c>
      <c r="S41" s="563">
        <v>1</v>
      </c>
      <c r="T41" s="563">
        <v>2</v>
      </c>
      <c r="U41" s="563">
        <v>6</v>
      </c>
      <c r="V41" s="565" t="s">
        <v>684</v>
      </c>
      <c r="W41" s="563" t="s">
        <v>2</v>
      </c>
      <c r="X41" s="557" t="s">
        <v>700</v>
      </c>
    </row>
    <row r="42" spans="1:24" s="206" customFormat="1" ht="48" x14ac:dyDescent="0.3">
      <c r="A42" s="562">
        <v>41739</v>
      </c>
      <c r="B42" s="563">
        <v>20</v>
      </c>
      <c r="C42" s="563">
        <v>2</v>
      </c>
      <c r="D42" s="563">
        <v>16</v>
      </c>
      <c r="E42" s="563">
        <v>34</v>
      </c>
      <c r="F42" s="563">
        <v>4</v>
      </c>
      <c r="G42" s="563">
        <v>31</v>
      </c>
      <c r="H42" s="563">
        <v>31</v>
      </c>
      <c r="I42" s="563">
        <v>31</v>
      </c>
      <c r="J42" s="563">
        <v>33</v>
      </c>
      <c r="K42" s="563">
        <v>33</v>
      </c>
      <c r="L42" s="563">
        <v>33</v>
      </c>
      <c r="M42" s="563">
        <v>0</v>
      </c>
      <c r="N42" s="563">
        <v>0</v>
      </c>
      <c r="O42" s="563">
        <v>5</v>
      </c>
      <c r="P42" s="563">
        <v>7</v>
      </c>
      <c r="Q42" s="563">
        <v>2</v>
      </c>
      <c r="R42" s="563">
        <v>10</v>
      </c>
      <c r="S42" s="563">
        <v>1</v>
      </c>
      <c r="T42" s="563">
        <v>2</v>
      </c>
      <c r="U42" s="563">
        <v>6</v>
      </c>
      <c r="V42" s="565" t="s">
        <v>684</v>
      </c>
      <c r="W42" s="563" t="s">
        <v>2</v>
      </c>
      <c r="X42" s="557" t="s">
        <v>699</v>
      </c>
    </row>
    <row r="43" spans="1:24" s="206" customFormat="1" ht="48" x14ac:dyDescent="0.3">
      <c r="A43" s="562">
        <v>41740</v>
      </c>
      <c r="B43" s="563">
        <v>19</v>
      </c>
      <c r="C43" s="563">
        <v>1</v>
      </c>
      <c r="D43" s="563">
        <v>10</v>
      </c>
      <c r="E43" s="563">
        <v>23</v>
      </c>
      <c r="F43" s="563">
        <v>1</v>
      </c>
      <c r="G43" s="563">
        <v>29</v>
      </c>
      <c r="H43" s="563">
        <v>29</v>
      </c>
      <c r="I43" s="563">
        <v>29</v>
      </c>
      <c r="J43" s="563">
        <v>30</v>
      </c>
      <c r="K43" s="563">
        <v>30</v>
      </c>
      <c r="L43" s="563">
        <v>30</v>
      </c>
      <c r="M43" s="563">
        <v>0</v>
      </c>
      <c r="N43" s="563">
        <v>0</v>
      </c>
      <c r="O43" s="563">
        <v>4</v>
      </c>
      <c r="P43" s="563">
        <v>5</v>
      </c>
      <c r="Q43" s="563">
        <v>3</v>
      </c>
      <c r="R43" s="563">
        <v>9</v>
      </c>
      <c r="S43" s="563">
        <v>1</v>
      </c>
      <c r="T43" s="563">
        <v>2</v>
      </c>
      <c r="U43" s="563">
        <v>5</v>
      </c>
      <c r="V43" s="565" t="s">
        <v>702</v>
      </c>
      <c r="W43" s="563" t="s">
        <v>2</v>
      </c>
      <c r="X43" s="557" t="s">
        <v>703</v>
      </c>
    </row>
    <row r="44" spans="1:24" s="206" customFormat="1" ht="72" x14ac:dyDescent="0.3">
      <c r="A44" s="562">
        <v>41743</v>
      </c>
      <c r="B44" s="563">
        <v>13</v>
      </c>
      <c r="C44" s="563">
        <v>15</v>
      </c>
      <c r="D44" s="563">
        <v>18</v>
      </c>
      <c r="E44" s="563">
        <v>28</v>
      </c>
      <c r="F44" s="563">
        <v>2</v>
      </c>
      <c r="G44" s="563">
        <v>17</v>
      </c>
      <c r="H44" s="563">
        <v>17</v>
      </c>
      <c r="I44" s="563">
        <v>13</v>
      </c>
      <c r="J44" s="563">
        <v>13</v>
      </c>
      <c r="K44" s="563">
        <v>0</v>
      </c>
      <c r="L44" s="563">
        <v>0</v>
      </c>
      <c r="M44" s="563">
        <v>0</v>
      </c>
      <c r="N44" s="563">
        <v>0</v>
      </c>
      <c r="O44" s="563">
        <v>5</v>
      </c>
      <c r="P44" s="563">
        <v>7</v>
      </c>
      <c r="Q44" s="563">
        <v>3</v>
      </c>
      <c r="R44" s="563">
        <v>9</v>
      </c>
      <c r="S44" s="563">
        <v>1</v>
      </c>
      <c r="T44" s="563">
        <v>2</v>
      </c>
      <c r="U44" s="563">
        <v>5</v>
      </c>
      <c r="V44" s="565" t="s">
        <v>702</v>
      </c>
      <c r="W44" s="563" t="s">
        <v>2</v>
      </c>
      <c r="X44" s="557" t="s">
        <v>704</v>
      </c>
    </row>
    <row r="45" spans="1:24" s="206" customFormat="1" ht="72" x14ac:dyDescent="0.3">
      <c r="A45" s="562">
        <v>41744</v>
      </c>
      <c r="B45" s="563">
        <v>5</v>
      </c>
      <c r="C45" s="563">
        <v>16</v>
      </c>
      <c r="D45" s="563">
        <v>39</v>
      </c>
      <c r="E45" s="563">
        <v>43</v>
      </c>
      <c r="F45" s="563">
        <v>8</v>
      </c>
      <c r="G45" s="563">
        <v>4</v>
      </c>
      <c r="H45" s="563">
        <v>8</v>
      </c>
      <c r="I45" s="563">
        <v>0</v>
      </c>
      <c r="J45" s="563">
        <v>0</v>
      </c>
      <c r="K45" s="563">
        <v>0</v>
      </c>
      <c r="L45" s="563">
        <v>0</v>
      </c>
      <c r="M45" s="563">
        <v>0</v>
      </c>
      <c r="N45" s="563">
        <v>0</v>
      </c>
      <c r="O45" s="563">
        <v>7</v>
      </c>
      <c r="P45" s="563">
        <v>4</v>
      </c>
      <c r="Q45" s="563">
        <v>2</v>
      </c>
      <c r="R45" s="563">
        <v>11</v>
      </c>
      <c r="S45" s="563">
        <v>1</v>
      </c>
      <c r="T45" s="563">
        <v>2</v>
      </c>
      <c r="U45" s="563">
        <v>7</v>
      </c>
      <c r="V45" s="565" t="s">
        <v>702</v>
      </c>
      <c r="W45" s="563" t="s">
        <v>2</v>
      </c>
      <c r="X45" s="557" t="s">
        <v>705</v>
      </c>
    </row>
    <row r="46" spans="1:24" s="206" customFormat="1" ht="39" customHeight="1" thickBot="1" x14ac:dyDescent="0.35">
      <c r="A46" s="555">
        <v>41745</v>
      </c>
      <c r="B46" s="563">
        <v>6</v>
      </c>
      <c r="C46" s="563">
        <v>3</v>
      </c>
      <c r="D46" s="563">
        <v>16</v>
      </c>
      <c r="E46" s="563">
        <v>27</v>
      </c>
      <c r="F46" s="563">
        <v>3</v>
      </c>
      <c r="G46" s="563">
        <v>13</v>
      </c>
      <c r="H46" s="563">
        <v>13</v>
      </c>
      <c r="I46" s="563">
        <v>13</v>
      </c>
      <c r="J46" s="563">
        <v>17</v>
      </c>
      <c r="K46" s="563">
        <v>17</v>
      </c>
      <c r="L46" s="563">
        <v>0</v>
      </c>
      <c r="M46" s="563">
        <v>0</v>
      </c>
      <c r="N46" s="563">
        <v>0</v>
      </c>
      <c r="O46" s="563">
        <v>8</v>
      </c>
      <c r="P46" s="563">
        <v>0</v>
      </c>
      <c r="Q46" s="563">
        <v>4</v>
      </c>
      <c r="R46" s="563">
        <v>5</v>
      </c>
      <c r="S46" s="563">
        <v>1</v>
      </c>
      <c r="T46" s="563">
        <v>1</v>
      </c>
      <c r="U46" s="563">
        <v>7</v>
      </c>
      <c r="V46" s="556" t="s">
        <v>702</v>
      </c>
      <c r="W46" s="563" t="s">
        <v>2</v>
      </c>
      <c r="X46" s="557" t="s">
        <v>706</v>
      </c>
    </row>
    <row r="47" spans="1:24" s="206" customFormat="1" ht="39" customHeight="1" thickBot="1" x14ac:dyDescent="0.35">
      <c r="A47" s="555">
        <v>41746</v>
      </c>
      <c r="B47" s="563">
        <v>4</v>
      </c>
      <c r="C47" s="563">
        <v>1</v>
      </c>
      <c r="D47" s="563">
        <v>34</v>
      </c>
      <c r="E47" s="563">
        <v>50</v>
      </c>
      <c r="F47" s="563">
        <v>10</v>
      </c>
      <c r="G47" s="563">
        <v>3</v>
      </c>
      <c r="H47" s="563">
        <v>3</v>
      </c>
      <c r="I47" s="563">
        <v>3</v>
      </c>
      <c r="J47" s="563">
        <v>26</v>
      </c>
      <c r="K47" s="563">
        <v>26</v>
      </c>
      <c r="L47" s="563">
        <v>26</v>
      </c>
      <c r="M47" s="563">
        <v>0</v>
      </c>
      <c r="N47" s="563">
        <v>0</v>
      </c>
      <c r="O47" s="563">
        <v>8</v>
      </c>
      <c r="P47" s="563">
        <v>0</v>
      </c>
      <c r="Q47" s="563">
        <v>4</v>
      </c>
      <c r="R47" s="563">
        <v>11</v>
      </c>
      <c r="S47" s="563">
        <v>2</v>
      </c>
      <c r="T47" s="563">
        <v>1</v>
      </c>
      <c r="U47" s="563">
        <v>5</v>
      </c>
      <c r="V47" s="556" t="s">
        <v>702</v>
      </c>
      <c r="W47" s="563" t="s">
        <v>2</v>
      </c>
      <c r="X47" s="557" t="s">
        <v>707</v>
      </c>
    </row>
    <row r="48" spans="1:24" s="206" customFormat="1" ht="39" customHeight="1" thickBot="1" x14ac:dyDescent="0.35">
      <c r="A48" s="555">
        <v>41750</v>
      </c>
      <c r="B48" s="563">
        <v>13</v>
      </c>
      <c r="C48" s="563">
        <v>3</v>
      </c>
      <c r="D48" s="563">
        <v>30</v>
      </c>
      <c r="E48" s="563">
        <v>29</v>
      </c>
      <c r="F48" s="563">
        <v>2</v>
      </c>
      <c r="G48" s="563">
        <v>25</v>
      </c>
      <c r="H48" s="563">
        <v>27</v>
      </c>
      <c r="I48" s="563">
        <v>0</v>
      </c>
      <c r="J48" s="563">
        <v>0</v>
      </c>
      <c r="K48" s="563">
        <v>0</v>
      </c>
      <c r="L48" s="563">
        <v>0</v>
      </c>
      <c r="M48" s="563">
        <v>0</v>
      </c>
      <c r="N48" s="563">
        <v>0</v>
      </c>
      <c r="O48" s="563">
        <v>2</v>
      </c>
      <c r="P48" s="563">
        <v>6</v>
      </c>
      <c r="Q48" s="563">
        <v>1</v>
      </c>
      <c r="R48" s="563">
        <v>1</v>
      </c>
      <c r="S48" s="563">
        <v>1</v>
      </c>
      <c r="T48" s="563">
        <v>2</v>
      </c>
      <c r="U48" s="563">
        <v>6</v>
      </c>
      <c r="V48" s="556" t="s">
        <v>702</v>
      </c>
      <c r="W48" s="563" t="s">
        <v>2</v>
      </c>
      <c r="X48" s="557" t="s">
        <v>708</v>
      </c>
    </row>
    <row r="49" spans="1:24" s="206" customFormat="1" ht="39" customHeight="1" thickBot="1" x14ac:dyDescent="0.35">
      <c r="A49" s="555">
        <v>41751</v>
      </c>
      <c r="B49" s="563">
        <v>14</v>
      </c>
      <c r="C49" s="563">
        <v>16</v>
      </c>
      <c r="D49" s="563">
        <v>13</v>
      </c>
      <c r="E49" s="563">
        <v>24</v>
      </c>
      <c r="F49" s="563">
        <v>4</v>
      </c>
      <c r="G49" s="563">
        <v>11</v>
      </c>
      <c r="H49" s="563">
        <v>11</v>
      </c>
      <c r="I49" s="563">
        <v>11</v>
      </c>
      <c r="J49" s="563">
        <v>12</v>
      </c>
      <c r="K49" s="563">
        <v>12</v>
      </c>
      <c r="L49" s="563">
        <v>12</v>
      </c>
      <c r="M49" s="563">
        <v>0</v>
      </c>
      <c r="N49" s="563">
        <v>0</v>
      </c>
      <c r="O49" s="563">
        <v>2</v>
      </c>
      <c r="P49" s="563">
        <v>0</v>
      </c>
      <c r="Q49" s="563">
        <v>3</v>
      </c>
      <c r="R49" s="563">
        <v>2</v>
      </c>
      <c r="S49" s="563">
        <v>2</v>
      </c>
      <c r="T49" s="563">
        <v>2</v>
      </c>
      <c r="U49" s="563">
        <v>6</v>
      </c>
      <c r="V49" s="556" t="s">
        <v>702</v>
      </c>
      <c r="W49" s="563" t="s">
        <v>2</v>
      </c>
      <c r="X49" s="557" t="s">
        <v>709</v>
      </c>
    </row>
    <row r="50" spans="1:24" s="206" customFormat="1" ht="75.75" customHeight="1" thickBot="1" x14ac:dyDescent="0.35">
      <c r="A50" s="555">
        <v>41752</v>
      </c>
      <c r="B50" s="563">
        <v>13</v>
      </c>
      <c r="C50" s="563">
        <v>15</v>
      </c>
      <c r="D50" s="563">
        <v>19</v>
      </c>
      <c r="E50" s="563">
        <v>43</v>
      </c>
      <c r="F50" s="563">
        <v>10</v>
      </c>
      <c r="G50" s="563">
        <v>18</v>
      </c>
      <c r="H50" s="563">
        <v>18</v>
      </c>
      <c r="I50" s="563">
        <v>18</v>
      </c>
      <c r="J50" s="563">
        <v>18</v>
      </c>
      <c r="K50" s="563">
        <v>14</v>
      </c>
      <c r="L50" s="563">
        <v>14</v>
      </c>
      <c r="M50" s="563">
        <v>14</v>
      </c>
      <c r="N50" s="563">
        <v>14</v>
      </c>
      <c r="O50" s="563">
        <v>3</v>
      </c>
      <c r="P50" s="563">
        <v>7</v>
      </c>
      <c r="Q50" s="563">
        <v>1</v>
      </c>
      <c r="R50" s="563">
        <v>6</v>
      </c>
      <c r="S50" s="563">
        <v>1</v>
      </c>
      <c r="T50" s="563">
        <v>2</v>
      </c>
      <c r="U50" s="563">
        <v>6</v>
      </c>
      <c r="V50" s="556" t="s">
        <v>702</v>
      </c>
      <c r="W50" s="563" t="s">
        <v>2</v>
      </c>
      <c r="X50" s="557" t="s">
        <v>710</v>
      </c>
    </row>
    <row r="51" spans="1:24" s="206" customFormat="1" ht="28.5" customHeight="1" thickBot="1" x14ac:dyDescent="0.35">
      <c r="A51" s="555">
        <v>41753</v>
      </c>
      <c r="B51" s="563">
        <v>14</v>
      </c>
      <c r="C51" s="563">
        <v>18</v>
      </c>
      <c r="D51" s="563">
        <v>31</v>
      </c>
      <c r="E51" s="563">
        <v>42</v>
      </c>
      <c r="F51" s="563">
        <v>6</v>
      </c>
      <c r="G51" s="563">
        <v>6</v>
      </c>
      <c r="H51" s="563">
        <v>6</v>
      </c>
      <c r="I51" s="563">
        <v>6</v>
      </c>
      <c r="J51" s="563">
        <v>6</v>
      </c>
      <c r="K51" s="563">
        <v>2</v>
      </c>
      <c r="L51" s="563">
        <v>2</v>
      </c>
      <c r="M51" s="563">
        <v>2</v>
      </c>
      <c r="N51" s="563">
        <v>2</v>
      </c>
      <c r="O51" s="563">
        <v>2</v>
      </c>
      <c r="P51" s="563">
        <v>7</v>
      </c>
      <c r="Q51" s="563">
        <v>2</v>
      </c>
      <c r="R51" s="563">
        <v>12</v>
      </c>
      <c r="S51" s="563">
        <v>2</v>
      </c>
      <c r="T51" s="563">
        <v>2</v>
      </c>
      <c r="U51" s="563">
        <v>7</v>
      </c>
      <c r="V51" s="556" t="s">
        <v>702</v>
      </c>
      <c r="W51" s="563" t="s">
        <v>2</v>
      </c>
      <c r="X51" s="557" t="s">
        <v>711</v>
      </c>
    </row>
    <row r="52" spans="1:24" s="206" customFormat="1" ht="28.5" customHeight="1" thickBot="1" x14ac:dyDescent="0.35">
      <c r="A52" s="555">
        <v>41754</v>
      </c>
      <c r="B52" s="590">
        <v>14</v>
      </c>
      <c r="C52" s="590">
        <v>6</v>
      </c>
      <c r="D52" s="590">
        <v>28</v>
      </c>
      <c r="E52" s="590">
        <v>32</v>
      </c>
      <c r="F52" s="590">
        <v>16</v>
      </c>
      <c r="G52" s="590">
        <v>1</v>
      </c>
      <c r="H52" s="590">
        <v>1</v>
      </c>
      <c r="I52" s="590">
        <v>1</v>
      </c>
      <c r="J52" s="590">
        <v>1</v>
      </c>
      <c r="K52" s="590">
        <v>1</v>
      </c>
      <c r="L52" s="590">
        <v>0</v>
      </c>
      <c r="M52" s="591">
        <v>0</v>
      </c>
      <c r="N52" s="591">
        <v>0</v>
      </c>
      <c r="O52" s="590">
        <v>2</v>
      </c>
      <c r="P52" s="591">
        <v>0</v>
      </c>
      <c r="Q52" s="590">
        <v>3</v>
      </c>
      <c r="R52" s="590">
        <v>2</v>
      </c>
      <c r="S52" s="590">
        <v>2</v>
      </c>
      <c r="T52" s="590">
        <v>2</v>
      </c>
      <c r="U52" s="592">
        <v>6</v>
      </c>
      <c r="V52" s="556" t="s">
        <v>712</v>
      </c>
      <c r="W52" s="590" t="s">
        <v>2</v>
      </c>
      <c r="X52" s="557" t="s">
        <v>713</v>
      </c>
    </row>
    <row r="53" spans="1:24" s="206" customFormat="1" ht="54.75" customHeight="1" thickBot="1" x14ac:dyDescent="0.35">
      <c r="A53" s="555">
        <v>41757</v>
      </c>
      <c r="B53" s="590">
        <v>16</v>
      </c>
      <c r="C53" s="590">
        <v>17</v>
      </c>
      <c r="D53" s="590">
        <v>14</v>
      </c>
      <c r="E53" s="590">
        <v>47</v>
      </c>
      <c r="F53" s="590">
        <v>8</v>
      </c>
      <c r="G53" s="590">
        <v>11</v>
      </c>
      <c r="H53" s="590">
        <v>11</v>
      </c>
      <c r="I53" s="590">
        <v>11</v>
      </c>
      <c r="J53" s="590">
        <v>11</v>
      </c>
      <c r="K53" s="590">
        <v>12</v>
      </c>
      <c r="L53" s="590">
        <v>12</v>
      </c>
      <c r="M53" s="590">
        <v>12</v>
      </c>
      <c r="N53" s="590">
        <v>12</v>
      </c>
      <c r="O53" s="590">
        <v>3</v>
      </c>
      <c r="P53" s="590">
        <v>5</v>
      </c>
      <c r="Q53" s="590">
        <v>1</v>
      </c>
      <c r="R53" s="590">
        <v>1</v>
      </c>
      <c r="S53" s="590">
        <v>1</v>
      </c>
      <c r="T53" s="590">
        <v>2</v>
      </c>
      <c r="U53" s="592">
        <v>6</v>
      </c>
      <c r="V53" s="556" t="s">
        <v>712</v>
      </c>
      <c r="W53" s="590" t="s">
        <v>2</v>
      </c>
      <c r="X53" s="557" t="s">
        <v>714</v>
      </c>
    </row>
    <row r="54" spans="1:24" s="206" customFormat="1" ht="54.75" customHeight="1" thickBot="1" x14ac:dyDescent="0.35">
      <c r="A54" s="555">
        <v>41758</v>
      </c>
      <c r="B54" s="590">
        <v>16</v>
      </c>
      <c r="C54" s="590">
        <v>17</v>
      </c>
      <c r="D54" s="590">
        <v>34</v>
      </c>
      <c r="E54" s="590">
        <v>22</v>
      </c>
      <c r="F54" s="590">
        <v>11</v>
      </c>
      <c r="G54" s="590">
        <v>3</v>
      </c>
      <c r="H54" s="590">
        <v>3</v>
      </c>
      <c r="I54" s="590">
        <v>3</v>
      </c>
      <c r="J54" s="590">
        <v>3</v>
      </c>
      <c r="K54" s="590">
        <v>7</v>
      </c>
      <c r="L54" s="590">
        <v>7</v>
      </c>
      <c r="M54" s="590">
        <v>7</v>
      </c>
      <c r="N54" s="590">
        <v>7</v>
      </c>
      <c r="O54" s="590">
        <v>2</v>
      </c>
      <c r="P54" s="590">
        <v>5</v>
      </c>
      <c r="Q54" s="590">
        <v>1</v>
      </c>
      <c r="R54" s="590">
        <v>12</v>
      </c>
      <c r="S54" s="590">
        <v>1</v>
      </c>
      <c r="T54" s="590">
        <v>2</v>
      </c>
      <c r="U54" s="592">
        <v>6</v>
      </c>
      <c r="V54" s="556" t="s">
        <v>712</v>
      </c>
      <c r="W54" s="590" t="s">
        <v>2</v>
      </c>
      <c r="X54" s="557" t="s">
        <v>715</v>
      </c>
    </row>
    <row r="55" spans="1:24" s="206" customFormat="1" ht="54.75" customHeight="1" thickBot="1" x14ac:dyDescent="0.35">
      <c r="A55" s="555">
        <v>41759</v>
      </c>
      <c r="B55" s="590">
        <v>16</v>
      </c>
      <c r="C55" s="590">
        <v>17</v>
      </c>
      <c r="D55" s="590">
        <v>26</v>
      </c>
      <c r="E55" s="590">
        <v>33</v>
      </c>
      <c r="F55" s="590">
        <v>9</v>
      </c>
      <c r="G55" s="590">
        <v>16</v>
      </c>
      <c r="H55" s="590">
        <v>16</v>
      </c>
      <c r="I55" s="590">
        <v>16</v>
      </c>
      <c r="J55" s="590">
        <v>16</v>
      </c>
      <c r="K55" s="590">
        <v>20</v>
      </c>
      <c r="L55" s="590">
        <v>20</v>
      </c>
      <c r="M55" s="590">
        <v>20</v>
      </c>
      <c r="N55" s="590">
        <v>20</v>
      </c>
      <c r="O55" s="590">
        <v>2</v>
      </c>
      <c r="P55" s="590">
        <v>7</v>
      </c>
      <c r="Q55" s="590">
        <v>2</v>
      </c>
      <c r="R55" s="590">
        <v>10</v>
      </c>
      <c r="S55" s="590">
        <v>1</v>
      </c>
      <c r="T55" s="590">
        <v>2</v>
      </c>
      <c r="U55" s="592">
        <v>6</v>
      </c>
      <c r="V55" s="556" t="s">
        <v>712</v>
      </c>
      <c r="W55" s="590" t="s">
        <v>2</v>
      </c>
      <c r="X55" s="557" t="s">
        <v>716</v>
      </c>
    </row>
    <row r="56" spans="1:24" s="206" customFormat="1" ht="90.75" customHeight="1" thickBot="1" x14ac:dyDescent="0.35">
      <c r="A56" s="555">
        <v>41760</v>
      </c>
      <c r="B56" s="590">
        <v>20</v>
      </c>
      <c r="C56" s="590">
        <v>2</v>
      </c>
      <c r="D56" s="590">
        <v>35</v>
      </c>
      <c r="E56" s="590">
        <v>50</v>
      </c>
      <c r="F56" s="590">
        <v>7</v>
      </c>
      <c r="G56" s="590">
        <v>26</v>
      </c>
      <c r="H56" s="590">
        <v>28</v>
      </c>
      <c r="I56" s="590">
        <v>0</v>
      </c>
      <c r="J56" s="590">
        <v>0</v>
      </c>
      <c r="K56" s="590">
        <v>0</v>
      </c>
      <c r="L56" s="590">
        <v>0</v>
      </c>
      <c r="M56" s="590">
        <v>0</v>
      </c>
      <c r="N56" s="590">
        <v>0</v>
      </c>
      <c r="O56" s="590">
        <v>3</v>
      </c>
      <c r="P56" s="590">
        <v>7</v>
      </c>
      <c r="Q56" s="590">
        <v>2</v>
      </c>
      <c r="R56" s="590">
        <v>2</v>
      </c>
      <c r="S56" s="590">
        <v>1</v>
      </c>
      <c r="T56" s="590">
        <v>2</v>
      </c>
      <c r="U56" s="590">
        <v>6</v>
      </c>
      <c r="V56" s="556" t="s">
        <v>712</v>
      </c>
      <c r="W56" s="593" t="s">
        <v>4</v>
      </c>
      <c r="X56" s="557" t="s">
        <v>717</v>
      </c>
    </row>
    <row r="57" spans="1:24" s="206" customFormat="1" ht="75.75" customHeight="1" thickBot="1" x14ac:dyDescent="0.35">
      <c r="A57" s="555">
        <v>41761</v>
      </c>
      <c r="B57" s="590">
        <v>16</v>
      </c>
      <c r="C57" s="590">
        <v>1</v>
      </c>
      <c r="D57" s="590">
        <v>11</v>
      </c>
      <c r="E57" s="590">
        <v>43</v>
      </c>
      <c r="F57" s="590">
        <v>5</v>
      </c>
      <c r="G57" s="590">
        <v>29</v>
      </c>
      <c r="H57" s="590">
        <v>29</v>
      </c>
      <c r="I57" s="590">
        <v>29</v>
      </c>
      <c r="J57" s="590">
        <v>30</v>
      </c>
      <c r="K57" s="590">
        <v>30</v>
      </c>
      <c r="L57" s="590">
        <v>30</v>
      </c>
      <c r="M57" s="590">
        <v>0</v>
      </c>
      <c r="N57" s="590">
        <v>0</v>
      </c>
      <c r="O57" s="590">
        <v>2</v>
      </c>
      <c r="P57" s="590">
        <v>5</v>
      </c>
      <c r="Q57" s="590">
        <v>3</v>
      </c>
      <c r="R57" s="590">
        <v>12</v>
      </c>
      <c r="S57" s="590">
        <v>1</v>
      </c>
      <c r="T57" s="590">
        <v>2</v>
      </c>
      <c r="U57" s="590">
        <v>5</v>
      </c>
      <c r="V57" s="556" t="s">
        <v>712</v>
      </c>
      <c r="W57" s="590" t="s">
        <v>2</v>
      </c>
      <c r="X57" s="557" t="s">
        <v>718</v>
      </c>
    </row>
    <row r="58" spans="1:24" s="206" customFormat="1" ht="75.75" customHeight="1" thickBot="1" x14ac:dyDescent="0.35">
      <c r="A58" s="555">
        <v>41764</v>
      </c>
      <c r="B58" s="590">
        <v>4</v>
      </c>
      <c r="C58" s="590">
        <v>15</v>
      </c>
      <c r="D58" s="590">
        <v>4</v>
      </c>
      <c r="E58" s="590">
        <v>28</v>
      </c>
      <c r="F58" s="590">
        <v>3</v>
      </c>
      <c r="G58" s="590">
        <v>21</v>
      </c>
      <c r="H58" s="590">
        <v>21</v>
      </c>
      <c r="I58" s="590">
        <v>21</v>
      </c>
      <c r="J58" s="590">
        <v>22</v>
      </c>
      <c r="K58" s="590">
        <v>22</v>
      </c>
      <c r="L58" s="590">
        <v>22</v>
      </c>
      <c r="M58" s="590">
        <v>0</v>
      </c>
      <c r="N58" s="590">
        <v>0</v>
      </c>
      <c r="O58" s="590">
        <v>3</v>
      </c>
      <c r="P58" s="590">
        <v>7</v>
      </c>
      <c r="Q58" s="590">
        <v>3</v>
      </c>
      <c r="R58" s="590">
        <v>9</v>
      </c>
      <c r="S58" s="590">
        <v>1</v>
      </c>
      <c r="T58" s="590">
        <v>2</v>
      </c>
      <c r="U58" s="590">
        <v>5</v>
      </c>
      <c r="V58" s="556" t="s">
        <v>712</v>
      </c>
      <c r="W58" s="590" t="s">
        <v>2</v>
      </c>
      <c r="X58" s="557" t="s">
        <v>719</v>
      </c>
    </row>
    <row r="59" spans="1:24" s="206" customFormat="1" ht="36" customHeight="1" thickBot="1" x14ac:dyDescent="0.35">
      <c r="A59" s="555">
        <v>41765</v>
      </c>
      <c r="B59" s="590">
        <v>5</v>
      </c>
      <c r="C59" s="590">
        <v>16</v>
      </c>
      <c r="D59" s="590">
        <v>37</v>
      </c>
      <c r="E59" s="590">
        <v>25</v>
      </c>
      <c r="F59" s="590">
        <v>15</v>
      </c>
      <c r="G59" s="590">
        <v>4</v>
      </c>
      <c r="H59" s="590">
        <v>4</v>
      </c>
      <c r="I59" s="590">
        <v>8</v>
      </c>
      <c r="J59" s="590">
        <v>8</v>
      </c>
      <c r="K59" s="590">
        <v>0</v>
      </c>
      <c r="L59" s="590">
        <v>0</v>
      </c>
      <c r="M59" s="590">
        <v>0</v>
      </c>
      <c r="N59" s="590">
        <v>0</v>
      </c>
      <c r="O59" s="590">
        <v>2</v>
      </c>
      <c r="P59" s="590">
        <v>4</v>
      </c>
      <c r="Q59" s="590">
        <v>2</v>
      </c>
      <c r="R59" s="590">
        <v>11</v>
      </c>
      <c r="S59" s="590">
        <v>1</v>
      </c>
      <c r="T59" s="590">
        <v>2</v>
      </c>
      <c r="U59" s="590">
        <v>7</v>
      </c>
      <c r="V59" s="556" t="s">
        <v>712</v>
      </c>
      <c r="W59" s="590" t="s">
        <v>2</v>
      </c>
      <c r="X59" s="557" t="s">
        <v>720</v>
      </c>
    </row>
    <row r="60" spans="1:24" s="206" customFormat="1" ht="36" customHeight="1" thickBot="1" x14ac:dyDescent="0.35">
      <c r="A60" s="555">
        <v>41766</v>
      </c>
      <c r="B60" s="590">
        <v>6</v>
      </c>
      <c r="C60" s="590">
        <v>3</v>
      </c>
      <c r="D60" s="590">
        <v>5</v>
      </c>
      <c r="E60" s="590">
        <v>27</v>
      </c>
      <c r="F60" s="590">
        <v>13</v>
      </c>
      <c r="G60" s="590">
        <v>35</v>
      </c>
      <c r="H60" s="590">
        <v>35</v>
      </c>
      <c r="I60" s="590">
        <v>36</v>
      </c>
      <c r="J60" s="590">
        <v>36</v>
      </c>
      <c r="K60" s="590">
        <v>0</v>
      </c>
      <c r="L60" s="590">
        <v>0</v>
      </c>
      <c r="M60" s="590">
        <v>0</v>
      </c>
      <c r="N60" s="590">
        <v>0</v>
      </c>
      <c r="O60" s="590">
        <v>3</v>
      </c>
      <c r="P60" s="590">
        <v>0</v>
      </c>
      <c r="Q60" s="590">
        <v>4</v>
      </c>
      <c r="R60" s="590">
        <v>5</v>
      </c>
      <c r="S60" s="590">
        <v>1</v>
      </c>
      <c r="T60" s="590">
        <v>1</v>
      </c>
      <c r="U60" s="590">
        <v>7</v>
      </c>
      <c r="V60" s="556" t="s">
        <v>712</v>
      </c>
      <c r="W60" s="566" t="s">
        <v>509</v>
      </c>
      <c r="X60" s="557" t="s">
        <v>721</v>
      </c>
    </row>
    <row r="61" spans="1:24" s="206" customFormat="1" ht="36" customHeight="1" thickBot="1" x14ac:dyDescent="0.35">
      <c r="A61" s="555">
        <v>41767</v>
      </c>
      <c r="B61" s="590">
        <v>13</v>
      </c>
      <c r="C61" s="590">
        <v>1</v>
      </c>
      <c r="D61" s="590">
        <v>36</v>
      </c>
      <c r="E61" s="590">
        <v>23</v>
      </c>
      <c r="F61" s="590">
        <v>14</v>
      </c>
      <c r="G61" s="590">
        <v>3</v>
      </c>
      <c r="H61" s="590">
        <v>26</v>
      </c>
      <c r="I61" s="590">
        <v>0</v>
      </c>
      <c r="J61" s="590">
        <v>0</v>
      </c>
      <c r="K61" s="590">
        <v>0</v>
      </c>
      <c r="L61" s="590">
        <v>0</v>
      </c>
      <c r="M61" s="590">
        <v>0</v>
      </c>
      <c r="N61" s="590">
        <v>0</v>
      </c>
      <c r="O61" s="590">
        <v>2</v>
      </c>
      <c r="P61" s="590">
        <v>0</v>
      </c>
      <c r="Q61" s="590">
        <v>4</v>
      </c>
      <c r="R61" s="590">
        <v>11</v>
      </c>
      <c r="S61" s="590">
        <v>2</v>
      </c>
      <c r="T61" s="590">
        <v>1</v>
      </c>
      <c r="U61" s="590">
        <v>5</v>
      </c>
      <c r="V61" s="556" t="s">
        <v>712</v>
      </c>
      <c r="W61" s="566" t="s">
        <v>509</v>
      </c>
      <c r="X61" s="557" t="s">
        <v>722</v>
      </c>
    </row>
    <row r="62" spans="1:24" s="206" customFormat="1" ht="36" customHeight="1" thickBot="1" x14ac:dyDescent="0.35">
      <c r="A62" s="555">
        <v>41768</v>
      </c>
      <c r="B62" s="590">
        <v>14</v>
      </c>
      <c r="C62" s="590">
        <v>15</v>
      </c>
      <c r="D62" s="590">
        <v>20</v>
      </c>
      <c r="E62" s="590">
        <v>26</v>
      </c>
      <c r="F62" s="590">
        <v>1</v>
      </c>
      <c r="G62" s="590">
        <v>18</v>
      </c>
      <c r="H62" s="590">
        <v>14</v>
      </c>
      <c r="I62" s="590">
        <v>0</v>
      </c>
      <c r="J62" s="590">
        <v>0</v>
      </c>
      <c r="K62" s="590">
        <v>0</v>
      </c>
      <c r="L62" s="590">
        <v>0</v>
      </c>
      <c r="M62" s="590">
        <v>0</v>
      </c>
      <c r="N62" s="590">
        <v>0</v>
      </c>
      <c r="O62" s="590">
        <v>3</v>
      </c>
      <c r="P62" s="590">
        <v>7</v>
      </c>
      <c r="Q62" s="590">
        <v>1</v>
      </c>
      <c r="R62" s="590">
        <v>6</v>
      </c>
      <c r="S62" s="590">
        <v>1</v>
      </c>
      <c r="T62" s="590">
        <v>2</v>
      </c>
      <c r="U62" s="590">
        <v>6</v>
      </c>
      <c r="V62" s="556" t="s">
        <v>712</v>
      </c>
      <c r="W62" s="590" t="s">
        <v>2</v>
      </c>
      <c r="X62" s="557" t="s">
        <v>723</v>
      </c>
    </row>
    <row r="63" spans="1:24" s="206" customFormat="1" ht="36" customHeight="1" thickBot="1" x14ac:dyDescent="0.35">
      <c r="A63" s="555">
        <v>41771</v>
      </c>
      <c r="B63" s="590">
        <v>13</v>
      </c>
      <c r="C63" s="590">
        <v>3</v>
      </c>
      <c r="D63" s="590">
        <v>29</v>
      </c>
      <c r="E63" s="590">
        <v>18</v>
      </c>
      <c r="F63" s="590">
        <v>13</v>
      </c>
      <c r="G63" s="590">
        <v>25</v>
      </c>
      <c r="H63" s="590">
        <v>27</v>
      </c>
      <c r="I63" s="590">
        <v>0</v>
      </c>
      <c r="J63" s="590">
        <v>0</v>
      </c>
      <c r="K63" s="590">
        <v>0</v>
      </c>
      <c r="L63" s="590">
        <v>0</v>
      </c>
      <c r="M63" s="590">
        <v>0</v>
      </c>
      <c r="N63" s="590">
        <v>0</v>
      </c>
      <c r="O63" s="590">
        <v>3</v>
      </c>
      <c r="P63" s="590">
        <v>6</v>
      </c>
      <c r="Q63" s="590">
        <v>1</v>
      </c>
      <c r="R63" s="590">
        <v>1</v>
      </c>
      <c r="S63" s="590">
        <v>1</v>
      </c>
      <c r="T63" s="590">
        <v>2</v>
      </c>
      <c r="U63" s="590">
        <v>6</v>
      </c>
      <c r="V63" s="556" t="s">
        <v>712</v>
      </c>
      <c r="W63" s="566" t="s">
        <v>660</v>
      </c>
      <c r="X63" s="557" t="s">
        <v>725</v>
      </c>
    </row>
    <row r="64" spans="1:24" s="206" customFormat="1" ht="36" customHeight="1" thickBot="1" x14ac:dyDescent="0.35">
      <c r="A64" s="555">
        <v>41772</v>
      </c>
      <c r="B64" s="590">
        <v>14</v>
      </c>
      <c r="C64" s="590">
        <v>16</v>
      </c>
      <c r="D64" s="590">
        <v>7</v>
      </c>
      <c r="E64" s="590">
        <v>21</v>
      </c>
      <c r="F64" s="590">
        <v>12</v>
      </c>
      <c r="G64" s="590">
        <v>23</v>
      </c>
      <c r="H64" s="590">
        <v>23</v>
      </c>
      <c r="I64" s="590">
        <v>23</v>
      </c>
      <c r="J64" s="590">
        <v>24</v>
      </c>
      <c r="K64" s="590">
        <v>24</v>
      </c>
      <c r="L64" s="590">
        <v>24</v>
      </c>
      <c r="M64" s="590">
        <v>0</v>
      </c>
      <c r="N64" s="590">
        <v>0</v>
      </c>
      <c r="O64" s="590">
        <v>2</v>
      </c>
      <c r="P64" s="590">
        <v>0</v>
      </c>
      <c r="Q64" s="590">
        <v>3</v>
      </c>
      <c r="R64" s="590">
        <v>2</v>
      </c>
      <c r="S64" s="590">
        <v>2</v>
      </c>
      <c r="T64" s="590">
        <v>2</v>
      </c>
      <c r="U64" s="590">
        <v>6</v>
      </c>
      <c r="V64" s="556" t="s">
        <v>712</v>
      </c>
      <c r="W64" s="590" t="s">
        <v>2</v>
      </c>
      <c r="X64" s="557" t="s">
        <v>726</v>
      </c>
    </row>
    <row r="65" spans="1:24" s="206" customFormat="1" ht="36" customHeight="1" thickBot="1" x14ac:dyDescent="0.35">
      <c r="A65" s="555">
        <v>41773</v>
      </c>
      <c r="B65" s="590">
        <v>13</v>
      </c>
      <c r="C65" s="590">
        <v>15</v>
      </c>
      <c r="D65" s="590">
        <v>46</v>
      </c>
      <c r="E65" s="590">
        <v>52</v>
      </c>
      <c r="F65" s="590">
        <v>13</v>
      </c>
      <c r="G65" s="590">
        <v>1</v>
      </c>
      <c r="H65" s="590">
        <v>25</v>
      </c>
      <c r="I65" s="590">
        <v>0</v>
      </c>
      <c r="J65" s="590">
        <v>0</v>
      </c>
      <c r="K65" s="590">
        <v>0</v>
      </c>
      <c r="L65" s="590">
        <v>0</v>
      </c>
      <c r="M65" s="590">
        <v>0</v>
      </c>
      <c r="N65" s="590">
        <v>0</v>
      </c>
      <c r="O65" s="590">
        <v>3</v>
      </c>
      <c r="P65" s="590">
        <v>7</v>
      </c>
      <c r="Q65" s="590">
        <v>1</v>
      </c>
      <c r="R65" s="590">
        <v>6</v>
      </c>
      <c r="S65" s="590">
        <v>1</v>
      </c>
      <c r="T65" s="590">
        <v>1</v>
      </c>
      <c r="U65" s="590">
        <v>6</v>
      </c>
      <c r="V65" s="556" t="s">
        <v>712</v>
      </c>
      <c r="W65" s="590" t="s">
        <v>2</v>
      </c>
      <c r="X65" s="557" t="s">
        <v>727</v>
      </c>
    </row>
    <row r="66" spans="1:24" s="206" customFormat="1" ht="36" customHeight="1" thickBot="1" x14ac:dyDescent="0.35">
      <c r="A66" s="555">
        <v>41774</v>
      </c>
      <c r="B66" s="590">
        <v>14</v>
      </c>
      <c r="C66" s="590">
        <v>16</v>
      </c>
      <c r="D66" s="590">
        <v>30</v>
      </c>
      <c r="E66" s="590">
        <v>19</v>
      </c>
      <c r="F66" s="590">
        <v>5</v>
      </c>
      <c r="G66" s="590">
        <v>25</v>
      </c>
      <c r="H66" s="590">
        <v>27</v>
      </c>
      <c r="I66" s="590">
        <v>0</v>
      </c>
      <c r="J66" s="590">
        <v>0</v>
      </c>
      <c r="K66" s="590">
        <v>0</v>
      </c>
      <c r="L66" s="590">
        <v>0</v>
      </c>
      <c r="M66" s="590">
        <v>0</v>
      </c>
      <c r="N66" s="590">
        <v>0</v>
      </c>
      <c r="O66" s="590">
        <v>2</v>
      </c>
      <c r="P66" s="590">
        <v>7</v>
      </c>
      <c r="Q66" s="590">
        <v>2</v>
      </c>
      <c r="R66" s="590">
        <v>9</v>
      </c>
      <c r="S66" s="590">
        <v>2</v>
      </c>
      <c r="T66" s="590">
        <v>2</v>
      </c>
      <c r="U66" s="590">
        <v>7</v>
      </c>
      <c r="V66" s="556" t="s">
        <v>732</v>
      </c>
      <c r="W66" s="590" t="s">
        <v>2</v>
      </c>
      <c r="X66" s="557" t="s">
        <v>728</v>
      </c>
    </row>
    <row r="67" spans="1:24" s="206" customFormat="1" ht="36" customHeight="1" thickBot="1" x14ac:dyDescent="0.35">
      <c r="A67" s="555">
        <v>41775</v>
      </c>
      <c r="B67" s="590">
        <v>14</v>
      </c>
      <c r="C67" s="590">
        <v>6</v>
      </c>
      <c r="D67" s="590">
        <v>21</v>
      </c>
      <c r="E67" s="590">
        <v>30</v>
      </c>
      <c r="F67" s="590">
        <v>14</v>
      </c>
      <c r="G67" s="590">
        <v>18</v>
      </c>
      <c r="H67" s="590">
        <v>14</v>
      </c>
      <c r="I67" s="590">
        <v>0</v>
      </c>
      <c r="J67" s="590">
        <v>0</v>
      </c>
      <c r="K67" s="590">
        <v>0</v>
      </c>
      <c r="L67" s="590">
        <v>0</v>
      </c>
      <c r="M67" s="590">
        <v>0</v>
      </c>
      <c r="N67" s="590">
        <v>0</v>
      </c>
      <c r="O67" s="590">
        <v>3</v>
      </c>
      <c r="P67" s="590">
        <v>0</v>
      </c>
      <c r="Q67" s="590">
        <v>3</v>
      </c>
      <c r="R67" s="590">
        <v>10</v>
      </c>
      <c r="S67" s="590">
        <v>2</v>
      </c>
      <c r="T67" s="590">
        <v>2</v>
      </c>
      <c r="U67" s="590">
        <v>6</v>
      </c>
      <c r="V67" s="556" t="s">
        <v>735</v>
      </c>
      <c r="W67" s="590" t="s">
        <v>2</v>
      </c>
      <c r="X67" s="557" t="s">
        <v>729</v>
      </c>
    </row>
    <row r="68" spans="1:24" s="206" customFormat="1" ht="36" customHeight="1" thickBot="1" x14ac:dyDescent="0.35">
      <c r="A68" s="555">
        <v>41779</v>
      </c>
      <c r="B68" s="590">
        <v>16</v>
      </c>
      <c r="C68" s="590">
        <v>17</v>
      </c>
      <c r="D68" s="590">
        <v>17</v>
      </c>
      <c r="E68" s="590">
        <v>37</v>
      </c>
      <c r="F68" s="590">
        <v>8</v>
      </c>
      <c r="G68" s="590">
        <v>17</v>
      </c>
      <c r="H68" s="590">
        <v>13</v>
      </c>
      <c r="I68" s="590">
        <v>0</v>
      </c>
      <c r="J68" s="590">
        <v>0</v>
      </c>
      <c r="K68" s="590">
        <v>0</v>
      </c>
      <c r="L68" s="590">
        <v>0</v>
      </c>
      <c r="M68" s="590">
        <v>0</v>
      </c>
      <c r="N68" s="590">
        <v>0</v>
      </c>
      <c r="O68" s="590">
        <v>3</v>
      </c>
      <c r="P68" s="590">
        <v>5</v>
      </c>
      <c r="Q68" s="590">
        <v>1</v>
      </c>
      <c r="R68" s="590">
        <v>5</v>
      </c>
      <c r="S68" s="590">
        <v>1</v>
      </c>
      <c r="T68" s="590">
        <v>2</v>
      </c>
      <c r="U68" s="590">
        <v>6</v>
      </c>
      <c r="V68" s="556" t="s">
        <v>735</v>
      </c>
      <c r="W68" s="590" t="s">
        <v>2</v>
      </c>
      <c r="X68" s="557" t="s">
        <v>731</v>
      </c>
    </row>
    <row r="69" spans="1:24" s="206" customFormat="1" ht="36" customHeight="1" thickBot="1" x14ac:dyDescent="0.35">
      <c r="A69" s="555">
        <v>41780</v>
      </c>
      <c r="B69" s="590">
        <v>16</v>
      </c>
      <c r="C69" s="590">
        <v>7</v>
      </c>
      <c r="D69" s="590">
        <v>27</v>
      </c>
      <c r="E69" s="590">
        <v>35</v>
      </c>
      <c r="F69" s="590">
        <v>1</v>
      </c>
      <c r="G69" s="590">
        <v>16</v>
      </c>
      <c r="H69" s="590">
        <v>16</v>
      </c>
      <c r="I69" s="590">
        <v>20</v>
      </c>
      <c r="J69" s="590">
        <v>20</v>
      </c>
      <c r="K69" s="590">
        <v>0</v>
      </c>
      <c r="L69" s="590">
        <v>0</v>
      </c>
      <c r="M69" s="590">
        <v>0</v>
      </c>
      <c r="N69" s="590">
        <v>0</v>
      </c>
      <c r="O69" s="590">
        <v>2</v>
      </c>
      <c r="P69" s="590">
        <v>7</v>
      </c>
      <c r="Q69" s="590">
        <v>2</v>
      </c>
      <c r="R69" s="590">
        <v>12</v>
      </c>
      <c r="S69" s="590">
        <v>1</v>
      </c>
      <c r="T69" s="590">
        <v>2</v>
      </c>
      <c r="U69" s="590">
        <v>6</v>
      </c>
      <c r="V69" s="556" t="s">
        <v>735</v>
      </c>
      <c r="W69" s="590" t="s">
        <v>2</v>
      </c>
      <c r="X69" s="557" t="s">
        <v>733</v>
      </c>
    </row>
    <row r="70" spans="1:24" ht="93.6" thickBot="1" x14ac:dyDescent="0.35">
      <c r="A70" s="555">
        <v>41781</v>
      </c>
      <c r="B70" s="590">
        <v>14</v>
      </c>
      <c r="C70" s="590">
        <v>6</v>
      </c>
      <c r="D70" s="590">
        <v>21</v>
      </c>
      <c r="E70" s="590">
        <v>30</v>
      </c>
      <c r="F70" s="590">
        <v>14</v>
      </c>
      <c r="G70" s="590">
        <v>18</v>
      </c>
      <c r="H70" s="590">
        <v>14</v>
      </c>
      <c r="I70" s="590">
        <v>0</v>
      </c>
      <c r="J70" s="590">
        <v>0</v>
      </c>
      <c r="K70" s="590">
        <v>0</v>
      </c>
      <c r="L70" s="590">
        <v>0</v>
      </c>
      <c r="M70" s="590">
        <v>0</v>
      </c>
      <c r="N70" s="590">
        <v>0</v>
      </c>
      <c r="O70" s="590">
        <v>3</v>
      </c>
      <c r="P70" s="590">
        <v>0</v>
      </c>
      <c r="Q70" s="590">
        <v>3</v>
      </c>
      <c r="R70" s="590">
        <v>10</v>
      </c>
      <c r="S70" s="590">
        <v>1</v>
      </c>
      <c r="T70" s="590">
        <v>2</v>
      </c>
      <c r="U70" s="590">
        <v>6</v>
      </c>
      <c r="V70" s="556" t="s">
        <v>735</v>
      </c>
      <c r="W70" s="590" t="s">
        <v>2</v>
      </c>
      <c r="X70" s="618" t="s">
        <v>734</v>
      </c>
    </row>
    <row r="71" spans="1:24" ht="67.2" thickBot="1" x14ac:dyDescent="0.35">
      <c r="A71" s="555">
        <v>41782</v>
      </c>
      <c r="B71" s="590">
        <v>16</v>
      </c>
      <c r="C71" s="590">
        <v>1</v>
      </c>
      <c r="D71" s="590">
        <v>10</v>
      </c>
      <c r="E71" s="590">
        <v>17</v>
      </c>
      <c r="F71" s="590">
        <v>2</v>
      </c>
      <c r="G71" s="590">
        <v>29</v>
      </c>
      <c r="H71" s="590">
        <v>29</v>
      </c>
      <c r="I71" s="590">
        <v>29</v>
      </c>
      <c r="J71" s="590">
        <v>29</v>
      </c>
      <c r="K71" s="590">
        <v>30</v>
      </c>
      <c r="L71" s="590">
        <v>30</v>
      </c>
      <c r="M71" s="590">
        <v>30</v>
      </c>
      <c r="N71" s="590">
        <v>30</v>
      </c>
      <c r="O71" s="590">
        <v>2</v>
      </c>
      <c r="P71" s="590">
        <v>5</v>
      </c>
      <c r="Q71" s="590">
        <v>3</v>
      </c>
      <c r="R71" s="590">
        <v>9</v>
      </c>
      <c r="S71" s="590">
        <v>1</v>
      </c>
      <c r="T71" s="590">
        <v>2</v>
      </c>
      <c r="U71" s="590">
        <v>5</v>
      </c>
      <c r="V71" s="556" t="s">
        <v>735</v>
      </c>
      <c r="W71" s="590" t="s">
        <v>2</v>
      </c>
      <c r="X71" s="618" t="s">
        <v>736</v>
      </c>
    </row>
    <row r="72" spans="1:24" ht="67.2" thickBot="1" x14ac:dyDescent="0.35">
      <c r="A72" s="555">
        <v>41785</v>
      </c>
      <c r="B72" s="590">
        <v>4</v>
      </c>
      <c r="C72" s="590">
        <v>15</v>
      </c>
      <c r="D72" s="590">
        <v>18</v>
      </c>
      <c r="E72" s="590">
        <v>45</v>
      </c>
      <c r="F72" s="590">
        <v>5</v>
      </c>
      <c r="G72" s="590">
        <v>17</v>
      </c>
      <c r="H72" s="590">
        <v>17</v>
      </c>
      <c r="I72" s="590">
        <v>13</v>
      </c>
      <c r="J72" s="590">
        <v>13</v>
      </c>
      <c r="K72" s="590">
        <v>0</v>
      </c>
      <c r="L72" s="590">
        <v>0</v>
      </c>
      <c r="M72" s="590">
        <v>0</v>
      </c>
      <c r="N72" s="590">
        <v>0</v>
      </c>
      <c r="O72" s="590">
        <v>2</v>
      </c>
      <c r="P72" s="590">
        <v>7</v>
      </c>
      <c r="Q72" s="590">
        <v>3</v>
      </c>
      <c r="R72" s="590">
        <v>9</v>
      </c>
      <c r="S72" s="590">
        <v>1</v>
      </c>
      <c r="T72" s="590">
        <v>2</v>
      </c>
      <c r="U72" s="590">
        <v>5</v>
      </c>
      <c r="V72" s="556" t="s">
        <v>735</v>
      </c>
      <c r="W72" s="590" t="s">
        <v>2</v>
      </c>
      <c r="X72" s="618" t="s">
        <v>737</v>
      </c>
    </row>
    <row r="73" spans="1:24" ht="106.8" thickBot="1" x14ac:dyDescent="0.35">
      <c r="A73" s="555">
        <v>41787</v>
      </c>
      <c r="B73" s="590">
        <v>5</v>
      </c>
      <c r="C73" s="590">
        <v>16</v>
      </c>
      <c r="D73" s="590">
        <v>39</v>
      </c>
      <c r="E73" s="590">
        <v>20</v>
      </c>
      <c r="F73" s="590">
        <v>16</v>
      </c>
      <c r="G73" s="590">
        <v>4</v>
      </c>
      <c r="H73" s="590">
        <v>8</v>
      </c>
      <c r="I73" s="590">
        <v>0</v>
      </c>
      <c r="J73" s="590">
        <v>0</v>
      </c>
      <c r="K73" s="590">
        <v>0</v>
      </c>
      <c r="L73" s="590">
        <v>0</v>
      </c>
      <c r="M73" s="590">
        <v>0</v>
      </c>
      <c r="N73" s="590">
        <v>0</v>
      </c>
      <c r="O73" s="590">
        <v>3</v>
      </c>
      <c r="P73" s="590">
        <v>4</v>
      </c>
      <c r="Q73" s="590">
        <v>2</v>
      </c>
      <c r="R73" s="590">
        <v>11</v>
      </c>
      <c r="S73" s="590">
        <v>1</v>
      </c>
      <c r="T73" s="590">
        <v>2</v>
      </c>
      <c r="U73" s="590">
        <v>7</v>
      </c>
      <c r="V73" s="556" t="s">
        <v>735</v>
      </c>
      <c r="W73" s="566" t="s">
        <v>660</v>
      </c>
      <c r="X73" s="618" t="s">
        <v>738</v>
      </c>
    </row>
    <row r="74" spans="1:24" ht="146.4" thickBot="1" x14ac:dyDescent="0.35">
      <c r="A74" s="555">
        <v>41788</v>
      </c>
      <c r="B74" s="590">
        <v>13</v>
      </c>
      <c r="C74" s="590">
        <v>1</v>
      </c>
      <c r="D74" s="590">
        <v>34</v>
      </c>
      <c r="E74" s="590">
        <v>46</v>
      </c>
      <c r="F74" s="590">
        <v>6</v>
      </c>
      <c r="G74" s="590">
        <v>3</v>
      </c>
      <c r="H74" s="590">
        <v>26</v>
      </c>
      <c r="I74" s="590">
        <v>0</v>
      </c>
      <c r="J74" s="590">
        <v>0</v>
      </c>
      <c r="K74" s="590">
        <v>0</v>
      </c>
      <c r="L74" s="590">
        <v>0</v>
      </c>
      <c r="M74" s="590">
        <v>0</v>
      </c>
      <c r="N74" s="590">
        <v>0</v>
      </c>
      <c r="O74" s="590">
        <v>3</v>
      </c>
      <c r="P74" s="590">
        <v>0</v>
      </c>
      <c r="Q74" s="590">
        <v>4</v>
      </c>
      <c r="R74" s="590">
        <v>11</v>
      </c>
      <c r="S74" s="590">
        <v>2</v>
      </c>
      <c r="T74" s="590">
        <v>1</v>
      </c>
      <c r="U74" s="590">
        <v>5</v>
      </c>
      <c r="V74" s="556" t="s">
        <v>735</v>
      </c>
      <c r="W74" s="566" t="s">
        <v>660</v>
      </c>
      <c r="X74" s="618" t="s">
        <v>744</v>
      </c>
    </row>
    <row r="75" spans="1:24" ht="106.8" thickBot="1" x14ac:dyDescent="0.35">
      <c r="A75" s="555">
        <v>41789</v>
      </c>
      <c r="B75" s="590">
        <v>14</v>
      </c>
      <c r="C75" s="590">
        <v>16</v>
      </c>
      <c r="D75" s="590">
        <v>8</v>
      </c>
      <c r="E75" s="590">
        <v>44</v>
      </c>
      <c r="F75" s="590">
        <v>11</v>
      </c>
      <c r="G75" s="590">
        <v>23</v>
      </c>
      <c r="H75" s="590">
        <v>23</v>
      </c>
      <c r="I75" s="590">
        <v>24</v>
      </c>
      <c r="J75" s="590">
        <v>24</v>
      </c>
      <c r="K75" s="590">
        <v>0</v>
      </c>
      <c r="L75" s="590">
        <v>0</v>
      </c>
      <c r="M75" s="590">
        <v>0</v>
      </c>
      <c r="N75" s="590">
        <v>0</v>
      </c>
      <c r="O75" s="590">
        <v>2</v>
      </c>
      <c r="P75" s="590">
        <v>0</v>
      </c>
      <c r="Q75" s="590">
        <v>3</v>
      </c>
      <c r="R75" s="590">
        <v>10</v>
      </c>
      <c r="S75" s="590">
        <v>2</v>
      </c>
      <c r="T75" s="590">
        <v>2</v>
      </c>
      <c r="U75" s="590">
        <v>6</v>
      </c>
      <c r="V75" s="556" t="s">
        <v>735</v>
      </c>
      <c r="W75" s="590" t="s">
        <v>2</v>
      </c>
      <c r="X75" s="618" t="s">
        <v>742</v>
      </c>
    </row>
    <row r="76" spans="1:24" ht="106.8" thickBot="1" x14ac:dyDescent="0.35">
      <c r="A76" s="555">
        <v>41792</v>
      </c>
      <c r="B76" s="590">
        <v>14</v>
      </c>
      <c r="C76" s="590">
        <v>16</v>
      </c>
      <c r="D76" s="590">
        <v>28</v>
      </c>
      <c r="E76" s="590">
        <v>39</v>
      </c>
      <c r="F76" s="590">
        <v>1</v>
      </c>
      <c r="G76" s="590">
        <v>1</v>
      </c>
      <c r="H76" s="590">
        <v>1</v>
      </c>
      <c r="I76" s="590">
        <v>1</v>
      </c>
      <c r="J76" s="590">
        <v>25</v>
      </c>
      <c r="K76" s="590">
        <v>25</v>
      </c>
      <c r="L76" s="590">
        <v>25</v>
      </c>
      <c r="M76" s="590">
        <v>0</v>
      </c>
      <c r="N76" s="590">
        <v>0</v>
      </c>
      <c r="O76" s="590">
        <v>2</v>
      </c>
      <c r="P76" s="590">
        <v>2</v>
      </c>
      <c r="Q76" s="590">
        <v>1</v>
      </c>
      <c r="R76" s="590">
        <v>1</v>
      </c>
      <c r="S76" s="590">
        <v>1</v>
      </c>
      <c r="T76" s="590">
        <v>2</v>
      </c>
      <c r="U76" s="590">
        <v>5</v>
      </c>
      <c r="V76" s="556" t="s">
        <v>735</v>
      </c>
      <c r="W76" s="590" t="s">
        <v>2</v>
      </c>
      <c r="X76" s="618" t="s">
        <v>745</v>
      </c>
    </row>
    <row r="77" spans="1:24" ht="106.8" thickBot="1" x14ac:dyDescent="0.35">
      <c r="A77" s="555">
        <v>41793</v>
      </c>
      <c r="B77" s="590">
        <v>14</v>
      </c>
      <c r="C77" s="590">
        <v>16</v>
      </c>
      <c r="D77" s="590">
        <v>28</v>
      </c>
      <c r="E77" s="590">
        <v>41</v>
      </c>
      <c r="F77" s="590">
        <v>2</v>
      </c>
      <c r="G77" s="590">
        <v>2</v>
      </c>
      <c r="H77" s="590">
        <v>27</v>
      </c>
      <c r="I77" s="590">
        <v>0</v>
      </c>
      <c r="J77" s="590">
        <v>0</v>
      </c>
      <c r="K77" s="590">
        <v>0</v>
      </c>
      <c r="L77" s="590">
        <v>0</v>
      </c>
      <c r="M77" s="590">
        <v>0</v>
      </c>
      <c r="N77" s="590">
        <v>0</v>
      </c>
      <c r="O77" s="590">
        <v>2</v>
      </c>
      <c r="P77" s="590">
        <v>2</v>
      </c>
      <c r="Q77" s="590">
        <v>1</v>
      </c>
      <c r="R77" s="590">
        <v>2</v>
      </c>
      <c r="S77" s="590">
        <v>1</v>
      </c>
      <c r="T77" s="590">
        <v>2</v>
      </c>
      <c r="U77" s="590">
        <v>6</v>
      </c>
      <c r="V77" s="556" t="s">
        <v>735</v>
      </c>
      <c r="W77" s="590" t="s">
        <v>2</v>
      </c>
      <c r="X77" s="618" t="s">
        <v>746</v>
      </c>
    </row>
    <row r="78" spans="1:24" ht="120" thickBot="1" x14ac:dyDescent="0.35">
      <c r="A78" s="555">
        <v>41794</v>
      </c>
      <c r="B78" s="590">
        <v>14</v>
      </c>
      <c r="C78" s="590">
        <v>16</v>
      </c>
      <c r="D78" s="590">
        <v>30</v>
      </c>
      <c r="E78" s="590">
        <v>49</v>
      </c>
      <c r="F78" s="590">
        <v>3</v>
      </c>
      <c r="G78" s="590">
        <v>3</v>
      </c>
      <c r="H78" s="590">
        <v>25</v>
      </c>
      <c r="I78" s="590">
        <v>0</v>
      </c>
      <c r="J78" s="590">
        <v>0</v>
      </c>
      <c r="K78" s="590">
        <v>0</v>
      </c>
      <c r="L78" s="590">
        <v>0</v>
      </c>
      <c r="M78" s="590">
        <v>0</v>
      </c>
      <c r="N78" s="590">
        <v>0</v>
      </c>
      <c r="O78" s="590">
        <v>2</v>
      </c>
      <c r="P78" s="590">
        <v>2</v>
      </c>
      <c r="Q78" s="590">
        <v>1</v>
      </c>
      <c r="R78" s="590">
        <v>2</v>
      </c>
      <c r="S78" s="590">
        <v>1</v>
      </c>
      <c r="T78" s="590">
        <v>2</v>
      </c>
      <c r="U78" s="590">
        <v>7</v>
      </c>
      <c r="V78" s="556" t="s">
        <v>735</v>
      </c>
      <c r="W78" s="590" t="s">
        <v>2</v>
      </c>
      <c r="X78" s="618" t="s">
        <v>747</v>
      </c>
    </row>
    <row r="79" spans="1:24" ht="106.8" thickBot="1" x14ac:dyDescent="0.35">
      <c r="A79" s="555">
        <v>41795</v>
      </c>
      <c r="B79" s="590">
        <v>14</v>
      </c>
      <c r="C79" s="590">
        <v>16</v>
      </c>
      <c r="D79" s="590">
        <v>28</v>
      </c>
      <c r="E79" s="590">
        <v>41</v>
      </c>
      <c r="F79" s="590">
        <v>2</v>
      </c>
      <c r="G79" s="590">
        <v>2</v>
      </c>
      <c r="H79" s="590">
        <v>27</v>
      </c>
      <c r="I79" s="590">
        <v>0</v>
      </c>
      <c r="J79" s="590">
        <v>0</v>
      </c>
      <c r="K79" s="590">
        <v>0</v>
      </c>
      <c r="L79" s="590">
        <v>0</v>
      </c>
      <c r="M79" s="590">
        <v>0</v>
      </c>
      <c r="N79" s="590">
        <v>0</v>
      </c>
      <c r="O79" s="590">
        <v>2</v>
      </c>
      <c r="P79" s="590">
        <v>2</v>
      </c>
      <c r="Q79" s="590">
        <v>1</v>
      </c>
      <c r="R79" s="590">
        <v>2</v>
      </c>
      <c r="S79" s="590">
        <v>1</v>
      </c>
      <c r="T79" s="590">
        <v>2</v>
      </c>
      <c r="U79" s="590">
        <v>6</v>
      </c>
      <c r="V79" s="556" t="s">
        <v>735</v>
      </c>
      <c r="W79" s="566" t="s">
        <v>660</v>
      </c>
      <c r="X79" s="618" t="s">
        <v>748</v>
      </c>
    </row>
    <row r="80" spans="1:24" ht="93.6" thickBot="1" x14ac:dyDescent="0.35">
      <c r="A80" s="555">
        <v>41796</v>
      </c>
      <c r="B80" s="590">
        <v>14</v>
      </c>
      <c r="C80" s="590">
        <v>16</v>
      </c>
      <c r="D80" s="590">
        <v>46</v>
      </c>
      <c r="E80" s="590">
        <v>7</v>
      </c>
      <c r="F80" s="590">
        <v>5</v>
      </c>
      <c r="G80" s="590">
        <v>5</v>
      </c>
      <c r="H80" s="590">
        <v>25</v>
      </c>
      <c r="I80" s="590">
        <v>0</v>
      </c>
      <c r="J80" s="590">
        <v>0</v>
      </c>
      <c r="K80" s="590">
        <v>0</v>
      </c>
      <c r="L80" s="590">
        <v>0</v>
      </c>
      <c r="M80" s="590">
        <v>0</v>
      </c>
      <c r="N80" s="590">
        <v>0</v>
      </c>
      <c r="O80" s="590">
        <v>2</v>
      </c>
      <c r="P80" s="590">
        <v>2</v>
      </c>
      <c r="Q80" s="590">
        <v>1</v>
      </c>
      <c r="R80" s="590">
        <v>5</v>
      </c>
      <c r="S80" s="590">
        <v>1</v>
      </c>
      <c r="T80" s="590">
        <v>2</v>
      </c>
      <c r="U80" s="590">
        <v>6</v>
      </c>
      <c r="V80" s="556" t="s">
        <v>735</v>
      </c>
      <c r="W80" s="590" t="s">
        <v>2</v>
      </c>
      <c r="X80" s="618" t="s">
        <v>749</v>
      </c>
    </row>
    <row r="81" spans="1:24" ht="93.6" thickBot="1" x14ac:dyDescent="0.35">
      <c r="A81" s="555">
        <v>41799</v>
      </c>
      <c r="B81" s="590">
        <v>14</v>
      </c>
      <c r="C81" s="590">
        <v>16</v>
      </c>
      <c r="D81" s="590">
        <v>31</v>
      </c>
      <c r="E81" s="590">
        <v>12</v>
      </c>
      <c r="F81" s="590">
        <v>7</v>
      </c>
      <c r="G81" s="590">
        <v>6</v>
      </c>
      <c r="H81" s="590">
        <v>6</v>
      </c>
      <c r="I81" s="590">
        <v>2</v>
      </c>
      <c r="J81" s="590">
        <v>2</v>
      </c>
      <c r="K81" s="590">
        <v>0</v>
      </c>
      <c r="L81" s="590">
        <v>0</v>
      </c>
      <c r="M81" s="590">
        <v>0</v>
      </c>
      <c r="N81" s="590">
        <v>0</v>
      </c>
      <c r="O81" s="590">
        <v>3</v>
      </c>
      <c r="P81" s="590">
        <v>4</v>
      </c>
      <c r="Q81" s="590">
        <v>2</v>
      </c>
      <c r="R81" s="590">
        <v>6</v>
      </c>
      <c r="S81" s="590">
        <v>1</v>
      </c>
      <c r="T81" s="590">
        <v>2</v>
      </c>
      <c r="U81" s="590">
        <v>7</v>
      </c>
      <c r="V81" s="556" t="s">
        <v>735</v>
      </c>
      <c r="W81" s="590" t="s">
        <v>2</v>
      </c>
      <c r="X81" s="618" t="s">
        <v>750</v>
      </c>
    </row>
    <row r="82" spans="1:24" ht="93.6" thickBot="1" x14ac:dyDescent="0.35">
      <c r="A82" s="555">
        <v>41800</v>
      </c>
      <c r="B82" s="590">
        <v>14</v>
      </c>
      <c r="C82" s="590">
        <v>16</v>
      </c>
      <c r="D82" s="590">
        <v>34</v>
      </c>
      <c r="E82" s="590">
        <v>13</v>
      </c>
      <c r="F82" s="590">
        <v>8</v>
      </c>
      <c r="G82" s="590">
        <v>7</v>
      </c>
      <c r="H82" s="590">
        <v>7</v>
      </c>
      <c r="I82" s="590">
        <v>3</v>
      </c>
      <c r="J82" s="590">
        <v>3</v>
      </c>
      <c r="K82" s="590">
        <v>0</v>
      </c>
      <c r="L82" s="590">
        <v>0</v>
      </c>
      <c r="M82" s="590">
        <v>0</v>
      </c>
      <c r="N82" s="590">
        <v>0</v>
      </c>
      <c r="O82" s="590">
        <v>3</v>
      </c>
      <c r="P82" s="590">
        <v>4</v>
      </c>
      <c r="Q82" s="590">
        <v>2</v>
      </c>
      <c r="R82" s="590">
        <v>9</v>
      </c>
      <c r="S82" s="590">
        <v>1</v>
      </c>
      <c r="T82" s="590">
        <v>2</v>
      </c>
      <c r="U82" s="590">
        <v>5</v>
      </c>
      <c r="V82" s="556" t="s">
        <v>735</v>
      </c>
      <c r="W82" s="590" t="s">
        <v>2</v>
      </c>
      <c r="X82" s="618" t="s">
        <v>751</v>
      </c>
    </row>
    <row r="83" spans="1:24" ht="67.2" thickBot="1" x14ac:dyDescent="0.35">
      <c r="A83" s="555">
        <v>41801</v>
      </c>
      <c r="B83" s="590">
        <v>14</v>
      </c>
      <c r="C83" s="590">
        <v>16</v>
      </c>
      <c r="D83" s="590">
        <v>37</v>
      </c>
      <c r="E83" s="590">
        <v>14</v>
      </c>
      <c r="F83" s="590">
        <v>9</v>
      </c>
      <c r="G83" s="590">
        <v>8</v>
      </c>
      <c r="H83" s="590">
        <v>8</v>
      </c>
      <c r="I83" s="590">
        <v>8</v>
      </c>
      <c r="J83" s="590">
        <v>8</v>
      </c>
      <c r="K83" s="590">
        <v>4</v>
      </c>
      <c r="L83" s="590">
        <v>4</v>
      </c>
      <c r="M83" s="590">
        <v>4</v>
      </c>
      <c r="N83" s="590">
        <v>4</v>
      </c>
      <c r="O83" s="590">
        <v>3</v>
      </c>
      <c r="P83" s="590">
        <v>4</v>
      </c>
      <c r="Q83" s="590">
        <v>2</v>
      </c>
      <c r="R83" s="590">
        <v>10</v>
      </c>
      <c r="S83" s="590">
        <v>1</v>
      </c>
      <c r="T83" s="590">
        <v>2</v>
      </c>
      <c r="U83" s="590">
        <v>6</v>
      </c>
      <c r="V83" s="556" t="s">
        <v>735</v>
      </c>
      <c r="W83" s="566" t="s">
        <v>660</v>
      </c>
      <c r="X83" s="618" t="s">
        <v>752</v>
      </c>
    </row>
    <row r="84" spans="1:24" ht="120" thickBot="1" x14ac:dyDescent="0.35">
      <c r="A84" s="555">
        <v>41802</v>
      </c>
      <c r="B84" s="590">
        <v>14</v>
      </c>
      <c r="C84" s="590">
        <v>16</v>
      </c>
      <c r="D84" s="590">
        <v>10</v>
      </c>
      <c r="E84" s="590">
        <v>15</v>
      </c>
      <c r="F84" s="590">
        <v>10</v>
      </c>
      <c r="G84" s="590">
        <v>9</v>
      </c>
      <c r="H84" s="590">
        <v>9</v>
      </c>
      <c r="I84" s="590">
        <v>9</v>
      </c>
      <c r="J84" s="590">
        <v>25</v>
      </c>
      <c r="K84" s="590">
        <v>25</v>
      </c>
      <c r="L84" s="590">
        <v>25</v>
      </c>
      <c r="M84" s="590">
        <v>0</v>
      </c>
      <c r="N84" s="590">
        <v>0</v>
      </c>
      <c r="O84" s="590">
        <v>3</v>
      </c>
      <c r="P84" s="590">
        <v>4</v>
      </c>
      <c r="Q84" s="590">
        <v>2</v>
      </c>
      <c r="R84" s="590">
        <v>11</v>
      </c>
      <c r="S84" s="590">
        <v>1</v>
      </c>
      <c r="T84" s="590">
        <v>2</v>
      </c>
      <c r="U84" s="590">
        <v>7</v>
      </c>
      <c r="V84" s="556" t="s">
        <v>753</v>
      </c>
      <c r="W84" s="566" t="s">
        <v>660</v>
      </c>
      <c r="X84" s="618" t="s">
        <v>754</v>
      </c>
    </row>
    <row r="85" spans="1:24" x14ac:dyDescent="0.3">
      <c r="A85" s="558"/>
      <c r="B85" s="558"/>
      <c r="C85" s="558"/>
      <c r="D85" s="558"/>
      <c r="E85" s="558"/>
      <c r="F85" s="558"/>
      <c r="G85" s="558"/>
      <c r="H85" s="558"/>
      <c r="I85" s="558"/>
      <c r="J85" s="558"/>
      <c r="K85" s="558"/>
      <c r="L85" s="558"/>
      <c r="M85" s="558"/>
      <c r="N85" s="558"/>
      <c r="O85" s="558"/>
      <c r="P85" s="558"/>
      <c r="Q85" s="558"/>
      <c r="R85" s="558"/>
      <c r="S85" s="558"/>
      <c r="T85" s="558"/>
      <c r="U85" s="559"/>
      <c r="V85" s="560"/>
      <c r="W85" s="558"/>
      <c r="X85" s="561"/>
    </row>
    <row r="86" spans="1:24" x14ac:dyDescent="0.3">
      <c r="A86" s="558"/>
      <c r="B86" s="558"/>
      <c r="C86" s="558"/>
      <c r="D86" s="558"/>
      <c r="E86" s="558"/>
      <c r="F86" s="558"/>
      <c r="G86" s="558"/>
      <c r="H86" s="558"/>
      <c r="I86" s="558"/>
      <c r="J86" s="558"/>
      <c r="K86" s="558"/>
      <c r="L86" s="558"/>
      <c r="M86" s="558"/>
      <c r="N86" s="558"/>
      <c r="O86" s="558"/>
      <c r="P86" s="558"/>
      <c r="Q86" s="558"/>
      <c r="R86" s="558"/>
      <c r="S86" s="558"/>
      <c r="T86" s="558"/>
      <c r="U86" s="559"/>
      <c r="V86" s="560"/>
      <c r="W86" s="558"/>
      <c r="X86" s="561"/>
    </row>
    <row r="87" spans="1:24" x14ac:dyDescent="0.3">
      <c r="A87" s="558"/>
      <c r="B87" s="558"/>
      <c r="C87" s="558"/>
      <c r="D87" s="558"/>
      <c r="E87" s="558"/>
      <c r="F87" s="558"/>
      <c r="G87" s="558"/>
      <c r="H87" s="558"/>
      <c r="I87" s="558"/>
      <c r="J87" s="558"/>
      <c r="K87" s="558"/>
      <c r="L87" s="558"/>
      <c r="M87" s="558"/>
      <c r="N87" s="558"/>
      <c r="O87" s="558"/>
      <c r="P87" s="558"/>
      <c r="Q87" s="558"/>
      <c r="R87" s="558"/>
      <c r="S87" s="558"/>
      <c r="T87" s="558"/>
      <c r="U87" s="559"/>
      <c r="V87" s="560"/>
      <c r="W87" s="558"/>
      <c r="X87" s="561"/>
    </row>
    <row r="88" spans="1:24" x14ac:dyDescent="0.3">
      <c r="A88" s="558"/>
      <c r="B88" s="558"/>
      <c r="C88" s="558"/>
      <c r="D88" s="558"/>
      <c r="E88" s="558"/>
      <c r="F88" s="558"/>
      <c r="G88" s="558"/>
      <c r="H88" s="558"/>
      <c r="I88" s="558"/>
      <c r="J88" s="558"/>
      <c r="K88" s="558"/>
      <c r="L88" s="558"/>
      <c r="M88" s="558"/>
      <c r="N88" s="558"/>
      <c r="O88" s="558"/>
      <c r="P88" s="558"/>
      <c r="Q88" s="558"/>
      <c r="R88" s="558"/>
      <c r="S88" s="558"/>
      <c r="T88" s="558"/>
      <c r="U88" s="559"/>
      <c r="V88" s="560"/>
      <c r="W88" s="558"/>
      <c r="X88" s="561"/>
    </row>
    <row r="89" spans="1:24" x14ac:dyDescent="0.3">
      <c r="A89" s="558"/>
      <c r="B89" s="558"/>
      <c r="C89" s="558"/>
      <c r="D89" s="558"/>
      <c r="E89" s="558"/>
      <c r="F89" s="558"/>
      <c r="G89" s="558"/>
      <c r="H89" s="558"/>
      <c r="I89" s="558"/>
      <c r="J89" s="558"/>
      <c r="K89" s="558"/>
      <c r="L89" s="558"/>
      <c r="M89" s="558"/>
      <c r="N89" s="558"/>
      <c r="O89" s="558"/>
      <c r="P89" s="558"/>
      <c r="Q89" s="558"/>
      <c r="R89" s="558"/>
      <c r="S89" s="558"/>
      <c r="T89" s="558"/>
      <c r="U89" s="559"/>
      <c r="V89" s="560"/>
      <c r="W89" s="558"/>
      <c r="X89" s="561"/>
    </row>
    <row r="90" spans="1:24" x14ac:dyDescent="0.3">
      <c r="A90" s="558"/>
      <c r="B90" s="558"/>
      <c r="C90" s="558"/>
      <c r="D90" s="558"/>
      <c r="E90" s="558"/>
      <c r="F90" s="558"/>
      <c r="G90" s="558"/>
      <c r="H90" s="558"/>
      <c r="I90" s="558"/>
      <c r="J90" s="558"/>
      <c r="K90" s="558"/>
      <c r="L90" s="558"/>
      <c r="M90" s="558"/>
      <c r="N90" s="558"/>
      <c r="O90" s="558"/>
      <c r="P90" s="558"/>
      <c r="Q90" s="558"/>
      <c r="R90" s="558"/>
      <c r="S90" s="558"/>
      <c r="T90" s="558"/>
      <c r="U90" s="559"/>
      <c r="V90" s="560"/>
      <c r="W90" s="558"/>
      <c r="X90" s="561"/>
    </row>
    <row r="91" spans="1:24" x14ac:dyDescent="0.3">
      <c r="A91" s="558"/>
      <c r="B91" s="558"/>
      <c r="C91" s="558"/>
      <c r="D91" s="558"/>
      <c r="E91" s="558"/>
      <c r="F91" s="558"/>
      <c r="G91" s="558"/>
      <c r="H91" s="558"/>
      <c r="I91" s="558"/>
      <c r="J91" s="558"/>
      <c r="K91" s="558"/>
      <c r="L91" s="558"/>
      <c r="M91" s="558"/>
      <c r="N91" s="558"/>
      <c r="O91" s="558"/>
      <c r="P91" s="558"/>
      <c r="Q91" s="558"/>
      <c r="R91" s="558"/>
      <c r="S91" s="558"/>
      <c r="T91" s="558"/>
      <c r="U91" s="559"/>
      <c r="V91" s="560"/>
      <c r="W91" s="558"/>
      <c r="X91" s="561"/>
    </row>
    <row r="92" spans="1:24" x14ac:dyDescent="0.3">
      <c r="A92" s="558"/>
      <c r="B92" s="558"/>
      <c r="C92" s="558"/>
      <c r="D92" s="558"/>
      <c r="E92" s="558"/>
      <c r="F92" s="558"/>
      <c r="G92" s="558"/>
      <c r="H92" s="558"/>
      <c r="I92" s="558"/>
      <c r="J92" s="558"/>
      <c r="K92" s="558"/>
      <c r="L92" s="558"/>
      <c r="M92" s="558"/>
      <c r="N92" s="558"/>
      <c r="O92" s="558"/>
      <c r="P92" s="558"/>
      <c r="Q92" s="558"/>
      <c r="R92" s="558"/>
      <c r="S92" s="558"/>
      <c r="T92" s="558"/>
      <c r="U92" s="559"/>
      <c r="V92" s="560"/>
      <c r="W92" s="558"/>
      <c r="X92" s="561"/>
    </row>
    <row r="93" spans="1:24" x14ac:dyDescent="0.3">
      <c r="A93" s="558"/>
      <c r="B93" s="558"/>
      <c r="C93" s="558"/>
      <c r="D93" s="558"/>
      <c r="E93" s="558"/>
      <c r="F93" s="558"/>
      <c r="G93" s="558"/>
      <c r="H93" s="558"/>
      <c r="I93" s="558"/>
      <c r="J93" s="558"/>
      <c r="K93" s="558"/>
      <c r="L93" s="558"/>
      <c r="M93" s="558"/>
      <c r="N93" s="558"/>
      <c r="O93" s="558"/>
      <c r="P93" s="558"/>
      <c r="Q93" s="558"/>
      <c r="R93" s="558"/>
      <c r="S93" s="558"/>
      <c r="T93" s="558"/>
      <c r="U93" s="559"/>
      <c r="V93" s="560"/>
      <c r="W93" s="558"/>
      <c r="X93" s="561"/>
    </row>
    <row r="94" spans="1:24" x14ac:dyDescent="0.3">
      <c r="A94" s="558"/>
      <c r="B94" s="558"/>
      <c r="C94" s="558"/>
      <c r="D94" s="558"/>
      <c r="E94" s="558"/>
      <c r="F94" s="558"/>
      <c r="G94" s="558"/>
      <c r="H94" s="558"/>
      <c r="I94" s="558"/>
      <c r="J94" s="558"/>
      <c r="K94" s="558"/>
      <c r="L94" s="558"/>
      <c r="M94" s="558"/>
      <c r="N94" s="558"/>
      <c r="O94" s="558"/>
      <c r="P94" s="558"/>
      <c r="Q94" s="558"/>
      <c r="R94" s="558"/>
      <c r="S94" s="558"/>
      <c r="T94" s="558"/>
      <c r="U94" s="559"/>
      <c r="V94" s="560"/>
      <c r="W94" s="558"/>
      <c r="X94" s="561"/>
    </row>
    <row r="95" spans="1:24" x14ac:dyDescent="0.3">
      <c r="A95" s="558"/>
      <c r="B95" s="558"/>
      <c r="C95" s="558"/>
      <c r="D95" s="558"/>
      <c r="E95" s="558"/>
      <c r="F95" s="558"/>
      <c r="G95" s="558"/>
      <c r="H95" s="558"/>
      <c r="I95" s="558"/>
      <c r="J95" s="558"/>
      <c r="K95" s="558"/>
      <c r="L95" s="558"/>
      <c r="M95" s="558"/>
      <c r="N95" s="558"/>
      <c r="O95" s="558"/>
      <c r="P95" s="558"/>
      <c r="Q95" s="558"/>
      <c r="R95" s="558"/>
      <c r="S95" s="558"/>
      <c r="T95" s="558"/>
      <c r="U95" s="559"/>
      <c r="V95" s="560"/>
      <c r="W95" s="558"/>
      <c r="X95" s="561"/>
    </row>
    <row r="96" spans="1:24" x14ac:dyDescent="0.3">
      <c r="A96" s="558"/>
      <c r="B96" s="558"/>
      <c r="C96" s="558"/>
      <c r="D96" s="558"/>
      <c r="E96" s="558"/>
      <c r="F96" s="558"/>
      <c r="G96" s="558"/>
      <c r="H96" s="558"/>
      <c r="I96" s="558"/>
      <c r="J96" s="558"/>
      <c r="K96" s="558"/>
      <c r="L96" s="558"/>
      <c r="M96" s="558"/>
      <c r="N96" s="558"/>
      <c r="O96" s="558"/>
      <c r="P96" s="558"/>
      <c r="Q96" s="558"/>
      <c r="R96" s="558"/>
      <c r="S96" s="558"/>
      <c r="T96" s="558"/>
      <c r="U96" s="559"/>
      <c r="V96" s="560"/>
      <c r="W96" s="558"/>
      <c r="X96" s="561"/>
    </row>
    <row r="97" spans="1:24" x14ac:dyDescent="0.3">
      <c r="A97" s="558"/>
      <c r="B97" s="558"/>
      <c r="C97" s="558"/>
      <c r="D97" s="558"/>
      <c r="E97" s="558"/>
      <c r="F97" s="558"/>
      <c r="G97" s="558"/>
      <c r="H97" s="558"/>
      <c r="I97" s="558"/>
      <c r="J97" s="558"/>
      <c r="K97" s="558"/>
      <c r="L97" s="558"/>
      <c r="M97" s="558"/>
      <c r="N97" s="558"/>
      <c r="O97" s="558"/>
      <c r="P97" s="558"/>
      <c r="Q97" s="558"/>
      <c r="R97" s="558"/>
      <c r="S97" s="558"/>
      <c r="T97" s="558"/>
      <c r="U97" s="559"/>
      <c r="V97" s="560"/>
      <c r="W97" s="558"/>
      <c r="X97" s="561"/>
    </row>
    <row r="98" spans="1:24" x14ac:dyDescent="0.3">
      <c r="A98" s="558"/>
      <c r="B98" s="558"/>
      <c r="C98" s="558"/>
      <c r="D98" s="558"/>
      <c r="E98" s="558"/>
      <c r="F98" s="558"/>
      <c r="G98" s="558"/>
      <c r="H98" s="558"/>
      <c r="I98" s="558"/>
      <c r="J98" s="558"/>
      <c r="K98" s="558"/>
      <c r="L98" s="558"/>
      <c r="M98" s="558"/>
      <c r="N98" s="558"/>
      <c r="O98" s="558"/>
      <c r="P98" s="558"/>
      <c r="Q98" s="558"/>
      <c r="R98" s="558"/>
      <c r="S98" s="558"/>
      <c r="T98" s="558"/>
      <c r="U98" s="559"/>
      <c r="V98" s="560"/>
      <c r="W98" s="558"/>
      <c r="X98" s="561"/>
    </row>
    <row r="99" spans="1:24" x14ac:dyDescent="0.3">
      <c r="A99" s="558"/>
      <c r="B99" s="558"/>
      <c r="C99" s="558"/>
      <c r="D99" s="558"/>
      <c r="E99" s="558"/>
      <c r="F99" s="558"/>
      <c r="G99" s="558"/>
      <c r="H99" s="558"/>
      <c r="I99" s="558"/>
      <c r="J99" s="558"/>
      <c r="K99" s="558"/>
      <c r="L99" s="558"/>
      <c r="M99" s="558"/>
      <c r="N99" s="558"/>
      <c r="O99" s="558"/>
      <c r="P99" s="558"/>
      <c r="Q99" s="558"/>
      <c r="R99" s="558"/>
      <c r="S99" s="558"/>
      <c r="T99" s="558"/>
      <c r="U99" s="559"/>
      <c r="V99" s="560"/>
      <c r="W99" s="558"/>
      <c r="X99" s="561"/>
    </row>
    <row r="100" spans="1:24" x14ac:dyDescent="0.3">
      <c r="A100" s="558"/>
      <c r="B100" s="558"/>
      <c r="C100" s="558"/>
      <c r="D100" s="558"/>
      <c r="E100" s="558"/>
      <c r="F100" s="558"/>
      <c r="G100" s="558"/>
      <c r="H100" s="558"/>
      <c r="I100" s="558"/>
      <c r="J100" s="558"/>
      <c r="K100" s="558"/>
      <c r="L100" s="558"/>
      <c r="M100" s="558"/>
      <c r="N100" s="558"/>
      <c r="O100" s="558"/>
      <c r="P100" s="558"/>
      <c r="Q100" s="558"/>
      <c r="R100" s="558"/>
      <c r="S100" s="558"/>
      <c r="T100" s="558"/>
      <c r="U100" s="559"/>
      <c r="V100" s="560"/>
      <c r="W100" s="558"/>
      <c r="X100" s="561"/>
    </row>
    <row r="101" spans="1:24" x14ac:dyDescent="0.3">
      <c r="A101" s="558"/>
      <c r="B101" s="558"/>
      <c r="C101" s="558"/>
      <c r="D101" s="558"/>
      <c r="E101" s="558"/>
      <c r="F101" s="558"/>
      <c r="G101" s="558"/>
      <c r="H101" s="558"/>
      <c r="I101" s="558"/>
      <c r="J101" s="558"/>
      <c r="K101" s="558"/>
      <c r="L101" s="558"/>
      <c r="M101" s="558"/>
      <c r="N101" s="558"/>
      <c r="O101" s="558"/>
      <c r="P101" s="558"/>
      <c r="Q101" s="558"/>
      <c r="R101" s="558"/>
      <c r="S101" s="558"/>
      <c r="T101" s="558"/>
      <c r="U101" s="559"/>
      <c r="V101" s="560"/>
      <c r="W101" s="558"/>
      <c r="X101" s="561"/>
    </row>
    <row r="102" spans="1:24" x14ac:dyDescent="0.3">
      <c r="A102" s="558"/>
      <c r="B102" s="558"/>
      <c r="C102" s="558"/>
      <c r="D102" s="558"/>
      <c r="E102" s="558"/>
      <c r="F102" s="558"/>
      <c r="G102" s="558"/>
      <c r="H102" s="558"/>
      <c r="I102" s="558"/>
      <c r="J102" s="558"/>
      <c r="K102" s="558"/>
      <c r="L102" s="558"/>
      <c r="M102" s="558"/>
      <c r="N102" s="558"/>
      <c r="O102" s="558"/>
      <c r="P102" s="558"/>
      <c r="Q102" s="558"/>
      <c r="R102" s="558"/>
      <c r="S102" s="558"/>
      <c r="T102" s="558"/>
      <c r="U102" s="559"/>
      <c r="V102" s="560"/>
      <c r="W102" s="558"/>
      <c r="X102" s="561"/>
    </row>
    <row r="103" spans="1:24" x14ac:dyDescent="0.3">
      <c r="A103" s="558"/>
      <c r="B103" s="558"/>
      <c r="C103" s="558"/>
      <c r="D103" s="558"/>
      <c r="E103" s="558"/>
      <c r="F103" s="558"/>
      <c r="G103" s="558"/>
      <c r="H103" s="558"/>
      <c r="I103" s="558"/>
      <c r="J103" s="558"/>
      <c r="K103" s="558"/>
      <c r="L103" s="558"/>
      <c r="M103" s="558"/>
      <c r="N103" s="558"/>
      <c r="O103" s="558"/>
      <c r="P103" s="558"/>
      <c r="Q103" s="558"/>
      <c r="R103" s="558"/>
      <c r="S103" s="558"/>
      <c r="T103" s="558"/>
      <c r="U103" s="559"/>
      <c r="V103" s="560"/>
      <c r="W103" s="558"/>
      <c r="X103" s="561"/>
    </row>
    <row r="104" spans="1:24" x14ac:dyDescent="0.3">
      <c r="A104" s="558"/>
      <c r="B104" s="558"/>
      <c r="C104" s="558"/>
      <c r="D104" s="558"/>
      <c r="E104" s="558"/>
      <c r="F104" s="558"/>
      <c r="G104" s="558"/>
      <c r="H104" s="558"/>
      <c r="I104" s="558"/>
      <c r="J104" s="558"/>
      <c r="K104" s="558"/>
      <c r="L104" s="558"/>
      <c r="M104" s="558"/>
      <c r="N104" s="558"/>
      <c r="O104" s="558"/>
      <c r="P104" s="558"/>
      <c r="Q104" s="558"/>
      <c r="R104" s="558"/>
      <c r="S104" s="558"/>
      <c r="T104" s="558"/>
      <c r="U104" s="559"/>
      <c r="V104" s="560"/>
      <c r="W104" s="558"/>
      <c r="X104" s="561"/>
    </row>
    <row r="105" spans="1:24" x14ac:dyDescent="0.3">
      <c r="A105" s="558"/>
      <c r="B105" s="558"/>
      <c r="C105" s="558"/>
      <c r="D105" s="558"/>
      <c r="E105" s="558"/>
      <c r="F105" s="558"/>
      <c r="G105" s="558"/>
      <c r="H105" s="558"/>
      <c r="I105" s="558"/>
      <c r="J105" s="558"/>
      <c r="K105" s="558"/>
      <c r="L105" s="558"/>
      <c r="M105" s="558"/>
      <c r="N105" s="558"/>
      <c r="O105" s="558"/>
      <c r="P105" s="558"/>
      <c r="Q105" s="558"/>
      <c r="R105" s="558"/>
      <c r="S105" s="558"/>
      <c r="T105" s="558"/>
      <c r="U105" s="559"/>
      <c r="V105" s="560"/>
      <c r="W105" s="558"/>
      <c r="X105" s="561"/>
    </row>
    <row r="106" spans="1:24" x14ac:dyDescent="0.3">
      <c r="A106" s="558"/>
      <c r="B106" s="558"/>
      <c r="C106" s="558"/>
      <c r="D106" s="558"/>
      <c r="E106" s="558"/>
      <c r="F106" s="558"/>
      <c r="G106" s="558"/>
      <c r="H106" s="558"/>
      <c r="I106" s="558"/>
      <c r="J106" s="558"/>
      <c r="K106" s="558"/>
      <c r="L106" s="558"/>
      <c r="M106" s="558"/>
      <c r="N106" s="558"/>
      <c r="O106" s="558"/>
      <c r="P106" s="558"/>
      <c r="Q106" s="558"/>
      <c r="R106" s="558"/>
      <c r="S106" s="558"/>
      <c r="T106" s="558"/>
      <c r="U106" s="559"/>
      <c r="V106" s="560"/>
      <c r="W106" s="558"/>
      <c r="X106" s="561"/>
    </row>
    <row r="107" spans="1:24" x14ac:dyDescent="0.3">
      <c r="A107" s="558"/>
      <c r="B107" s="558"/>
      <c r="C107" s="558"/>
      <c r="D107" s="558"/>
      <c r="E107" s="558"/>
      <c r="F107" s="558"/>
      <c r="G107" s="558"/>
      <c r="H107" s="558"/>
      <c r="I107" s="558"/>
      <c r="J107" s="558"/>
      <c r="K107" s="558"/>
      <c r="L107" s="558"/>
      <c r="M107" s="558"/>
      <c r="N107" s="558"/>
      <c r="O107" s="558"/>
      <c r="P107" s="558"/>
      <c r="Q107" s="558"/>
      <c r="R107" s="558"/>
      <c r="S107" s="558"/>
      <c r="T107" s="558"/>
      <c r="U107" s="559"/>
      <c r="V107" s="560"/>
      <c r="W107" s="558"/>
      <c r="X107" s="561"/>
    </row>
    <row r="108" spans="1:24" x14ac:dyDescent="0.3">
      <c r="A108" s="558"/>
      <c r="B108" s="558"/>
      <c r="C108" s="558"/>
      <c r="D108" s="558"/>
      <c r="E108" s="558"/>
      <c r="F108" s="558"/>
      <c r="G108" s="558"/>
      <c r="H108" s="558"/>
      <c r="I108" s="558"/>
      <c r="J108" s="558"/>
      <c r="K108" s="558"/>
      <c r="L108" s="558"/>
      <c r="M108" s="558"/>
      <c r="N108" s="558"/>
      <c r="O108" s="558"/>
      <c r="P108" s="558"/>
      <c r="Q108" s="558"/>
      <c r="R108" s="558"/>
      <c r="S108" s="558"/>
      <c r="T108" s="558"/>
      <c r="U108" s="559"/>
      <c r="V108" s="560"/>
      <c r="W108" s="558"/>
      <c r="X108" s="561"/>
    </row>
    <row r="109" spans="1:24" ht="132.6" x14ac:dyDescent="0.3">
      <c r="A109" s="619">
        <v>41788</v>
      </c>
      <c r="B109" s="558">
        <v>13</v>
      </c>
      <c r="C109" s="558">
        <v>1</v>
      </c>
      <c r="D109" s="558">
        <v>34</v>
      </c>
      <c r="E109" s="558">
        <v>46</v>
      </c>
      <c r="F109" s="558">
        <v>6</v>
      </c>
      <c r="G109" s="558">
        <v>3</v>
      </c>
      <c r="H109" s="558">
        <v>3</v>
      </c>
      <c r="I109" s="558">
        <v>26</v>
      </c>
      <c r="J109" s="558">
        <v>26</v>
      </c>
      <c r="K109" s="558">
        <v>0</v>
      </c>
      <c r="L109" s="558">
        <v>0</v>
      </c>
      <c r="M109" s="558">
        <v>0</v>
      </c>
      <c r="N109" s="558">
        <v>0</v>
      </c>
      <c r="O109" s="558">
        <v>3</v>
      </c>
      <c r="P109" s="558">
        <v>0</v>
      </c>
      <c r="Q109" s="558">
        <v>4</v>
      </c>
      <c r="R109" s="558">
        <v>11</v>
      </c>
      <c r="S109" s="558">
        <v>2</v>
      </c>
      <c r="T109" s="558">
        <v>1</v>
      </c>
      <c r="U109" s="559" t="s">
        <v>739</v>
      </c>
      <c r="V109" s="560" t="s">
        <v>735</v>
      </c>
      <c r="W109" s="558" t="s">
        <v>660</v>
      </c>
      <c r="X109" s="618" t="s">
        <v>740</v>
      </c>
    </row>
    <row r="110" spans="1:24" ht="106.2" x14ac:dyDescent="0.3">
      <c r="A110" s="619">
        <v>41789</v>
      </c>
      <c r="B110" s="558">
        <v>14</v>
      </c>
      <c r="C110" s="558">
        <v>16</v>
      </c>
      <c r="D110" s="558">
        <v>8</v>
      </c>
      <c r="E110" s="558">
        <v>44</v>
      </c>
      <c r="F110" s="558">
        <v>11</v>
      </c>
      <c r="G110" s="558">
        <v>23</v>
      </c>
      <c r="H110" s="558">
        <v>23</v>
      </c>
      <c r="I110" s="558">
        <v>26</v>
      </c>
      <c r="J110" s="558">
        <v>26</v>
      </c>
      <c r="K110" s="558">
        <v>0</v>
      </c>
      <c r="L110" s="558">
        <v>0</v>
      </c>
      <c r="M110" s="558">
        <v>0</v>
      </c>
      <c r="N110" s="558">
        <v>0</v>
      </c>
      <c r="O110" s="558">
        <v>2</v>
      </c>
      <c r="P110" s="558">
        <v>0</v>
      </c>
      <c r="Q110" s="558">
        <v>3</v>
      </c>
      <c r="R110" s="558">
        <v>10</v>
      </c>
      <c r="S110" s="558">
        <v>2</v>
      </c>
      <c r="T110" s="558">
        <v>2</v>
      </c>
      <c r="U110" s="559" t="s">
        <v>741</v>
      </c>
      <c r="V110" s="560" t="s">
        <v>735</v>
      </c>
      <c r="W110" s="558" t="s">
        <v>2</v>
      </c>
      <c r="X110" s="618" t="s">
        <v>742</v>
      </c>
    </row>
    <row r="111" spans="1:24" ht="119.4" x14ac:dyDescent="0.3">
      <c r="A111" s="619">
        <v>41792</v>
      </c>
      <c r="B111" s="558">
        <v>14</v>
      </c>
      <c r="C111" s="558">
        <v>16</v>
      </c>
      <c r="D111" s="558">
        <v>28</v>
      </c>
      <c r="E111" s="558">
        <v>39</v>
      </c>
      <c r="F111" s="558">
        <v>1</v>
      </c>
      <c r="G111" s="558">
        <v>1</v>
      </c>
      <c r="H111" s="558">
        <v>1</v>
      </c>
      <c r="I111" s="558">
        <v>25</v>
      </c>
      <c r="J111" s="558">
        <v>25</v>
      </c>
      <c r="K111" s="558">
        <v>25</v>
      </c>
      <c r="L111" s="558">
        <v>0</v>
      </c>
      <c r="M111" s="558">
        <v>0</v>
      </c>
      <c r="N111" s="558">
        <v>0</v>
      </c>
      <c r="O111" s="558">
        <v>2</v>
      </c>
      <c r="P111" s="558">
        <v>2</v>
      </c>
      <c r="Q111" s="558">
        <v>1</v>
      </c>
      <c r="R111" s="558">
        <v>1</v>
      </c>
      <c r="S111" s="558">
        <v>1</v>
      </c>
      <c r="T111" s="558">
        <v>2</v>
      </c>
      <c r="U111" s="559" t="s">
        <v>739</v>
      </c>
      <c r="V111" s="560" t="s">
        <v>735</v>
      </c>
      <c r="W111" s="558" t="s">
        <v>2</v>
      </c>
      <c r="X111" s="618" t="s">
        <v>743</v>
      </c>
    </row>
    <row r="112" spans="1:24" x14ac:dyDescent="0.3">
      <c r="A112" s="619">
        <v>41793</v>
      </c>
      <c r="B112" s="558">
        <v>14</v>
      </c>
      <c r="C112" s="558">
        <v>16</v>
      </c>
      <c r="D112" s="558">
        <v>28</v>
      </c>
      <c r="E112" s="558">
        <v>41</v>
      </c>
      <c r="F112" s="558">
        <v>2</v>
      </c>
      <c r="G112" s="558">
        <v>2</v>
      </c>
      <c r="H112" s="558">
        <v>2</v>
      </c>
      <c r="I112" s="558">
        <v>27</v>
      </c>
      <c r="J112" s="558">
        <v>27</v>
      </c>
      <c r="K112" s="558">
        <v>0</v>
      </c>
      <c r="L112" s="558">
        <v>0</v>
      </c>
      <c r="M112" s="558">
        <v>0</v>
      </c>
      <c r="N112" s="558">
        <v>0</v>
      </c>
      <c r="O112" s="558">
        <v>2</v>
      </c>
      <c r="P112" s="558">
        <v>2</v>
      </c>
      <c r="Q112" s="558">
        <v>1</v>
      </c>
      <c r="R112" s="558">
        <v>2</v>
      </c>
      <c r="S112" s="558">
        <v>1</v>
      </c>
      <c r="T112" s="558">
        <v>2</v>
      </c>
      <c r="U112" s="559" t="s">
        <v>741</v>
      </c>
      <c r="V112" s="560" t="s">
        <v>735</v>
      </c>
      <c r="W112" s="558"/>
      <c r="X112" s="561"/>
    </row>
    <row r="113" spans="1:24" x14ac:dyDescent="0.3">
      <c r="A113" s="558"/>
      <c r="B113" s="558"/>
      <c r="C113" s="558"/>
      <c r="D113" s="558"/>
      <c r="E113" s="558"/>
      <c r="F113" s="558"/>
      <c r="G113" s="558"/>
      <c r="H113" s="558"/>
      <c r="I113" s="558"/>
      <c r="J113" s="558"/>
      <c r="K113" s="558"/>
      <c r="L113" s="558"/>
      <c r="M113" s="558"/>
      <c r="N113" s="558"/>
      <c r="O113" s="558"/>
      <c r="P113" s="558"/>
      <c r="Q113" s="558"/>
      <c r="R113" s="558"/>
      <c r="S113" s="558"/>
      <c r="T113" s="558"/>
      <c r="U113" s="559"/>
      <c r="V113" s="560"/>
      <c r="W113" s="558"/>
      <c r="X113" s="561"/>
    </row>
    <row r="114" spans="1:24" x14ac:dyDescent="0.3">
      <c r="A114" s="558"/>
      <c r="B114" s="558"/>
      <c r="C114" s="558"/>
      <c r="D114" s="558"/>
      <c r="E114" s="558"/>
      <c r="F114" s="558"/>
      <c r="G114" s="558"/>
      <c r="H114" s="558"/>
      <c r="I114" s="558"/>
      <c r="J114" s="558"/>
      <c r="K114" s="558"/>
      <c r="L114" s="558"/>
      <c r="M114" s="558"/>
      <c r="N114" s="558"/>
      <c r="O114" s="558"/>
      <c r="P114" s="558"/>
      <c r="Q114" s="558"/>
      <c r="R114" s="558"/>
      <c r="S114" s="558"/>
      <c r="T114" s="558"/>
      <c r="U114" s="559"/>
      <c r="V114" s="560"/>
      <c r="W114" s="558"/>
      <c r="X114" s="561"/>
    </row>
    <row r="115" spans="1:24" x14ac:dyDescent="0.3">
      <c r="A115" s="558"/>
      <c r="B115" s="558"/>
      <c r="C115" s="558"/>
      <c r="D115" s="558"/>
      <c r="E115" s="558"/>
      <c r="F115" s="558"/>
      <c r="G115" s="558"/>
      <c r="H115" s="558"/>
      <c r="I115" s="558"/>
      <c r="J115" s="558"/>
      <c r="K115" s="558"/>
      <c r="L115" s="558"/>
      <c r="M115" s="558"/>
      <c r="N115" s="558"/>
      <c r="O115" s="558"/>
      <c r="P115" s="558"/>
      <c r="Q115" s="558"/>
      <c r="R115" s="558"/>
      <c r="S115" s="558"/>
      <c r="T115" s="558"/>
      <c r="U115" s="559"/>
      <c r="V115" s="560"/>
      <c r="W115" s="558"/>
      <c r="X115" s="561"/>
    </row>
    <row r="116" spans="1:24" x14ac:dyDescent="0.3">
      <c r="A116" s="558"/>
      <c r="B116" s="558"/>
      <c r="C116" s="558"/>
      <c r="D116" s="558"/>
      <c r="E116" s="558"/>
      <c r="F116" s="558"/>
      <c r="G116" s="558"/>
      <c r="H116" s="558"/>
      <c r="I116" s="558"/>
      <c r="J116" s="558"/>
      <c r="K116" s="558"/>
      <c r="L116" s="558"/>
      <c r="M116" s="558"/>
      <c r="N116" s="558"/>
      <c r="O116" s="558"/>
      <c r="P116" s="558"/>
      <c r="Q116" s="558"/>
      <c r="R116" s="558"/>
      <c r="S116" s="558"/>
      <c r="T116" s="558"/>
      <c r="U116" s="559"/>
      <c r="V116" s="560"/>
      <c r="W116" s="558"/>
      <c r="X116" s="561"/>
    </row>
    <row r="117" spans="1:24" x14ac:dyDescent="0.3">
      <c r="A117" s="558"/>
      <c r="B117" s="558"/>
      <c r="C117" s="558"/>
      <c r="D117" s="558"/>
      <c r="E117" s="558"/>
      <c r="F117" s="558"/>
      <c r="G117" s="558"/>
      <c r="H117" s="558"/>
      <c r="I117" s="558"/>
      <c r="J117" s="558"/>
      <c r="K117" s="558"/>
      <c r="L117" s="558"/>
      <c r="M117" s="558"/>
      <c r="N117" s="558"/>
      <c r="O117" s="558"/>
      <c r="P117" s="558"/>
      <c r="Q117" s="558"/>
      <c r="R117" s="558"/>
      <c r="S117" s="558"/>
      <c r="T117" s="558"/>
      <c r="U117" s="559"/>
      <c r="V117" s="560"/>
      <c r="W117" s="558"/>
      <c r="X117" s="561"/>
    </row>
    <row r="118" spans="1:24" x14ac:dyDescent="0.3">
      <c r="A118" s="558"/>
      <c r="B118" s="558"/>
      <c r="C118" s="558"/>
      <c r="D118" s="558"/>
      <c r="E118" s="558"/>
      <c r="F118" s="558"/>
      <c r="G118" s="558"/>
      <c r="H118" s="558"/>
      <c r="I118" s="558"/>
      <c r="J118" s="558"/>
      <c r="K118" s="558"/>
      <c r="L118" s="558"/>
      <c r="M118" s="558"/>
      <c r="N118" s="558"/>
      <c r="O118" s="558"/>
      <c r="P118" s="558"/>
      <c r="Q118" s="558"/>
      <c r="R118" s="558"/>
      <c r="S118" s="558"/>
      <c r="T118" s="558"/>
      <c r="U118" s="559"/>
      <c r="V118" s="560"/>
      <c r="W118" s="558"/>
      <c r="X118" s="561"/>
    </row>
    <row r="119" spans="1:24" x14ac:dyDescent="0.3">
      <c r="A119" s="558"/>
      <c r="B119" s="558"/>
      <c r="C119" s="558"/>
      <c r="D119" s="558"/>
      <c r="E119" s="558"/>
      <c r="F119" s="558"/>
      <c r="G119" s="558"/>
      <c r="H119" s="558"/>
      <c r="I119" s="558"/>
      <c r="J119" s="558"/>
      <c r="K119" s="558"/>
      <c r="L119" s="558"/>
      <c r="M119" s="558"/>
      <c r="N119" s="558"/>
      <c r="O119" s="558"/>
      <c r="P119" s="558"/>
      <c r="Q119" s="558"/>
      <c r="R119" s="558"/>
      <c r="S119" s="558"/>
      <c r="T119" s="558"/>
      <c r="U119" s="559"/>
      <c r="V119" s="560"/>
      <c r="W119" s="558"/>
      <c r="X119" s="561"/>
    </row>
    <row r="120" spans="1:24" x14ac:dyDescent="0.3">
      <c r="A120" s="558"/>
      <c r="B120" s="558"/>
      <c r="C120" s="558"/>
      <c r="D120" s="558"/>
      <c r="E120" s="558"/>
      <c r="F120" s="558"/>
      <c r="G120" s="558"/>
      <c r="H120" s="558"/>
      <c r="I120" s="558"/>
      <c r="J120" s="558"/>
      <c r="K120" s="558"/>
      <c r="L120" s="558"/>
      <c r="M120" s="558"/>
      <c r="N120" s="558"/>
      <c r="O120" s="558"/>
      <c r="P120" s="558"/>
      <c r="Q120" s="558"/>
      <c r="R120" s="558"/>
      <c r="S120" s="558"/>
      <c r="T120" s="558"/>
      <c r="U120" s="559"/>
      <c r="V120" s="560"/>
      <c r="W120" s="558"/>
      <c r="X120" s="561"/>
    </row>
    <row r="121" spans="1:24" x14ac:dyDescent="0.3">
      <c r="A121" s="558"/>
      <c r="B121" s="558"/>
      <c r="C121" s="558"/>
      <c r="D121" s="558"/>
      <c r="E121" s="558"/>
      <c r="F121" s="558"/>
      <c r="G121" s="558"/>
      <c r="H121" s="558"/>
      <c r="I121" s="558"/>
      <c r="J121" s="558"/>
      <c r="K121" s="558"/>
      <c r="L121" s="558"/>
      <c r="M121" s="558"/>
      <c r="N121" s="558"/>
      <c r="O121" s="558"/>
      <c r="P121" s="558"/>
      <c r="Q121" s="558"/>
      <c r="R121" s="558"/>
      <c r="S121" s="558"/>
      <c r="T121" s="558"/>
      <c r="U121" s="559"/>
      <c r="V121" s="560"/>
      <c r="W121" s="558"/>
      <c r="X121" s="561"/>
    </row>
    <row r="122" spans="1:24" x14ac:dyDescent="0.3">
      <c r="A122" s="558"/>
      <c r="B122" s="558"/>
      <c r="C122" s="558"/>
      <c r="D122" s="558"/>
      <c r="E122" s="558"/>
      <c r="F122" s="558"/>
      <c r="G122" s="558"/>
      <c r="H122" s="558"/>
      <c r="I122" s="558"/>
      <c r="J122" s="558"/>
      <c r="K122" s="558"/>
      <c r="L122" s="558"/>
      <c r="M122" s="558"/>
      <c r="N122" s="558"/>
      <c r="O122" s="558"/>
      <c r="P122" s="558"/>
      <c r="Q122" s="558"/>
      <c r="R122" s="558"/>
      <c r="S122" s="558"/>
      <c r="T122" s="558"/>
      <c r="U122" s="559"/>
      <c r="V122" s="560"/>
      <c r="W122" s="558"/>
      <c r="X122" s="561"/>
    </row>
    <row r="123" spans="1:24" x14ac:dyDescent="0.3">
      <c r="A123" s="558"/>
      <c r="B123" s="558"/>
      <c r="C123" s="558"/>
      <c r="D123" s="558"/>
      <c r="E123" s="558"/>
      <c r="F123" s="558"/>
      <c r="G123" s="558"/>
      <c r="H123" s="558"/>
      <c r="I123" s="558"/>
      <c r="J123" s="558"/>
      <c r="K123" s="558"/>
      <c r="L123" s="558"/>
      <c r="M123" s="558"/>
      <c r="N123" s="558"/>
      <c r="O123" s="558"/>
      <c r="P123" s="558"/>
      <c r="Q123" s="558"/>
      <c r="R123" s="558"/>
      <c r="S123" s="558"/>
      <c r="T123" s="558"/>
      <c r="U123" s="559"/>
      <c r="V123" s="560"/>
      <c r="W123" s="558"/>
      <c r="X123" s="561"/>
    </row>
    <row r="124" spans="1:24" x14ac:dyDescent="0.3">
      <c r="A124" s="558"/>
      <c r="B124" s="558"/>
      <c r="C124" s="558"/>
      <c r="D124" s="558"/>
      <c r="E124" s="558"/>
      <c r="F124" s="558"/>
      <c r="G124" s="558"/>
      <c r="H124" s="558"/>
      <c r="I124" s="558"/>
      <c r="J124" s="558"/>
      <c r="K124" s="558"/>
      <c r="L124" s="558"/>
      <c r="M124" s="558"/>
      <c r="N124" s="558"/>
      <c r="O124" s="558"/>
      <c r="P124" s="558"/>
      <c r="Q124" s="558"/>
      <c r="R124" s="558"/>
      <c r="S124" s="558"/>
      <c r="T124" s="558"/>
      <c r="U124" s="559"/>
      <c r="V124" s="560"/>
      <c r="W124" s="558"/>
      <c r="X124" s="561"/>
    </row>
    <row r="125" spans="1:24" x14ac:dyDescent="0.3">
      <c r="A125" s="558"/>
      <c r="B125" s="558"/>
      <c r="C125" s="558"/>
      <c r="D125" s="558"/>
      <c r="E125" s="558"/>
      <c r="F125" s="558"/>
      <c r="G125" s="558"/>
      <c r="H125" s="558"/>
      <c r="I125" s="558"/>
      <c r="J125" s="558"/>
      <c r="K125" s="558"/>
      <c r="L125" s="558"/>
      <c r="M125" s="558"/>
      <c r="N125" s="558"/>
      <c r="O125" s="558"/>
      <c r="P125" s="558"/>
      <c r="Q125" s="558"/>
      <c r="R125" s="558"/>
      <c r="S125" s="558"/>
      <c r="T125" s="558"/>
      <c r="U125" s="559"/>
      <c r="V125" s="560"/>
      <c r="W125" s="558"/>
      <c r="X125" s="561"/>
    </row>
    <row r="126" spans="1:24" x14ac:dyDescent="0.3">
      <c r="A126" s="558"/>
      <c r="B126" s="558"/>
      <c r="C126" s="558"/>
      <c r="D126" s="558"/>
      <c r="E126" s="558"/>
      <c r="F126" s="558"/>
      <c r="G126" s="558"/>
      <c r="H126" s="558"/>
      <c r="I126" s="558"/>
      <c r="J126" s="558"/>
      <c r="K126" s="558"/>
      <c r="L126" s="558"/>
      <c r="M126" s="558"/>
      <c r="N126" s="558"/>
      <c r="O126" s="558"/>
      <c r="P126" s="558"/>
      <c r="Q126" s="558"/>
      <c r="R126" s="558"/>
      <c r="S126" s="558"/>
      <c r="T126" s="558"/>
      <c r="U126" s="559"/>
      <c r="V126" s="560"/>
      <c r="W126" s="558"/>
      <c r="X126" s="561"/>
    </row>
    <row r="127" spans="1:24" x14ac:dyDescent="0.3">
      <c r="A127" s="558"/>
      <c r="B127" s="558"/>
      <c r="C127" s="558"/>
      <c r="D127" s="558"/>
      <c r="E127" s="558"/>
      <c r="F127" s="558"/>
      <c r="G127" s="558"/>
      <c r="H127" s="558"/>
      <c r="I127" s="558"/>
      <c r="J127" s="558"/>
      <c r="K127" s="558"/>
      <c r="L127" s="558"/>
      <c r="M127" s="558"/>
      <c r="N127" s="558"/>
      <c r="O127" s="558"/>
      <c r="P127" s="558"/>
      <c r="Q127" s="558"/>
      <c r="R127" s="558"/>
      <c r="S127" s="558"/>
      <c r="T127" s="558"/>
      <c r="U127" s="559"/>
      <c r="V127" s="560"/>
      <c r="W127" s="558"/>
      <c r="X127" s="561"/>
    </row>
    <row r="128" spans="1:24" x14ac:dyDescent="0.3">
      <c r="A128" s="558"/>
      <c r="B128" s="558"/>
      <c r="C128" s="558"/>
      <c r="D128" s="558"/>
      <c r="E128" s="558"/>
      <c r="F128" s="558"/>
      <c r="G128" s="558"/>
      <c r="H128" s="558"/>
      <c r="I128" s="558"/>
      <c r="J128" s="558"/>
      <c r="K128" s="558"/>
      <c r="L128" s="558"/>
      <c r="M128" s="558"/>
      <c r="N128" s="558"/>
      <c r="O128" s="558"/>
      <c r="P128" s="558"/>
      <c r="Q128" s="558"/>
      <c r="R128" s="558"/>
      <c r="S128" s="558"/>
      <c r="T128" s="558"/>
      <c r="U128" s="559"/>
      <c r="V128" s="560"/>
      <c r="W128" s="558"/>
      <c r="X128" s="561"/>
    </row>
    <row r="129" spans="1:24" x14ac:dyDescent="0.3">
      <c r="A129" s="558"/>
      <c r="B129" s="558"/>
      <c r="C129" s="558"/>
      <c r="D129" s="558"/>
      <c r="E129" s="558"/>
      <c r="F129" s="558"/>
      <c r="G129" s="558"/>
      <c r="H129" s="558"/>
      <c r="I129" s="558"/>
      <c r="J129" s="558"/>
      <c r="K129" s="558"/>
      <c r="L129" s="558"/>
      <c r="M129" s="558"/>
      <c r="N129" s="558"/>
      <c r="O129" s="558"/>
      <c r="P129" s="558"/>
      <c r="Q129" s="558"/>
      <c r="R129" s="558"/>
      <c r="S129" s="558"/>
      <c r="T129" s="558"/>
      <c r="U129" s="559"/>
      <c r="V129" s="560"/>
      <c r="W129" s="558"/>
      <c r="X129" s="561"/>
    </row>
    <row r="130" spans="1:24" x14ac:dyDescent="0.3">
      <c r="A130" s="558"/>
      <c r="B130" s="558"/>
      <c r="C130" s="558"/>
      <c r="D130" s="558"/>
      <c r="E130" s="558"/>
      <c r="F130" s="558"/>
      <c r="G130" s="558"/>
      <c r="H130" s="558"/>
      <c r="I130" s="558"/>
      <c r="J130" s="558"/>
      <c r="K130" s="558"/>
      <c r="L130" s="558"/>
      <c r="M130" s="558"/>
      <c r="N130" s="558"/>
      <c r="O130" s="558"/>
      <c r="P130" s="558"/>
      <c r="Q130" s="558"/>
      <c r="R130" s="558"/>
      <c r="S130" s="558"/>
      <c r="T130" s="558"/>
      <c r="U130" s="559"/>
      <c r="V130" s="560"/>
      <c r="W130" s="558"/>
      <c r="X130" s="561"/>
    </row>
    <row r="131" spans="1:24" x14ac:dyDescent="0.3">
      <c r="A131" s="558"/>
      <c r="B131" s="558"/>
      <c r="C131" s="558"/>
      <c r="D131" s="558"/>
      <c r="E131" s="558"/>
      <c r="F131" s="558"/>
      <c r="G131" s="558"/>
      <c r="H131" s="558"/>
      <c r="I131" s="558"/>
      <c r="J131" s="558"/>
      <c r="K131" s="558"/>
      <c r="L131" s="558"/>
      <c r="M131" s="558"/>
      <c r="N131" s="558"/>
      <c r="O131" s="558"/>
      <c r="P131" s="558"/>
      <c r="Q131" s="558"/>
      <c r="R131" s="558"/>
      <c r="S131" s="558"/>
      <c r="T131" s="558"/>
      <c r="U131" s="559"/>
      <c r="V131" s="560"/>
      <c r="W131" s="558"/>
      <c r="X131" s="561"/>
    </row>
    <row r="132" spans="1:24" x14ac:dyDescent="0.3">
      <c r="A132" s="558"/>
      <c r="B132" s="558"/>
      <c r="C132" s="558"/>
      <c r="D132" s="558"/>
      <c r="E132" s="558"/>
      <c r="F132" s="558"/>
      <c r="G132" s="558"/>
      <c r="H132" s="558"/>
      <c r="I132" s="558"/>
      <c r="J132" s="558"/>
      <c r="K132" s="558"/>
      <c r="L132" s="558"/>
      <c r="M132" s="558"/>
      <c r="N132" s="558"/>
      <c r="O132" s="558"/>
      <c r="P132" s="558"/>
      <c r="Q132" s="558"/>
      <c r="R132" s="558"/>
      <c r="S132" s="558"/>
      <c r="T132" s="558"/>
      <c r="U132" s="559"/>
      <c r="V132" s="560"/>
      <c r="W132" s="558"/>
      <c r="X132" s="561"/>
    </row>
    <row r="133" spans="1:24" x14ac:dyDescent="0.3">
      <c r="A133" s="558"/>
      <c r="B133" s="558"/>
      <c r="C133" s="558"/>
      <c r="D133" s="558"/>
      <c r="E133" s="558"/>
      <c r="F133" s="558"/>
      <c r="G133" s="558"/>
      <c r="H133" s="558"/>
      <c r="I133" s="558"/>
      <c r="J133" s="558"/>
      <c r="K133" s="558"/>
      <c r="L133" s="558"/>
      <c r="M133" s="558"/>
      <c r="N133" s="558"/>
      <c r="O133" s="558"/>
      <c r="P133" s="558"/>
      <c r="Q133" s="558"/>
      <c r="R133" s="558"/>
      <c r="S133" s="558"/>
      <c r="T133" s="558"/>
      <c r="U133" s="559"/>
      <c r="V133" s="560"/>
      <c r="W133" s="558"/>
      <c r="X133" s="561"/>
    </row>
    <row r="134" spans="1:24" x14ac:dyDescent="0.3">
      <c r="A134" s="558"/>
      <c r="B134" s="558"/>
      <c r="C134" s="558"/>
      <c r="D134" s="558"/>
      <c r="E134" s="558"/>
      <c r="F134" s="558"/>
      <c r="G134" s="558"/>
      <c r="H134" s="558"/>
      <c r="I134" s="558"/>
      <c r="J134" s="558"/>
      <c r="K134" s="558"/>
      <c r="L134" s="558"/>
      <c r="M134" s="558"/>
      <c r="N134" s="558"/>
      <c r="O134" s="558"/>
      <c r="P134" s="558"/>
      <c r="Q134" s="558"/>
      <c r="R134" s="558"/>
      <c r="S134" s="558"/>
      <c r="T134" s="558"/>
      <c r="U134" s="559"/>
      <c r="V134" s="560"/>
      <c r="W134" s="558"/>
      <c r="X134" s="561"/>
    </row>
    <row r="135" spans="1:24" x14ac:dyDescent="0.3">
      <c r="A135" s="558"/>
      <c r="B135" s="558"/>
      <c r="C135" s="558"/>
      <c r="D135" s="558"/>
      <c r="E135" s="558"/>
      <c r="F135" s="558"/>
      <c r="G135" s="558"/>
      <c r="H135" s="558"/>
      <c r="I135" s="558"/>
      <c r="J135" s="558"/>
      <c r="K135" s="558"/>
      <c r="L135" s="558"/>
      <c r="M135" s="558"/>
      <c r="N135" s="558"/>
      <c r="O135" s="558"/>
      <c r="P135" s="558"/>
      <c r="Q135" s="558"/>
      <c r="R135" s="558"/>
      <c r="S135" s="558"/>
      <c r="T135" s="558"/>
      <c r="U135" s="559"/>
      <c r="V135" s="560"/>
      <c r="W135" s="558"/>
      <c r="X135" s="561"/>
    </row>
    <row r="136" spans="1:24" x14ac:dyDescent="0.3">
      <c r="A136" s="558"/>
      <c r="B136" s="558"/>
      <c r="C136" s="558"/>
      <c r="D136" s="558"/>
      <c r="E136" s="558"/>
      <c r="F136" s="558"/>
      <c r="G136" s="558"/>
      <c r="H136" s="558"/>
      <c r="I136" s="558"/>
      <c r="J136" s="558"/>
      <c r="K136" s="558"/>
      <c r="L136" s="558"/>
      <c r="M136" s="558"/>
      <c r="N136" s="558"/>
      <c r="O136" s="558"/>
      <c r="P136" s="558"/>
      <c r="Q136" s="558"/>
      <c r="R136" s="558"/>
      <c r="S136" s="558"/>
      <c r="T136" s="558"/>
      <c r="U136" s="559"/>
      <c r="V136" s="560"/>
      <c r="W136" s="558"/>
      <c r="X136" s="561"/>
    </row>
    <row r="137" spans="1:24" x14ac:dyDescent="0.3">
      <c r="A137" s="558"/>
      <c r="B137" s="558"/>
      <c r="C137" s="558"/>
      <c r="D137" s="558"/>
      <c r="E137" s="558"/>
      <c r="F137" s="558"/>
      <c r="G137" s="558"/>
      <c r="H137" s="558"/>
      <c r="I137" s="558"/>
      <c r="J137" s="558"/>
      <c r="K137" s="558"/>
      <c r="L137" s="558"/>
      <c r="M137" s="558"/>
      <c r="N137" s="558"/>
      <c r="O137" s="558"/>
      <c r="P137" s="558"/>
      <c r="Q137" s="558"/>
      <c r="R137" s="558"/>
      <c r="S137" s="558"/>
      <c r="T137" s="558"/>
      <c r="U137" s="559"/>
      <c r="V137" s="560"/>
      <c r="W137" s="558"/>
      <c r="X137" s="561"/>
    </row>
    <row r="138" spans="1:24" x14ac:dyDescent="0.3">
      <c r="A138" s="558"/>
      <c r="B138" s="558"/>
      <c r="C138" s="558"/>
      <c r="D138" s="558"/>
      <c r="E138" s="558"/>
      <c r="F138" s="558"/>
      <c r="G138" s="558"/>
      <c r="H138" s="558"/>
      <c r="I138" s="558"/>
      <c r="J138" s="558"/>
      <c r="K138" s="558"/>
      <c r="L138" s="558"/>
      <c r="M138" s="558"/>
      <c r="N138" s="558"/>
      <c r="O138" s="558"/>
      <c r="P138" s="558"/>
      <c r="Q138" s="558"/>
      <c r="R138" s="558"/>
      <c r="S138" s="558"/>
      <c r="T138" s="558"/>
      <c r="U138" s="559"/>
      <c r="V138" s="560"/>
      <c r="W138" s="558"/>
      <c r="X138" s="561"/>
    </row>
    <row r="139" spans="1:24" x14ac:dyDescent="0.3">
      <c r="A139" s="558"/>
      <c r="B139" s="558"/>
      <c r="C139" s="558"/>
      <c r="D139" s="558"/>
      <c r="E139" s="558"/>
      <c r="F139" s="558"/>
      <c r="G139" s="558"/>
      <c r="H139" s="558"/>
      <c r="I139" s="558"/>
      <c r="J139" s="558"/>
      <c r="K139" s="558"/>
      <c r="L139" s="558"/>
      <c r="M139" s="558"/>
      <c r="N139" s="558"/>
      <c r="O139" s="558"/>
      <c r="P139" s="558"/>
      <c r="Q139" s="558"/>
      <c r="R139" s="558"/>
      <c r="S139" s="558"/>
      <c r="T139" s="558"/>
      <c r="U139" s="559"/>
      <c r="V139" s="560"/>
      <c r="W139" s="558"/>
      <c r="X139" s="561"/>
    </row>
    <row r="140" spans="1:24" x14ac:dyDescent="0.3">
      <c r="A140" s="558"/>
      <c r="B140" s="558"/>
      <c r="C140" s="558"/>
      <c r="D140" s="558"/>
      <c r="E140" s="558"/>
      <c r="F140" s="558"/>
      <c r="G140" s="558"/>
      <c r="H140" s="558"/>
      <c r="I140" s="558"/>
      <c r="J140" s="558"/>
      <c r="K140" s="558"/>
      <c r="L140" s="558"/>
      <c r="M140" s="558"/>
      <c r="N140" s="558"/>
      <c r="O140" s="558"/>
      <c r="P140" s="558"/>
      <c r="Q140" s="558"/>
      <c r="R140" s="558"/>
      <c r="S140" s="558"/>
      <c r="T140" s="558"/>
      <c r="U140" s="559"/>
      <c r="V140" s="560"/>
      <c r="W140" s="558"/>
      <c r="X140" s="561"/>
    </row>
    <row r="141" spans="1:24" x14ac:dyDescent="0.3">
      <c r="A141" s="558"/>
      <c r="B141" s="558"/>
      <c r="C141" s="558"/>
      <c r="D141" s="558"/>
      <c r="E141" s="558"/>
      <c r="F141" s="558"/>
      <c r="G141" s="558"/>
      <c r="H141" s="558"/>
      <c r="I141" s="558"/>
      <c r="J141" s="558"/>
      <c r="K141" s="558"/>
      <c r="L141" s="558"/>
      <c r="M141" s="558"/>
      <c r="N141" s="558"/>
      <c r="O141" s="558"/>
      <c r="P141" s="558"/>
      <c r="Q141" s="558"/>
      <c r="R141" s="558"/>
      <c r="S141" s="558"/>
      <c r="T141" s="558"/>
      <c r="U141" s="559"/>
      <c r="V141" s="560"/>
      <c r="W141" s="558"/>
      <c r="X141" s="561"/>
    </row>
    <row r="142" spans="1:24" x14ac:dyDescent="0.3">
      <c r="A142" s="558"/>
      <c r="B142" s="558"/>
      <c r="C142" s="558"/>
      <c r="D142" s="558"/>
      <c r="E142" s="558"/>
      <c r="F142" s="558"/>
      <c r="G142" s="558"/>
      <c r="H142" s="558"/>
      <c r="I142" s="558"/>
      <c r="J142" s="558"/>
      <c r="K142" s="558"/>
      <c r="L142" s="558"/>
      <c r="M142" s="558"/>
      <c r="N142" s="558"/>
      <c r="O142" s="558"/>
      <c r="P142" s="558"/>
      <c r="Q142" s="558"/>
      <c r="R142" s="558"/>
      <c r="S142" s="558"/>
      <c r="T142" s="558"/>
      <c r="U142" s="559"/>
      <c r="V142" s="560"/>
      <c r="W142" s="558"/>
      <c r="X142" s="561"/>
    </row>
    <row r="143" spans="1:24" x14ac:dyDescent="0.3">
      <c r="A143" s="558"/>
      <c r="B143" s="558"/>
      <c r="C143" s="558"/>
      <c r="D143" s="558"/>
      <c r="E143" s="558"/>
      <c r="F143" s="558"/>
      <c r="G143" s="558"/>
      <c r="H143" s="558"/>
      <c r="I143" s="558"/>
      <c r="J143" s="558"/>
      <c r="K143" s="558"/>
      <c r="L143" s="558"/>
      <c r="M143" s="558"/>
      <c r="N143" s="558"/>
      <c r="O143" s="558"/>
      <c r="P143" s="558"/>
      <c r="Q143" s="558"/>
      <c r="R143" s="558"/>
      <c r="S143" s="558"/>
      <c r="T143" s="558"/>
      <c r="U143" s="559"/>
      <c r="V143" s="560"/>
      <c r="W143" s="558"/>
      <c r="X143" s="561"/>
    </row>
    <row r="144" spans="1:24" x14ac:dyDescent="0.3">
      <c r="A144" s="558"/>
      <c r="B144" s="558"/>
      <c r="C144" s="558"/>
      <c r="D144" s="558"/>
      <c r="E144" s="558"/>
      <c r="F144" s="558"/>
      <c r="G144" s="558"/>
      <c r="H144" s="558"/>
      <c r="I144" s="558"/>
      <c r="J144" s="558"/>
      <c r="K144" s="558"/>
      <c r="L144" s="558"/>
      <c r="M144" s="558"/>
      <c r="N144" s="558"/>
      <c r="O144" s="558"/>
      <c r="P144" s="558"/>
      <c r="Q144" s="558"/>
      <c r="R144" s="558"/>
      <c r="S144" s="558"/>
      <c r="T144" s="558"/>
      <c r="U144" s="559"/>
      <c r="V144" s="560"/>
      <c r="W144" s="558"/>
      <c r="X144" s="561"/>
    </row>
    <row r="145" spans="1:24" x14ac:dyDescent="0.3">
      <c r="A145" s="558"/>
      <c r="B145" s="558"/>
      <c r="C145" s="558"/>
      <c r="D145" s="558"/>
      <c r="E145" s="558"/>
      <c r="F145" s="558"/>
      <c r="G145" s="558"/>
      <c r="H145" s="558"/>
      <c r="I145" s="558"/>
      <c r="J145" s="558"/>
      <c r="K145" s="558"/>
      <c r="L145" s="558"/>
      <c r="M145" s="558"/>
      <c r="N145" s="558"/>
      <c r="O145" s="558"/>
      <c r="P145" s="558"/>
      <c r="Q145" s="558"/>
      <c r="R145" s="558"/>
      <c r="S145" s="558"/>
      <c r="T145" s="558"/>
      <c r="U145" s="559"/>
      <c r="V145" s="560"/>
      <c r="W145" s="558"/>
      <c r="X145" s="561"/>
    </row>
  </sheetData>
  <autoFilter ref="A2:Y84"/>
  <customSheetViews>
    <customSheetView guid="{E7571780-ED88-421E-BB12-D2AF189A0D99}" scale="90" showAutoFilter="1">
      <pane ySplit="9" topLeftCell="A49" activePane="bottomLeft" state="frozen"/>
      <selection pane="bottomLeft" activeCell="Q54" sqref="Q54"/>
      <pageMargins left="0.7" right="0.7" top="0.75" bottom="0.75" header="0.3" footer="0.3"/>
      <pageSetup orientation="portrait" r:id="rId1"/>
      <autoFilter ref="A2:Y67"/>
    </customSheetView>
    <customSheetView guid="{609F876C-F41A-43C8-BD3D-0455630C6D86}" scale="90" showAutoFilter="1" topLeftCell="F1">
      <pane ySplit="9" topLeftCell="A43" activePane="bottomLeft" state="frozen"/>
      <selection pane="bottomLeft" activeCell="X51" sqref="X51"/>
      <pageMargins left="0.7" right="0.7" top="0.75" bottom="0.75" header="0.3" footer="0.3"/>
      <pageSetup orientation="portrait" r:id="rId2"/>
      <autoFilter ref="A2:Y67"/>
    </customSheetView>
    <customSheetView guid="{F5461B2D-C44D-459F-8141-3B434D52A3D6}" scale="90" showAutoFilter="1">
      <pane ySplit="9" topLeftCell="A37" activePane="bottomLeft" state="frozen"/>
      <selection pane="bottomLeft" activeCell="E38" sqref="E38"/>
      <pageMargins left="0.7" right="0.7" top="0.75" bottom="0.75" header="0.3" footer="0.3"/>
      <pageSetup orientation="portrait" r:id="rId3"/>
      <autoFilter ref="A2:Y67"/>
    </customSheetView>
    <customSheetView guid="{BF4A82E8-EC44-4B28-ABE7-07086B055DF8}" scale="90" showAutoFilter="1" topLeftCell="J1">
      <pane ySplit="9" topLeftCell="A10" activePane="bottomLeft" state="frozen"/>
      <selection pane="bottomLeft" activeCell="Z140" sqref="Z140"/>
      <pageMargins left="0.7" right="0.7" top="0.75" bottom="0.75" header="0.3" footer="0.3"/>
      <pageSetup orientation="portrait" r:id="rId4"/>
      <autoFilter ref="A2:Y68"/>
    </customSheetView>
    <customSheetView guid="{F9953651-D17A-4C02-9483-C34B454389F8}" scale="90" showAutoFilter="1" topLeftCell="B1">
      <pane ySplit="6" topLeftCell="A253" activePane="bottomLeft" state="frozen"/>
      <selection pane="bottomLeft" activeCell="X261" sqref="X261"/>
      <pageMargins left="0.7" right="0.7" top="0.75" bottom="0.75" header="0.3" footer="0.3"/>
      <pageSetup orientation="portrait" r:id="rId5"/>
      <autoFilter ref="A2:Y259"/>
    </customSheetView>
    <customSheetView guid="{4081EA0D-9F4E-4F6E-9740-125B98E42AAA}" scale="90" showAutoFilter="1" topLeftCell="G1">
      <pane ySplit="6" topLeftCell="A218" activePane="bottomLeft" state="frozen"/>
      <selection pane="bottomLeft" activeCell="X221" sqref="X221"/>
      <pageMargins left="0.7" right="0.7" top="0.75" bottom="0.75" header="0.3" footer="0.3"/>
      <pageSetup orientation="portrait" r:id="rId6"/>
      <autoFilter ref="A2:Y218"/>
    </customSheetView>
    <customSheetView guid="{568372EE-5594-48E8-AA4D-B2DFAABD6FBE}" scale="85" showAutoFilter="1">
      <pane ySplit="6" topLeftCell="A7" activePane="bottomLeft" state="frozen"/>
      <selection pane="bottomLeft"/>
      <pageMargins left="0.7" right="0.7" top="0.75" bottom="0.75" header="0.3" footer="0.3"/>
      <pageSetup orientation="portrait" r:id="rId7"/>
      <autoFilter ref="A2:Y206"/>
    </customSheetView>
    <customSheetView guid="{E6A6C2C1-501F-4FA5-9A65-F097BADC7A88}" scale="90" showAutoFilter="1">
      <pane ySplit="6" topLeftCell="A7" activePane="bottomLeft" state="frozen"/>
      <selection pane="bottomLeft" activeCell="E14" sqref="E14"/>
      <pageMargins left="0.7" right="0.7" top="0.75" bottom="0.75" header="0.3" footer="0.3"/>
      <pageSetup orientation="portrait" r:id="rId8"/>
      <autoFilter ref="A2:Y6"/>
    </customSheetView>
    <customSheetView guid="{189813C8-BE28-4174-A3B5-1C707449DBD3}" scale="80" showAutoFilter="1">
      <pane ySplit="9" topLeftCell="A56" activePane="bottomLeft" state="frozen"/>
      <selection pane="bottomLeft" activeCell="M57" sqref="M57"/>
      <pageMargins left="0.7" right="0.7" top="0.75" bottom="0.75" header="0.3" footer="0.3"/>
      <pageSetup orientation="portrait" r:id="rId9"/>
      <autoFilter ref="A2:Y66"/>
    </customSheetView>
    <customSheetView guid="{A1D6424A-E1FA-4BDE-9758-50490C40BCC4}" scale="90" showAutoFilter="1">
      <pane ySplit="9" topLeftCell="A67" activePane="bottomLeft" state="frozen"/>
      <selection pane="bottomLeft" activeCell="P77" sqref="P77"/>
      <pageMargins left="0.7" right="0.7" top="0.75" bottom="0.75" header="0.3" footer="0.3"/>
      <pageSetup orientation="portrait" r:id="rId10"/>
      <autoFilter ref="A2:Y68"/>
    </customSheetView>
  </customSheetViews>
  <mergeCells count="1">
    <mergeCell ref="B1:U1"/>
  </mergeCells>
  <hyperlinks>
    <hyperlink ref="A1" display="Directory"/>
    <hyperlink ref="B1:U1" display="D9859 Scoreboard"/>
  </hyperlinks>
  <pageMargins left="0.7" right="0.7" top="0.75" bottom="0.75" header="0.3" footer="0.3"/>
  <pageSetup orientation="portrait" r:id="rId11"/>
  <drawing r:id="rId12"/>
  <legacyDrawing r:id="rId13"/>
  <controls>
    <mc:AlternateContent xmlns:mc="http://schemas.openxmlformats.org/markup-compatibility/2006">
      <mc:Choice Requires="x14">
        <control shapeId="112641" r:id="rId14" name="CommandButton1">
          <controlPr defaultSize="0" autoLine="0" autoPict="0" r:id="rId15">
            <anchor moveWithCells="1">
              <from>
                <xdr:col>21</xdr:col>
                <xdr:colOff>297180</xdr:colOff>
                <xdr:row>2</xdr:row>
                <xdr:rowOff>0</xdr:rowOff>
              </from>
              <to>
                <xdr:col>23</xdr:col>
                <xdr:colOff>198120</xdr:colOff>
                <xdr:row>4</xdr:row>
                <xdr:rowOff>152400</xdr:rowOff>
              </to>
            </anchor>
          </controlPr>
        </control>
      </mc:Choice>
      <mc:Fallback>
        <control shapeId="112641" r:id="rId1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03"/>
  <sheetViews>
    <sheetView zoomScale="85" zoomScaleNormal="75" workbookViewId="0">
      <selection activeCell="A2" sqref="A2"/>
    </sheetView>
  </sheetViews>
  <sheetFormatPr defaultRowHeight="13.2" x14ac:dyDescent="0.25"/>
  <cols>
    <col min="1" max="1" width="10.5546875" customWidth="1"/>
    <col min="2" max="2" width="6.44140625" customWidth="1"/>
    <col min="3" max="3" width="3.88671875" customWidth="1"/>
    <col min="4" max="4" width="12.5546875" customWidth="1"/>
    <col min="5" max="5" width="6.5546875" customWidth="1"/>
    <col min="6" max="6" width="4.88671875" customWidth="1"/>
    <col min="7" max="7" width="12.33203125" customWidth="1"/>
    <col min="9" max="9" width="13.44140625" bestFit="1" customWidth="1"/>
    <col min="10" max="10" width="11.88671875" customWidth="1"/>
    <col min="13" max="13" width="12.44140625" customWidth="1"/>
    <col min="14" max="14" width="12.5546875" customWidth="1"/>
    <col min="15" max="15" width="9.109375" customWidth="1"/>
    <col min="16" max="16" width="12.44140625" customWidth="1"/>
    <col min="19" max="19" width="11.6640625" customWidth="1"/>
    <col min="20" max="20" width="11.109375" customWidth="1"/>
    <col min="21" max="21" width="9.33203125" customWidth="1"/>
    <col min="22" max="22" width="7.33203125" customWidth="1"/>
  </cols>
  <sheetData>
    <row r="1" spans="1:23" x14ac:dyDescent="0.25">
      <c r="A1" s="287" t="s">
        <v>499</v>
      </c>
      <c r="B1" s="275"/>
      <c r="C1" s="275"/>
      <c r="D1" s="292" t="s">
        <v>517</v>
      </c>
      <c r="E1" s="293"/>
      <c r="F1" s="293"/>
      <c r="G1" s="294"/>
      <c r="H1" s="295" t="s">
        <v>654</v>
      </c>
      <c r="I1" s="303">
        <v>41690</v>
      </c>
      <c r="J1" s="273"/>
      <c r="K1" s="296" t="s">
        <v>678</v>
      </c>
      <c r="L1" s="297"/>
      <c r="P1" s="89"/>
      <c r="Q1" s="149" t="s">
        <v>2</v>
      </c>
      <c r="R1" s="104" t="s">
        <v>4</v>
      </c>
      <c r="S1" s="210" t="s">
        <v>524</v>
      </c>
      <c r="T1" s="276" t="s">
        <v>644</v>
      </c>
      <c r="V1" s="275"/>
      <c r="W1" s="275"/>
    </row>
    <row r="2" spans="1:23" x14ac:dyDescent="0.25">
      <c r="A2" s="138" t="s">
        <v>631</v>
      </c>
      <c r="B2" s="288"/>
      <c r="C2" s="288"/>
      <c r="D2" s="298" t="s">
        <v>658</v>
      </c>
      <c r="E2" s="299"/>
      <c r="F2" s="641"/>
      <c r="G2" s="642"/>
      <c r="H2" s="300" t="s">
        <v>655</v>
      </c>
      <c r="I2" s="304">
        <v>41802</v>
      </c>
      <c r="J2" s="301"/>
      <c r="K2" s="300" t="s">
        <v>753</v>
      </c>
      <c r="L2" s="302"/>
      <c r="P2" s="89"/>
      <c r="Q2" s="105" t="s">
        <v>509</v>
      </c>
      <c r="R2" s="106" t="s">
        <v>3</v>
      </c>
      <c r="S2" s="289" t="s">
        <v>645</v>
      </c>
      <c r="T2" s="308"/>
      <c r="V2" s="275"/>
      <c r="W2" s="275"/>
    </row>
    <row r="3" spans="1:23" ht="18" customHeight="1" x14ac:dyDescent="0.25">
      <c r="A3" s="291"/>
      <c r="B3" s="288"/>
      <c r="C3" s="288"/>
      <c r="D3" s="275"/>
      <c r="E3" s="275"/>
      <c r="F3" s="275"/>
      <c r="G3" s="275"/>
      <c r="H3" s="275"/>
      <c r="I3" s="275"/>
      <c r="J3" s="275"/>
      <c r="K3" s="89"/>
      <c r="L3" s="275"/>
      <c r="M3" s="275"/>
      <c r="N3" s="275"/>
      <c r="O3" s="275"/>
      <c r="P3" s="275"/>
      <c r="Q3" s="275"/>
      <c r="R3" s="275"/>
      <c r="S3" s="275"/>
      <c r="T3" s="275"/>
      <c r="U3" s="275"/>
      <c r="V3" s="275"/>
      <c r="W3" s="275"/>
    </row>
    <row r="4" spans="1:23" ht="27" thickBot="1" x14ac:dyDescent="0.3">
      <c r="A4" s="277" t="s">
        <v>184</v>
      </c>
      <c r="B4" s="285"/>
      <c r="C4" s="288"/>
      <c r="D4" s="277" t="s">
        <v>208</v>
      </c>
      <c r="E4" s="285"/>
      <c r="F4" s="275"/>
      <c r="G4" s="277" t="s">
        <v>67</v>
      </c>
      <c r="H4" s="97" t="s">
        <v>70</v>
      </c>
      <c r="I4" s="97" t="s">
        <v>69</v>
      </c>
      <c r="J4" s="97" t="s">
        <v>68</v>
      </c>
      <c r="K4" s="97" t="s">
        <v>515</v>
      </c>
      <c r="L4" s="97" t="s">
        <v>71</v>
      </c>
      <c r="M4" s="97" t="s">
        <v>516</v>
      </c>
      <c r="N4" s="97" t="s">
        <v>72</v>
      </c>
      <c r="O4" s="275"/>
      <c r="P4" s="277" t="s">
        <v>465</v>
      </c>
      <c r="Q4" s="102" t="s">
        <v>68</v>
      </c>
      <c r="R4" s="102" t="s">
        <v>69</v>
      </c>
      <c r="S4" s="97" t="s">
        <v>527</v>
      </c>
      <c r="T4" s="97" t="s">
        <v>519</v>
      </c>
      <c r="U4" s="275"/>
    </row>
    <row r="5" spans="1:23" ht="13.8" thickTop="1" x14ac:dyDescent="0.25">
      <c r="A5" s="628" t="s">
        <v>646</v>
      </c>
      <c r="B5" s="585">
        <v>1</v>
      </c>
      <c r="C5" s="288"/>
      <c r="D5" s="272" t="s">
        <v>5</v>
      </c>
      <c r="E5" s="595">
        <v>1</v>
      </c>
      <c r="F5" s="275"/>
      <c r="G5" s="630" t="s">
        <v>73</v>
      </c>
      <c r="H5" s="388">
        <v>1</v>
      </c>
      <c r="I5" s="596">
        <v>4</v>
      </c>
      <c r="J5" s="596">
        <v>7</v>
      </c>
      <c r="K5" s="576">
        <v>16</v>
      </c>
      <c r="L5" s="576">
        <v>19</v>
      </c>
      <c r="M5" s="567">
        <v>22</v>
      </c>
      <c r="N5" s="568">
        <v>25</v>
      </c>
      <c r="O5" s="275"/>
      <c r="P5" s="272" t="s">
        <v>288</v>
      </c>
      <c r="Q5" s="487">
        <v>1</v>
      </c>
      <c r="R5" s="225"/>
      <c r="S5" s="225"/>
      <c r="T5" s="228"/>
      <c r="U5" s="275"/>
    </row>
    <row r="6" spans="1:23" x14ac:dyDescent="0.25">
      <c r="A6" s="629"/>
      <c r="B6" s="484">
        <v>2</v>
      </c>
      <c r="C6" s="288"/>
      <c r="D6" s="628" t="s">
        <v>647</v>
      </c>
      <c r="E6" s="594">
        <v>2</v>
      </c>
      <c r="F6" s="275"/>
      <c r="G6" s="631"/>
      <c r="H6" s="390">
        <v>2</v>
      </c>
      <c r="I6" s="597">
        <v>5</v>
      </c>
      <c r="J6" s="597">
        <v>8</v>
      </c>
      <c r="K6" s="597">
        <v>17</v>
      </c>
      <c r="L6" s="597">
        <v>20</v>
      </c>
      <c r="M6" s="581">
        <v>23</v>
      </c>
      <c r="N6" s="598">
        <v>26</v>
      </c>
      <c r="O6" s="275"/>
      <c r="P6" s="272" t="s">
        <v>289</v>
      </c>
      <c r="Q6" s="231"/>
      <c r="R6" s="597">
        <v>2</v>
      </c>
      <c r="S6" s="485">
        <v>5</v>
      </c>
      <c r="T6" s="490">
        <v>6</v>
      </c>
      <c r="U6" s="275"/>
    </row>
    <row r="7" spans="1:23" ht="13.8" thickBot="1" x14ac:dyDescent="0.3">
      <c r="A7" s="629"/>
      <c r="B7" s="484">
        <v>3</v>
      </c>
      <c r="C7" s="288"/>
      <c r="D7" s="629"/>
      <c r="E7" s="594">
        <v>3</v>
      </c>
      <c r="F7" s="275"/>
      <c r="G7" s="632"/>
      <c r="H7" s="390">
        <v>3</v>
      </c>
      <c r="I7" s="392">
        <v>6</v>
      </c>
      <c r="J7" s="391">
        <v>9</v>
      </c>
      <c r="K7" s="597">
        <v>18</v>
      </c>
      <c r="L7" s="616">
        <v>21</v>
      </c>
      <c r="M7" s="581">
        <v>24</v>
      </c>
      <c r="N7" s="598">
        <v>27</v>
      </c>
      <c r="O7" s="275"/>
      <c r="P7" s="272" t="s">
        <v>287</v>
      </c>
      <c r="Q7" s="607">
        <v>3</v>
      </c>
      <c r="R7" s="573">
        <v>4</v>
      </c>
      <c r="S7" s="573">
        <v>7</v>
      </c>
      <c r="T7" s="584">
        <v>8</v>
      </c>
      <c r="U7" s="275"/>
      <c r="V7" s="275"/>
      <c r="W7" s="275"/>
    </row>
    <row r="8" spans="1:23" ht="13.8" thickTop="1" x14ac:dyDescent="0.25">
      <c r="A8" s="629"/>
      <c r="B8" s="594">
        <v>4</v>
      </c>
      <c r="C8" s="288"/>
      <c r="D8" s="629"/>
      <c r="E8" s="286">
        <v>4</v>
      </c>
      <c r="F8" s="275"/>
      <c r="G8" s="630" t="s">
        <v>74</v>
      </c>
      <c r="H8" s="231"/>
      <c r="I8" s="597">
        <v>10</v>
      </c>
      <c r="J8" s="485">
        <v>13</v>
      </c>
      <c r="K8" s="599">
        <v>28</v>
      </c>
      <c r="L8" s="599">
        <v>31</v>
      </c>
      <c r="M8" s="599">
        <v>34</v>
      </c>
      <c r="N8" s="600">
        <v>37</v>
      </c>
      <c r="O8" s="275"/>
      <c r="P8" s="275"/>
      <c r="Q8" s="275"/>
      <c r="R8" s="275"/>
      <c r="S8" s="275"/>
      <c r="T8" s="275"/>
      <c r="U8" s="275"/>
    </row>
    <row r="9" spans="1:23" ht="16.2" thickBot="1" x14ac:dyDescent="0.3">
      <c r="A9" s="629"/>
      <c r="B9" s="594">
        <v>5</v>
      </c>
      <c r="C9" s="288"/>
      <c r="D9" s="629"/>
      <c r="E9" s="290">
        <v>5</v>
      </c>
      <c r="F9" s="275"/>
      <c r="G9" s="631"/>
      <c r="H9" s="231"/>
      <c r="I9" s="597">
        <v>11</v>
      </c>
      <c r="J9" s="597">
        <v>14</v>
      </c>
      <c r="K9" s="599">
        <v>29</v>
      </c>
      <c r="L9" s="581">
        <v>32</v>
      </c>
      <c r="M9" s="601">
        <v>35</v>
      </c>
      <c r="N9" s="570">
        <v>38</v>
      </c>
      <c r="O9" s="275"/>
      <c r="P9" s="277" t="s">
        <v>210</v>
      </c>
      <c r="Q9" s="102" t="s">
        <v>68</v>
      </c>
      <c r="R9" s="102" t="s">
        <v>69</v>
      </c>
      <c r="S9" s="102" t="s">
        <v>274</v>
      </c>
      <c r="T9" s="275"/>
      <c r="U9" s="94" t="s">
        <v>503</v>
      </c>
      <c r="V9" s="103"/>
    </row>
    <row r="10" spans="1:23" ht="13.8" thickTop="1" x14ac:dyDescent="0.25">
      <c r="A10" s="629"/>
      <c r="B10" s="594">
        <v>6</v>
      </c>
      <c r="C10" s="288"/>
      <c r="D10" s="628" t="s">
        <v>648</v>
      </c>
      <c r="E10" s="594">
        <v>6</v>
      </c>
      <c r="F10" s="275"/>
      <c r="G10" s="631"/>
      <c r="H10" s="231"/>
      <c r="I10" s="485">
        <v>12</v>
      </c>
      <c r="J10" s="391">
        <v>15</v>
      </c>
      <c r="K10" s="599">
        <v>30</v>
      </c>
      <c r="L10" s="581">
        <v>33</v>
      </c>
      <c r="M10" s="599">
        <v>36</v>
      </c>
      <c r="N10" s="598">
        <v>39</v>
      </c>
      <c r="O10" s="275"/>
      <c r="P10" s="630" t="s">
        <v>649</v>
      </c>
      <c r="Q10" s="388">
        <v>1</v>
      </c>
      <c r="R10" s="596">
        <v>5</v>
      </c>
      <c r="S10" s="228"/>
      <c r="T10" s="275"/>
      <c r="U10" s="96" t="s">
        <v>616</v>
      </c>
      <c r="V10" s="611">
        <v>1</v>
      </c>
    </row>
    <row r="11" spans="1:23" ht="13.8" thickBot="1" x14ac:dyDescent="0.3">
      <c r="A11" s="628" t="s">
        <v>650</v>
      </c>
      <c r="B11" s="387">
        <v>7</v>
      </c>
      <c r="C11" s="288"/>
      <c r="D11" s="629"/>
      <c r="E11" s="594">
        <v>7</v>
      </c>
      <c r="F11" s="275"/>
      <c r="G11" s="631"/>
      <c r="H11" s="231"/>
      <c r="I11" s="391">
        <v>40</v>
      </c>
      <c r="J11" s="391">
        <v>41</v>
      </c>
      <c r="K11" s="391">
        <v>42</v>
      </c>
      <c r="L11" s="391">
        <v>43</v>
      </c>
      <c r="M11" s="391">
        <v>44</v>
      </c>
      <c r="N11" s="393">
        <v>45</v>
      </c>
      <c r="O11" s="275"/>
      <c r="P11" s="638"/>
      <c r="Q11" s="524">
        <v>3</v>
      </c>
      <c r="R11" s="210"/>
      <c r="S11" s="229"/>
      <c r="T11" s="89"/>
      <c r="U11" s="96" t="s">
        <v>508</v>
      </c>
      <c r="V11" s="612">
        <v>2</v>
      </c>
      <c r="W11" s="275"/>
    </row>
    <row r="12" spans="1:23" ht="14.4" thickTop="1" thickBot="1" x14ac:dyDescent="0.3">
      <c r="A12" s="628"/>
      <c r="B12" s="387">
        <v>8</v>
      </c>
      <c r="C12" s="288"/>
      <c r="D12" s="629"/>
      <c r="E12" s="290">
        <v>8</v>
      </c>
      <c r="F12" s="275"/>
      <c r="G12" s="632"/>
      <c r="H12" s="232"/>
      <c r="I12" s="227"/>
      <c r="J12" s="227"/>
      <c r="K12" s="617">
        <v>46</v>
      </c>
      <c r="L12" s="589">
        <v>47</v>
      </c>
      <c r="M12" s="394">
        <v>48</v>
      </c>
      <c r="N12" s="395">
        <v>49</v>
      </c>
      <c r="O12" s="275"/>
      <c r="P12" s="639" t="s">
        <v>275</v>
      </c>
      <c r="Q12" s="603">
        <v>2</v>
      </c>
      <c r="R12" s="597">
        <v>6</v>
      </c>
      <c r="S12" s="602">
        <v>7</v>
      </c>
      <c r="T12" s="275"/>
      <c r="U12" s="275"/>
      <c r="V12" s="275"/>
      <c r="W12" s="275"/>
    </row>
    <row r="13" spans="1:23" ht="16.8" thickTop="1" thickBot="1" x14ac:dyDescent="0.3">
      <c r="A13" s="628"/>
      <c r="B13" s="484">
        <v>9</v>
      </c>
      <c r="C13" s="288"/>
      <c r="D13" s="629" t="s">
        <v>168</v>
      </c>
      <c r="E13" s="387">
        <v>9</v>
      </c>
      <c r="F13" s="275"/>
      <c r="G13" s="275"/>
      <c r="H13" s="275"/>
      <c r="I13" s="275"/>
      <c r="J13" s="275"/>
      <c r="K13" s="89"/>
      <c r="L13" s="275"/>
      <c r="M13" s="275"/>
      <c r="N13" s="275"/>
      <c r="O13" s="275"/>
      <c r="P13" s="638"/>
      <c r="Q13" s="607">
        <v>4</v>
      </c>
      <c r="R13" s="227"/>
      <c r="S13" s="230"/>
      <c r="T13" s="275"/>
      <c r="U13" s="94" t="s">
        <v>504</v>
      </c>
      <c r="V13" s="103"/>
    </row>
    <row r="14" spans="1:23" ht="14.4" thickTop="1" thickBot="1" x14ac:dyDescent="0.3">
      <c r="A14" s="628"/>
      <c r="B14" s="484">
        <v>10</v>
      </c>
      <c r="C14" s="288"/>
      <c r="D14" s="629"/>
      <c r="E14" s="387">
        <v>10</v>
      </c>
      <c r="F14" s="275"/>
      <c r="G14" s="277" t="s">
        <v>447</v>
      </c>
      <c r="H14" s="102" t="s">
        <v>656</v>
      </c>
      <c r="I14" s="102" t="s">
        <v>657</v>
      </c>
      <c r="J14" s="102" t="s">
        <v>134</v>
      </c>
      <c r="K14" s="97" t="s">
        <v>145</v>
      </c>
      <c r="L14" s="89"/>
      <c r="M14" s="275"/>
      <c r="N14" s="275"/>
      <c r="O14" s="275"/>
      <c r="P14" s="275"/>
      <c r="Q14" s="275"/>
      <c r="R14" s="275"/>
      <c r="S14" s="275"/>
      <c r="T14" s="275"/>
      <c r="U14" s="96" t="s">
        <v>616</v>
      </c>
      <c r="V14" s="611">
        <v>1</v>
      </c>
    </row>
    <row r="15" spans="1:23" ht="14.4" thickTop="1" thickBot="1" x14ac:dyDescent="0.3">
      <c r="A15" s="628" t="s">
        <v>651</v>
      </c>
      <c r="B15" s="484">
        <v>11</v>
      </c>
      <c r="C15" s="288"/>
      <c r="D15" s="272" t="s">
        <v>172</v>
      </c>
      <c r="E15" s="387">
        <v>11</v>
      </c>
      <c r="F15" s="275"/>
      <c r="G15" s="639" t="s">
        <v>73</v>
      </c>
      <c r="H15" s="388">
        <v>1</v>
      </c>
      <c r="I15" s="389">
        <v>3</v>
      </c>
      <c r="J15" s="389">
        <v>5</v>
      </c>
      <c r="K15" s="228"/>
      <c r="L15" s="275"/>
      <c r="M15" s="277" t="s">
        <v>448</v>
      </c>
      <c r="N15" s="102" t="s">
        <v>656</v>
      </c>
      <c r="O15" s="102" t="s">
        <v>657</v>
      </c>
      <c r="P15" s="102" t="s">
        <v>134</v>
      </c>
      <c r="Q15" s="97" t="s">
        <v>145</v>
      </c>
      <c r="R15" s="275"/>
      <c r="U15" s="96" t="s">
        <v>508</v>
      </c>
      <c r="V15" s="612">
        <v>2</v>
      </c>
    </row>
    <row r="16" spans="1:23" ht="13.8" thickTop="1" x14ac:dyDescent="0.25">
      <c r="A16" s="628"/>
      <c r="B16" s="484">
        <v>12</v>
      </c>
      <c r="C16" s="288"/>
      <c r="D16" s="629" t="s">
        <v>173</v>
      </c>
      <c r="E16" s="286">
        <v>12</v>
      </c>
      <c r="F16" s="275"/>
      <c r="G16" s="638"/>
      <c r="H16" s="390">
        <v>2</v>
      </c>
      <c r="I16" s="391">
        <v>4</v>
      </c>
      <c r="J16" s="391">
        <v>6</v>
      </c>
      <c r="K16" s="229"/>
      <c r="L16" s="275"/>
      <c r="M16" s="639" t="s">
        <v>73</v>
      </c>
      <c r="N16" s="605">
        <v>1</v>
      </c>
      <c r="O16" s="596">
        <v>3</v>
      </c>
      <c r="P16" s="596">
        <v>5</v>
      </c>
      <c r="Q16" s="228"/>
      <c r="R16" s="275"/>
      <c r="U16" s="275"/>
    </row>
    <row r="17" spans="1:23" ht="13.8" thickBot="1" x14ac:dyDescent="0.3">
      <c r="A17" s="628"/>
      <c r="B17" s="594">
        <v>13</v>
      </c>
      <c r="C17" s="288"/>
      <c r="D17" s="629"/>
      <c r="E17" s="286">
        <v>13</v>
      </c>
      <c r="F17" s="275"/>
      <c r="G17" s="639" t="s">
        <v>89</v>
      </c>
      <c r="H17" s="603">
        <v>7</v>
      </c>
      <c r="I17" s="391">
        <v>9</v>
      </c>
      <c r="J17" s="391">
        <v>11</v>
      </c>
      <c r="K17" s="602">
        <v>15</v>
      </c>
      <c r="L17" s="275"/>
      <c r="M17" s="638"/>
      <c r="N17" s="603">
        <v>2</v>
      </c>
      <c r="O17" s="485">
        <v>4</v>
      </c>
      <c r="P17" s="597">
        <v>6</v>
      </c>
      <c r="Q17" s="229"/>
      <c r="R17" s="275"/>
      <c r="U17" s="278" t="s">
        <v>211</v>
      </c>
      <c r="V17" s="102"/>
    </row>
    <row r="18" spans="1:23" ht="27" thickTop="1" x14ac:dyDescent="0.25">
      <c r="A18" s="628"/>
      <c r="B18" s="594">
        <v>14</v>
      </c>
      <c r="C18" s="288"/>
      <c r="D18" s="270" t="s">
        <v>652</v>
      </c>
      <c r="E18" s="286">
        <v>14</v>
      </c>
      <c r="F18" s="275"/>
      <c r="G18" s="640"/>
      <c r="H18" s="390">
        <v>8</v>
      </c>
      <c r="I18" s="396">
        <v>10</v>
      </c>
      <c r="J18" s="597">
        <v>12</v>
      </c>
      <c r="K18" s="393">
        <v>16</v>
      </c>
      <c r="L18" s="275"/>
      <c r="M18" s="639" t="s">
        <v>89</v>
      </c>
      <c r="N18" s="603">
        <v>7</v>
      </c>
      <c r="O18" s="597">
        <v>9</v>
      </c>
      <c r="P18" s="597">
        <v>11</v>
      </c>
      <c r="Q18" s="233">
        <v>15</v>
      </c>
      <c r="R18" s="275"/>
      <c r="U18" s="272" t="s">
        <v>488</v>
      </c>
      <c r="V18" s="608">
        <v>1</v>
      </c>
    </row>
    <row r="19" spans="1:23" x14ac:dyDescent="0.25">
      <c r="A19" s="629" t="s">
        <v>187</v>
      </c>
      <c r="B19" s="286">
        <v>15</v>
      </c>
      <c r="C19" s="288"/>
      <c r="D19" s="629" t="s">
        <v>495</v>
      </c>
      <c r="E19" s="594">
        <v>15</v>
      </c>
      <c r="F19" s="275"/>
      <c r="G19" s="640"/>
      <c r="H19" s="231"/>
      <c r="I19" s="197"/>
      <c r="J19" s="597">
        <v>13</v>
      </c>
      <c r="K19" s="229"/>
      <c r="L19" s="275"/>
      <c r="M19" s="640"/>
      <c r="N19" s="603">
        <v>8</v>
      </c>
      <c r="O19" s="597">
        <v>10</v>
      </c>
      <c r="P19" s="597">
        <v>12</v>
      </c>
      <c r="Q19" s="233">
        <v>16</v>
      </c>
      <c r="R19" s="275"/>
      <c r="U19" s="272" t="s">
        <v>489</v>
      </c>
      <c r="V19" s="609">
        <v>2</v>
      </c>
    </row>
    <row r="20" spans="1:23" x14ac:dyDescent="0.25">
      <c r="A20" s="629"/>
      <c r="B20" s="594">
        <v>16</v>
      </c>
      <c r="C20" s="288"/>
      <c r="D20" s="629"/>
      <c r="E20" s="594">
        <v>16</v>
      </c>
      <c r="F20" s="275"/>
      <c r="G20" s="638"/>
      <c r="H20" s="231"/>
      <c r="I20" s="197"/>
      <c r="J20" s="597">
        <v>14</v>
      </c>
      <c r="K20" s="229"/>
      <c r="L20" s="275"/>
      <c r="M20" s="640"/>
      <c r="N20" s="231"/>
      <c r="O20" s="197"/>
      <c r="P20" s="597">
        <v>13</v>
      </c>
      <c r="Q20" s="229"/>
      <c r="R20" s="275"/>
      <c r="U20" s="272" t="s">
        <v>490</v>
      </c>
      <c r="V20" s="609">
        <v>3</v>
      </c>
      <c r="W20" s="275"/>
    </row>
    <row r="21" spans="1:23" ht="13.8" thickBot="1" x14ac:dyDescent="0.3">
      <c r="A21" s="629"/>
      <c r="B21" s="286">
        <v>17</v>
      </c>
      <c r="C21" s="288"/>
      <c r="D21" s="629" t="s">
        <v>496</v>
      </c>
      <c r="E21" s="594">
        <v>17</v>
      </c>
      <c r="F21" s="275"/>
      <c r="G21" s="639" t="s">
        <v>149</v>
      </c>
      <c r="H21" s="603">
        <v>17</v>
      </c>
      <c r="I21" s="597">
        <v>19</v>
      </c>
      <c r="J21" s="597">
        <v>21</v>
      </c>
      <c r="K21" s="602">
        <v>25</v>
      </c>
      <c r="L21" s="275"/>
      <c r="M21" s="638"/>
      <c r="N21" s="232"/>
      <c r="O21" s="227"/>
      <c r="P21" s="606">
        <v>14</v>
      </c>
      <c r="Q21" s="230"/>
      <c r="R21" s="275"/>
      <c r="U21" s="272" t="s">
        <v>491</v>
      </c>
      <c r="V21" s="610">
        <v>4</v>
      </c>
      <c r="W21" s="275"/>
    </row>
    <row r="22" spans="1:23" ht="14.4" thickTop="1" thickBot="1" x14ac:dyDescent="0.3">
      <c r="A22" s="629"/>
      <c r="B22" s="286">
        <v>18</v>
      </c>
      <c r="C22" s="288"/>
      <c r="D22" s="629"/>
      <c r="E22" s="583">
        <v>18</v>
      </c>
      <c r="F22" s="275"/>
      <c r="G22" s="640"/>
      <c r="H22" s="603">
        <v>18</v>
      </c>
      <c r="I22" s="597">
        <v>20</v>
      </c>
      <c r="J22" s="597">
        <v>22</v>
      </c>
      <c r="K22" s="602">
        <v>26</v>
      </c>
      <c r="L22" s="275"/>
      <c r="M22" s="275"/>
      <c r="N22" s="275"/>
      <c r="O22" s="275"/>
      <c r="P22" s="275"/>
      <c r="Q22" s="275"/>
      <c r="R22" s="275"/>
      <c r="S22" s="275"/>
      <c r="T22" s="275"/>
      <c r="W22" s="275"/>
    </row>
    <row r="23" spans="1:23" ht="13.8" thickTop="1" x14ac:dyDescent="0.25">
      <c r="A23" s="629"/>
      <c r="B23" s="484">
        <v>19</v>
      </c>
      <c r="C23" s="288"/>
      <c r="D23" s="288"/>
      <c r="E23" s="288"/>
      <c r="F23" s="275"/>
      <c r="G23" s="640"/>
      <c r="H23" s="231"/>
      <c r="I23" s="197"/>
      <c r="J23" s="597">
        <v>23</v>
      </c>
      <c r="K23" s="229"/>
      <c r="L23" s="275"/>
      <c r="M23" s="89"/>
      <c r="N23" s="279" t="s">
        <v>227</v>
      </c>
      <c r="O23" s="269"/>
      <c r="P23" s="269"/>
      <c r="Q23" s="269"/>
      <c r="R23" s="269"/>
      <c r="S23" s="91" t="s">
        <v>372</v>
      </c>
      <c r="T23" s="89"/>
      <c r="W23" s="275"/>
    </row>
    <row r="24" spans="1:23" ht="13.8" thickBot="1" x14ac:dyDescent="0.3">
      <c r="A24" s="629"/>
      <c r="B24" s="594">
        <v>20</v>
      </c>
      <c r="C24" s="288"/>
      <c r="D24" s="288"/>
      <c r="E24" s="288"/>
      <c r="F24" s="275"/>
      <c r="G24" s="638"/>
      <c r="H24" s="231"/>
      <c r="I24" s="197"/>
      <c r="J24" s="485">
        <v>24</v>
      </c>
      <c r="K24" s="229"/>
      <c r="L24" s="275"/>
      <c r="M24" s="277" t="s">
        <v>212</v>
      </c>
      <c r="N24" s="102" t="s">
        <v>226</v>
      </c>
      <c r="O24" s="102">
        <v>5</v>
      </c>
      <c r="P24" s="102">
        <v>10</v>
      </c>
      <c r="Q24" s="102">
        <v>35</v>
      </c>
      <c r="R24" s="102">
        <v>45</v>
      </c>
      <c r="S24" s="102" t="s">
        <v>223</v>
      </c>
      <c r="T24" s="89"/>
      <c r="U24" s="275"/>
      <c r="V24" s="275"/>
      <c r="W24" s="275"/>
    </row>
    <row r="25" spans="1:23" ht="13.8" thickTop="1" x14ac:dyDescent="0.25">
      <c r="A25" s="628" t="s">
        <v>653</v>
      </c>
      <c r="B25" s="290">
        <v>21</v>
      </c>
      <c r="C25" s="288"/>
      <c r="D25" s="288"/>
      <c r="E25" s="288"/>
      <c r="F25" s="275"/>
      <c r="G25" s="630" t="s">
        <v>147</v>
      </c>
      <c r="H25" s="603">
        <v>27</v>
      </c>
      <c r="I25" s="485">
        <v>29</v>
      </c>
      <c r="J25" s="597">
        <v>30</v>
      </c>
      <c r="K25" s="490">
        <v>31</v>
      </c>
      <c r="L25" s="275"/>
      <c r="M25" s="630" t="s">
        <v>369</v>
      </c>
      <c r="N25" s="605">
        <v>9</v>
      </c>
      <c r="O25" s="596">
        <v>1</v>
      </c>
      <c r="P25" s="596">
        <v>2</v>
      </c>
      <c r="Q25" s="249">
        <v>3</v>
      </c>
      <c r="R25" s="249">
        <v>4</v>
      </c>
      <c r="S25" s="228"/>
      <c r="T25" s="271" t="s">
        <v>370</v>
      </c>
      <c r="U25" s="275"/>
      <c r="V25" s="275"/>
      <c r="W25" s="275"/>
    </row>
    <row r="26" spans="1:23" x14ac:dyDescent="0.25">
      <c r="A26" s="629"/>
      <c r="B26" s="290">
        <v>22</v>
      </c>
      <c r="C26" s="288"/>
      <c r="D26" s="288"/>
      <c r="E26" s="288"/>
      <c r="F26" s="275"/>
      <c r="G26" s="631"/>
      <c r="H26" s="603">
        <v>28</v>
      </c>
      <c r="I26" s="197"/>
      <c r="J26" s="197"/>
      <c r="K26" s="229"/>
      <c r="L26" s="275"/>
      <c r="M26" s="632"/>
      <c r="N26" s="603">
        <v>10</v>
      </c>
      <c r="O26" s="597">
        <v>5</v>
      </c>
      <c r="P26" s="597">
        <v>6</v>
      </c>
      <c r="Q26" s="210">
        <v>7</v>
      </c>
      <c r="R26" s="210">
        <v>8</v>
      </c>
      <c r="S26" s="602">
        <v>11</v>
      </c>
      <c r="T26" s="623" t="s">
        <v>371</v>
      </c>
      <c r="U26" s="275"/>
      <c r="V26" s="275"/>
      <c r="W26" s="275"/>
    </row>
    <row r="27" spans="1:23" ht="13.8" thickBot="1" x14ac:dyDescent="0.3">
      <c r="A27" s="629"/>
      <c r="B27" s="290">
        <v>23</v>
      </c>
      <c r="C27" s="288"/>
      <c r="D27" s="288"/>
      <c r="E27" s="288"/>
      <c r="F27" s="275"/>
      <c r="G27" s="632"/>
      <c r="H27" s="603">
        <v>32</v>
      </c>
      <c r="I27" s="604">
        <v>33</v>
      </c>
      <c r="J27" s="485">
        <v>34</v>
      </c>
      <c r="K27" s="602">
        <v>35</v>
      </c>
      <c r="L27" s="275"/>
      <c r="M27" s="270" t="s">
        <v>372</v>
      </c>
      <c r="N27" s="607">
        <v>12</v>
      </c>
      <c r="O27" s="227"/>
      <c r="P27" s="227"/>
      <c r="Q27" s="227"/>
      <c r="R27" s="227"/>
      <c r="S27" s="230"/>
      <c r="T27" s="624"/>
      <c r="U27" s="275"/>
      <c r="V27" s="275"/>
      <c r="W27" s="275"/>
    </row>
    <row r="28" spans="1:23" ht="14.4" thickTop="1" thickBot="1" x14ac:dyDescent="0.3">
      <c r="A28" s="629"/>
      <c r="B28" s="376">
        <v>24</v>
      </c>
      <c r="C28" s="288"/>
      <c r="D28" s="288"/>
      <c r="E28" s="288"/>
      <c r="F28" s="275"/>
      <c r="G28" s="630" t="s">
        <v>146</v>
      </c>
      <c r="H28" s="390">
        <v>36</v>
      </c>
      <c r="I28" s="597">
        <v>37</v>
      </c>
      <c r="J28" s="485">
        <v>38</v>
      </c>
      <c r="K28" s="393">
        <v>40</v>
      </c>
      <c r="L28" s="89"/>
      <c r="M28" s="275"/>
      <c r="N28" s="275"/>
      <c r="O28" s="275"/>
      <c r="P28" s="275"/>
      <c r="Q28" s="275"/>
      <c r="R28" s="275"/>
      <c r="S28" s="275"/>
      <c r="T28" s="275"/>
      <c r="U28" s="275"/>
      <c r="V28" s="275"/>
      <c r="W28" s="275"/>
    </row>
    <row r="29" spans="1:23" ht="13.8" thickTop="1" x14ac:dyDescent="0.25">
      <c r="A29" s="288"/>
      <c r="B29" s="288"/>
      <c r="C29" s="288"/>
      <c r="F29" s="275"/>
      <c r="G29" s="631"/>
      <c r="H29" s="231"/>
      <c r="I29" s="197"/>
      <c r="J29" s="597">
        <v>39</v>
      </c>
      <c r="K29" s="229"/>
      <c r="L29" s="89"/>
      <c r="M29" s="275"/>
      <c r="N29" s="275"/>
      <c r="O29" s="275"/>
      <c r="P29" s="275"/>
      <c r="Q29" s="275"/>
      <c r="R29" s="275"/>
      <c r="S29" s="275"/>
      <c r="T29" s="275"/>
      <c r="U29" s="275"/>
      <c r="V29" s="275"/>
      <c r="W29" s="275"/>
    </row>
    <row r="30" spans="1:23" x14ac:dyDescent="0.25">
      <c r="A30" s="288"/>
      <c r="B30" s="288"/>
      <c r="C30" s="288"/>
      <c r="F30" s="275"/>
      <c r="G30" s="631"/>
      <c r="H30" s="603">
        <v>41</v>
      </c>
      <c r="I30" s="485">
        <v>42</v>
      </c>
      <c r="J30" s="597">
        <v>43</v>
      </c>
      <c r="K30" s="602">
        <v>44</v>
      </c>
      <c r="L30" s="89"/>
      <c r="M30" s="92"/>
      <c r="N30" s="633" t="s">
        <v>513</v>
      </c>
      <c r="O30" s="634"/>
      <c r="P30" s="634"/>
      <c r="Q30" s="635"/>
      <c r="R30" s="633" t="s">
        <v>514</v>
      </c>
      <c r="S30" s="634"/>
      <c r="T30" s="634"/>
      <c r="U30" s="635"/>
      <c r="V30" s="92"/>
      <c r="W30" s="275"/>
    </row>
    <row r="31" spans="1:23" ht="13.8" thickBot="1" x14ac:dyDescent="0.3">
      <c r="A31" s="288"/>
      <c r="B31" s="288"/>
      <c r="C31" s="288"/>
      <c r="F31" s="275"/>
      <c r="G31" s="632"/>
      <c r="H31" s="603">
        <v>45</v>
      </c>
      <c r="I31" s="597">
        <v>46</v>
      </c>
      <c r="J31" s="597">
        <v>47</v>
      </c>
      <c r="K31" s="490">
        <v>48</v>
      </c>
      <c r="L31" s="89"/>
      <c r="M31" s="278" t="s">
        <v>539</v>
      </c>
      <c r="N31" s="636" t="s">
        <v>69</v>
      </c>
      <c r="O31" s="637"/>
      <c r="P31" s="636" t="s">
        <v>68</v>
      </c>
      <c r="Q31" s="637"/>
      <c r="R31" s="636" t="s">
        <v>331</v>
      </c>
      <c r="S31" s="637"/>
      <c r="T31" s="636" t="s">
        <v>332</v>
      </c>
      <c r="U31" s="637"/>
      <c r="V31" s="92"/>
      <c r="W31" s="275"/>
    </row>
    <row r="32" spans="1:23" ht="13.8" thickTop="1" x14ac:dyDescent="0.25">
      <c r="A32" s="288"/>
      <c r="B32" s="288"/>
      <c r="C32" s="288"/>
      <c r="D32" s="288"/>
      <c r="E32" s="288"/>
      <c r="F32" s="275"/>
      <c r="G32" s="630" t="s">
        <v>148</v>
      </c>
      <c r="H32" s="603">
        <v>49</v>
      </c>
      <c r="I32" s="597">
        <v>50</v>
      </c>
      <c r="J32" s="485">
        <v>51</v>
      </c>
      <c r="K32" s="393">
        <v>53</v>
      </c>
      <c r="L32" s="89"/>
      <c r="M32" s="625" t="s">
        <v>300</v>
      </c>
      <c r="N32" s="588">
        <v>5</v>
      </c>
      <c r="O32" s="572">
        <v>7</v>
      </c>
      <c r="P32" s="572">
        <v>6</v>
      </c>
      <c r="Q32" s="572">
        <v>8</v>
      </c>
      <c r="R32" s="572">
        <v>1</v>
      </c>
      <c r="S32" s="572">
        <v>3</v>
      </c>
      <c r="T32" s="587">
        <v>2</v>
      </c>
      <c r="U32" s="571">
        <v>4</v>
      </c>
      <c r="V32" s="280" t="s">
        <v>298</v>
      </c>
      <c r="W32" s="275"/>
    </row>
    <row r="33" spans="1:23" x14ac:dyDescent="0.25">
      <c r="A33" s="288"/>
      <c r="B33" s="288"/>
      <c r="C33" s="288"/>
      <c r="F33" s="275"/>
      <c r="G33" s="632"/>
      <c r="H33" s="231"/>
      <c r="I33" s="197"/>
      <c r="J33" s="597">
        <v>52</v>
      </c>
      <c r="K33" s="229"/>
      <c r="L33" s="89"/>
      <c r="M33" s="626"/>
      <c r="N33" s="577">
        <v>9</v>
      </c>
      <c r="O33" s="486">
        <v>10</v>
      </c>
      <c r="P33" s="486">
        <v>11</v>
      </c>
      <c r="Q33" s="485">
        <v>12</v>
      </c>
      <c r="R33" s="281"/>
      <c r="S33" s="281"/>
      <c r="T33" s="281"/>
      <c r="U33" s="282"/>
      <c r="V33" s="280" t="s">
        <v>297</v>
      </c>
      <c r="W33" s="275"/>
    </row>
    <row r="34" spans="1:23" ht="13.8" thickBot="1" x14ac:dyDescent="0.3">
      <c r="A34" s="288"/>
      <c r="B34" s="288"/>
      <c r="C34" s="288"/>
      <c r="F34" s="275"/>
      <c r="G34" s="272" t="s">
        <v>150</v>
      </c>
      <c r="H34" s="305" t="s">
        <v>151</v>
      </c>
      <c r="I34" s="227"/>
      <c r="J34" s="306" t="s">
        <v>151</v>
      </c>
      <c r="K34" s="230"/>
      <c r="L34" s="89"/>
      <c r="M34" s="626"/>
      <c r="N34" s="524">
        <v>27</v>
      </c>
      <c r="O34" s="486">
        <v>28</v>
      </c>
      <c r="P34" s="281"/>
      <c r="Q34" s="281"/>
      <c r="R34" s="485">
        <v>25</v>
      </c>
      <c r="S34" s="486">
        <v>26</v>
      </c>
      <c r="T34" s="281"/>
      <c r="U34" s="586">
        <v>37</v>
      </c>
      <c r="V34" s="280" t="s">
        <v>298</v>
      </c>
      <c r="W34" s="275"/>
    </row>
    <row r="35" spans="1:23" ht="13.8" thickTop="1" x14ac:dyDescent="0.25">
      <c r="A35" s="288"/>
      <c r="B35" s="288"/>
      <c r="C35" s="288"/>
      <c r="F35" s="275"/>
      <c r="G35" s="275"/>
      <c r="H35" s="275"/>
      <c r="I35" s="275"/>
      <c r="J35" s="275"/>
      <c r="K35" s="275"/>
      <c r="L35" s="275"/>
      <c r="M35" s="627"/>
      <c r="N35" s="489">
        <v>29</v>
      </c>
      <c r="O35" s="486">
        <v>30</v>
      </c>
      <c r="P35" s="281"/>
      <c r="Q35" s="281"/>
      <c r="R35" s="281"/>
      <c r="S35" s="281"/>
      <c r="T35" s="281"/>
      <c r="U35" s="282"/>
      <c r="V35" s="280" t="s">
        <v>297</v>
      </c>
      <c r="W35" s="275"/>
    </row>
    <row r="36" spans="1:23" ht="27" thickBot="1" x14ac:dyDescent="0.3">
      <c r="A36" s="288"/>
      <c r="B36" s="288"/>
      <c r="C36" s="288"/>
      <c r="D36" s="288"/>
      <c r="E36" s="288"/>
      <c r="F36" s="275"/>
      <c r="G36" s="278" t="s">
        <v>377</v>
      </c>
      <c r="H36" s="100" t="s">
        <v>2</v>
      </c>
      <c r="I36" s="100" t="s">
        <v>387</v>
      </c>
      <c r="J36" s="101" t="s">
        <v>520</v>
      </c>
      <c r="K36" s="275"/>
      <c r="L36" s="275"/>
      <c r="M36" s="625" t="s">
        <v>299</v>
      </c>
      <c r="N36" s="489">
        <v>17</v>
      </c>
      <c r="O36" s="486">
        <v>19</v>
      </c>
      <c r="P36" s="486">
        <v>18</v>
      </c>
      <c r="Q36" s="486">
        <v>20</v>
      </c>
      <c r="R36" s="486">
        <v>13</v>
      </c>
      <c r="S36" s="486">
        <v>15</v>
      </c>
      <c r="T36" s="486">
        <v>14</v>
      </c>
      <c r="U36" s="570">
        <v>16</v>
      </c>
      <c r="V36" s="280" t="s">
        <v>298</v>
      </c>
      <c r="W36" s="275"/>
    </row>
    <row r="37" spans="1:23" ht="13.8" thickTop="1" x14ac:dyDescent="0.25">
      <c r="A37" s="288"/>
      <c r="B37" s="288"/>
      <c r="C37" s="288"/>
      <c r="F37" s="275"/>
      <c r="G37" s="98" t="s">
        <v>374</v>
      </c>
      <c r="H37" s="575">
        <v>1</v>
      </c>
      <c r="I37" s="226"/>
      <c r="J37" s="234"/>
      <c r="K37" s="275"/>
      <c r="L37" s="275"/>
      <c r="M37" s="626"/>
      <c r="N37" s="524">
        <v>21</v>
      </c>
      <c r="O37" s="486">
        <v>22</v>
      </c>
      <c r="P37" s="486">
        <v>23</v>
      </c>
      <c r="Q37" s="486">
        <v>24</v>
      </c>
      <c r="R37" s="281"/>
      <c r="S37" s="281"/>
      <c r="T37" s="281"/>
      <c r="U37" s="282"/>
      <c r="V37" s="280" t="s">
        <v>297</v>
      </c>
      <c r="W37" s="275"/>
    </row>
    <row r="38" spans="1:23" x14ac:dyDescent="0.25">
      <c r="A38" s="288"/>
      <c r="B38" s="288"/>
      <c r="C38" s="288"/>
      <c r="F38" s="275"/>
      <c r="G38" s="98" t="s">
        <v>385</v>
      </c>
      <c r="H38" s="554">
        <v>2</v>
      </c>
      <c r="I38" s="397">
        <v>3</v>
      </c>
      <c r="J38" s="398">
        <v>4</v>
      </c>
      <c r="K38" s="275"/>
      <c r="L38" s="275"/>
      <c r="M38" s="626"/>
      <c r="N38" s="489">
        <v>33</v>
      </c>
      <c r="O38" s="582">
        <v>34</v>
      </c>
      <c r="P38" s="281"/>
      <c r="Q38" s="281"/>
      <c r="R38" s="485">
        <v>31</v>
      </c>
      <c r="S38" s="486">
        <v>32</v>
      </c>
      <c r="T38" s="281"/>
      <c r="U38" s="282"/>
      <c r="V38" s="280" t="s">
        <v>298</v>
      </c>
      <c r="W38" s="275"/>
    </row>
    <row r="39" spans="1:23" ht="27" thickBot="1" x14ac:dyDescent="0.3">
      <c r="A39" s="288"/>
      <c r="B39" s="288"/>
      <c r="C39" s="288"/>
      <c r="F39" s="275"/>
      <c r="G39" s="99" t="s">
        <v>484</v>
      </c>
      <c r="H39" s="613">
        <v>5</v>
      </c>
      <c r="I39" s="614">
        <v>6</v>
      </c>
      <c r="J39" s="615">
        <v>7</v>
      </c>
      <c r="K39" s="275"/>
      <c r="L39" s="275"/>
      <c r="M39" s="627"/>
      <c r="N39" s="574">
        <v>35</v>
      </c>
      <c r="O39" s="573">
        <v>36</v>
      </c>
      <c r="P39" s="283"/>
      <c r="Q39" s="283"/>
      <c r="R39" s="283"/>
      <c r="S39" s="283"/>
      <c r="T39" s="283"/>
      <c r="U39" s="284"/>
      <c r="V39" s="280" t="s">
        <v>297</v>
      </c>
      <c r="W39" s="275"/>
    </row>
    <row r="40" spans="1:23" ht="13.8" thickTop="1" x14ac:dyDescent="0.25">
      <c r="A40" s="31"/>
      <c r="B40" s="31"/>
      <c r="C40" s="31"/>
      <c r="D40" s="31"/>
      <c r="E40" s="31"/>
    </row>
    <row r="41" spans="1:23" x14ac:dyDescent="0.25">
      <c r="A41" s="31"/>
      <c r="B41" s="31"/>
      <c r="C41" s="31"/>
      <c r="D41" s="31"/>
      <c r="E41" s="31"/>
    </row>
    <row r="42" spans="1:23" x14ac:dyDescent="0.25">
      <c r="A42" s="31"/>
      <c r="B42" s="31"/>
      <c r="C42" s="31"/>
      <c r="D42" s="31"/>
      <c r="E42" s="31"/>
    </row>
    <row r="43" spans="1:23" x14ac:dyDescent="0.25">
      <c r="A43" s="31"/>
      <c r="B43" s="31"/>
      <c r="C43" s="31"/>
      <c r="D43" s="31"/>
      <c r="E43" s="31"/>
    </row>
    <row r="44" spans="1:23" x14ac:dyDescent="0.25">
      <c r="A44" s="31"/>
      <c r="B44" s="31"/>
      <c r="C44" s="31"/>
      <c r="D44" s="31"/>
      <c r="E44" s="31"/>
    </row>
    <row r="45" spans="1:23" x14ac:dyDescent="0.25">
      <c r="A45" s="31"/>
      <c r="B45" s="31"/>
      <c r="C45" s="31"/>
      <c r="D45" s="31"/>
      <c r="E45" s="31"/>
    </row>
    <row r="46" spans="1:23" x14ac:dyDescent="0.25">
      <c r="A46" s="31"/>
      <c r="B46" s="31"/>
      <c r="C46" s="31"/>
      <c r="D46" s="31"/>
      <c r="E46" s="31"/>
    </row>
    <row r="47" spans="1:23" x14ac:dyDescent="0.25">
      <c r="A47" s="31"/>
      <c r="B47" s="31"/>
      <c r="C47" s="31"/>
      <c r="D47" s="31"/>
      <c r="E47" s="31"/>
    </row>
    <row r="48" spans="1:23" x14ac:dyDescent="0.25">
      <c r="A48" s="31"/>
      <c r="B48" s="31"/>
      <c r="C48" s="31"/>
      <c r="D48" s="31"/>
      <c r="E48" s="31"/>
    </row>
    <row r="49" spans="1:5" x14ac:dyDescent="0.25">
      <c r="A49" s="31"/>
      <c r="B49" s="31"/>
      <c r="C49" s="31"/>
      <c r="D49" s="31"/>
      <c r="E49" s="31"/>
    </row>
    <row r="50" spans="1:5" x14ac:dyDescent="0.25">
      <c r="A50" s="31"/>
      <c r="B50" s="31"/>
      <c r="C50" s="31"/>
      <c r="D50" s="31"/>
      <c r="E50" s="31"/>
    </row>
    <row r="51" spans="1:5" x14ac:dyDescent="0.25">
      <c r="A51" s="31"/>
      <c r="B51" s="31"/>
      <c r="C51" s="31"/>
      <c r="D51" s="31"/>
      <c r="E51" s="31"/>
    </row>
    <row r="52" spans="1:5" x14ac:dyDescent="0.25">
      <c r="A52" s="31"/>
      <c r="B52" s="31"/>
      <c r="C52" s="31"/>
      <c r="D52" s="31"/>
      <c r="E52" s="31"/>
    </row>
    <row r="53" spans="1:5" x14ac:dyDescent="0.25">
      <c r="A53" s="31"/>
      <c r="B53" s="31"/>
      <c r="C53" s="31"/>
      <c r="D53" s="31"/>
      <c r="E53" s="31"/>
    </row>
    <row r="54" spans="1:5" x14ac:dyDescent="0.25">
      <c r="A54" s="31"/>
      <c r="B54" s="31"/>
      <c r="C54" s="31"/>
      <c r="D54" s="31"/>
      <c r="E54" s="31"/>
    </row>
    <row r="55" spans="1:5" x14ac:dyDescent="0.25">
      <c r="A55" s="31"/>
      <c r="B55" s="31"/>
      <c r="C55" s="31"/>
      <c r="D55" s="31"/>
      <c r="E55" s="31"/>
    </row>
    <row r="56" spans="1:5" x14ac:dyDescent="0.25">
      <c r="A56" s="31"/>
      <c r="B56" s="31"/>
      <c r="C56" s="31"/>
      <c r="D56" s="31"/>
      <c r="E56" s="31"/>
    </row>
    <row r="57" spans="1:5" x14ac:dyDescent="0.25">
      <c r="A57" s="31"/>
      <c r="B57" s="31"/>
      <c r="C57" s="31"/>
      <c r="D57" s="31"/>
      <c r="E57" s="31"/>
    </row>
    <row r="58" spans="1:5" x14ac:dyDescent="0.25">
      <c r="A58" s="31"/>
      <c r="B58" s="31"/>
      <c r="C58" s="31"/>
      <c r="D58" s="31"/>
      <c r="E58" s="31"/>
    </row>
    <row r="59" spans="1:5" x14ac:dyDescent="0.25">
      <c r="A59" s="31"/>
      <c r="B59" s="31"/>
      <c r="C59" s="31"/>
      <c r="D59" s="31"/>
      <c r="E59" s="31"/>
    </row>
    <row r="60" spans="1:5" x14ac:dyDescent="0.25">
      <c r="A60" s="31"/>
      <c r="B60" s="31"/>
      <c r="C60" s="31"/>
      <c r="D60" s="31"/>
      <c r="E60" s="31"/>
    </row>
    <row r="61" spans="1:5" x14ac:dyDescent="0.25">
      <c r="A61" s="31"/>
      <c r="B61" s="31"/>
      <c r="C61" s="31"/>
      <c r="D61" s="31"/>
      <c r="E61" s="31"/>
    </row>
    <row r="62" spans="1:5" x14ac:dyDescent="0.25">
      <c r="A62" s="31"/>
      <c r="B62" s="31"/>
      <c r="C62" s="31"/>
      <c r="D62" s="31"/>
      <c r="E62" s="31"/>
    </row>
    <row r="63" spans="1:5" x14ac:dyDescent="0.25">
      <c r="A63" s="31"/>
      <c r="B63" s="31"/>
      <c r="C63" s="31"/>
      <c r="D63" s="31"/>
      <c r="E63" s="31"/>
    </row>
    <row r="64" spans="1:5" x14ac:dyDescent="0.25">
      <c r="A64" s="31"/>
      <c r="B64" s="31"/>
      <c r="C64" s="31"/>
      <c r="D64" s="31"/>
      <c r="E64" s="31"/>
    </row>
    <row r="65" spans="1:5" x14ac:dyDescent="0.25">
      <c r="A65" s="31"/>
      <c r="B65" s="31"/>
      <c r="C65" s="31"/>
      <c r="D65" s="31"/>
      <c r="E65" s="31"/>
    </row>
    <row r="66" spans="1:5" x14ac:dyDescent="0.25">
      <c r="A66" s="31"/>
      <c r="B66" s="31"/>
      <c r="C66" s="31"/>
      <c r="D66" s="31"/>
      <c r="E66" s="31"/>
    </row>
    <row r="67" spans="1:5" x14ac:dyDescent="0.25">
      <c r="A67" s="31"/>
      <c r="B67" s="31"/>
      <c r="C67" s="31"/>
      <c r="D67" s="31"/>
      <c r="E67" s="31"/>
    </row>
    <row r="68" spans="1:5" x14ac:dyDescent="0.25">
      <c r="A68" s="31"/>
      <c r="B68" s="31"/>
      <c r="C68" s="31"/>
      <c r="D68" s="31"/>
      <c r="E68" s="31"/>
    </row>
    <row r="69" spans="1:5" x14ac:dyDescent="0.25">
      <c r="A69" s="31"/>
      <c r="B69" s="31"/>
      <c r="C69" s="31"/>
      <c r="D69" s="31"/>
      <c r="E69" s="31"/>
    </row>
    <row r="70" spans="1:5" x14ac:dyDescent="0.25">
      <c r="A70" s="31"/>
      <c r="B70" s="31"/>
      <c r="C70" s="31"/>
      <c r="D70" s="31"/>
      <c r="E70" s="31"/>
    </row>
    <row r="71" spans="1:5" x14ac:dyDescent="0.25">
      <c r="A71" s="31"/>
      <c r="B71" s="31"/>
      <c r="C71" s="31"/>
      <c r="D71" s="31"/>
      <c r="E71" s="31"/>
    </row>
    <row r="72" spans="1:5" x14ac:dyDescent="0.25">
      <c r="A72" s="31"/>
      <c r="B72" s="31"/>
      <c r="C72" s="31"/>
      <c r="D72" s="31"/>
      <c r="E72" s="31"/>
    </row>
    <row r="73" spans="1:5" x14ac:dyDescent="0.25">
      <c r="A73" s="31"/>
      <c r="B73" s="31"/>
      <c r="C73" s="31"/>
      <c r="D73" s="31"/>
      <c r="E73" s="31"/>
    </row>
    <row r="74" spans="1:5" x14ac:dyDescent="0.25">
      <c r="A74" s="31"/>
      <c r="B74" s="31"/>
      <c r="C74" s="31"/>
      <c r="D74" s="31"/>
      <c r="E74" s="31"/>
    </row>
    <row r="75" spans="1:5" x14ac:dyDescent="0.25">
      <c r="A75" s="31"/>
      <c r="B75" s="31"/>
      <c r="C75" s="31"/>
      <c r="D75" s="31"/>
      <c r="E75" s="31"/>
    </row>
    <row r="76" spans="1:5" x14ac:dyDescent="0.25">
      <c r="A76" s="31"/>
      <c r="B76" s="31"/>
      <c r="C76" s="31"/>
      <c r="D76" s="31"/>
      <c r="E76" s="31"/>
    </row>
    <row r="77" spans="1:5" x14ac:dyDescent="0.25">
      <c r="A77" s="31"/>
      <c r="B77" s="31"/>
      <c r="C77" s="31"/>
      <c r="D77" s="31"/>
      <c r="E77" s="31"/>
    </row>
    <row r="78" spans="1:5" x14ac:dyDescent="0.25">
      <c r="A78" s="31"/>
      <c r="B78" s="31"/>
      <c r="C78" s="31"/>
      <c r="D78" s="31"/>
      <c r="E78" s="31"/>
    </row>
    <row r="79" spans="1:5" x14ac:dyDescent="0.25">
      <c r="A79" s="31"/>
      <c r="B79" s="31"/>
      <c r="C79" s="31"/>
      <c r="D79" s="31"/>
      <c r="E79" s="31"/>
    </row>
    <row r="80" spans="1:5" x14ac:dyDescent="0.25">
      <c r="A80" s="31"/>
      <c r="B80" s="31"/>
      <c r="C80" s="31"/>
      <c r="D80" s="31"/>
      <c r="E80" s="31"/>
    </row>
    <row r="81" spans="1:5" x14ac:dyDescent="0.25">
      <c r="A81" s="31"/>
      <c r="B81" s="31"/>
      <c r="C81" s="31"/>
      <c r="D81" s="31"/>
      <c r="E81" s="31"/>
    </row>
    <row r="82" spans="1:5" x14ac:dyDescent="0.25">
      <c r="A82" s="31"/>
      <c r="B82" s="31"/>
      <c r="C82" s="31"/>
      <c r="D82" s="31"/>
      <c r="E82" s="31"/>
    </row>
    <row r="83" spans="1:5" x14ac:dyDescent="0.25">
      <c r="A83" s="31"/>
      <c r="B83" s="31"/>
      <c r="C83" s="31"/>
      <c r="D83" s="31"/>
      <c r="E83" s="31"/>
    </row>
    <row r="84" spans="1:5" x14ac:dyDescent="0.25">
      <c r="A84" s="31"/>
      <c r="B84" s="31"/>
      <c r="C84" s="31"/>
      <c r="D84" s="31"/>
      <c r="E84" s="31"/>
    </row>
    <row r="85" spans="1:5" x14ac:dyDescent="0.25">
      <c r="A85" s="31"/>
      <c r="B85" s="31"/>
      <c r="C85" s="31"/>
      <c r="D85" s="31"/>
      <c r="E85" s="31"/>
    </row>
    <row r="86" spans="1:5" x14ac:dyDescent="0.25">
      <c r="A86" s="31"/>
      <c r="B86" s="31"/>
      <c r="C86" s="31"/>
      <c r="D86" s="31"/>
      <c r="E86" s="31"/>
    </row>
    <row r="87" spans="1:5" x14ac:dyDescent="0.25">
      <c r="A87" s="31"/>
      <c r="B87" s="31"/>
      <c r="C87" s="31"/>
      <c r="D87" s="31"/>
      <c r="E87" s="31"/>
    </row>
    <row r="88" spans="1:5" x14ac:dyDescent="0.25">
      <c r="A88" s="31"/>
      <c r="B88" s="31"/>
      <c r="C88" s="31"/>
      <c r="D88" s="31"/>
      <c r="E88" s="31"/>
    </row>
    <row r="89" spans="1:5" x14ac:dyDescent="0.25">
      <c r="A89" s="31"/>
      <c r="B89" s="31"/>
      <c r="C89" s="31"/>
      <c r="D89" s="31"/>
      <c r="E89" s="31"/>
    </row>
    <row r="90" spans="1:5" x14ac:dyDescent="0.25">
      <c r="A90" s="31"/>
      <c r="B90" s="31"/>
      <c r="C90" s="31"/>
      <c r="D90" s="31"/>
      <c r="E90" s="31"/>
    </row>
    <row r="91" spans="1:5" x14ac:dyDescent="0.25">
      <c r="A91" s="31"/>
      <c r="B91" s="31"/>
      <c r="C91" s="31"/>
      <c r="D91" s="31"/>
      <c r="E91" s="31"/>
    </row>
    <row r="92" spans="1:5" x14ac:dyDescent="0.25">
      <c r="A92" s="31"/>
      <c r="B92" s="31"/>
      <c r="C92" s="31"/>
      <c r="D92" s="31"/>
      <c r="E92" s="31"/>
    </row>
    <row r="93" spans="1:5" x14ac:dyDescent="0.25">
      <c r="A93" s="31"/>
      <c r="B93" s="31"/>
      <c r="C93" s="31"/>
      <c r="D93" s="31"/>
      <c r="E93" s="31"/>
    </row>
    <row r="94" spans="1:5" x14ac:dyDescent="0.25">
      <c r="A94" s="31"/>
      <c r="B94" s="31"/>
      <c r="C94" s="31"/>
      <c r="D94" s="31"/>
      <c r="E94" s="31"/>
    </row>
    <row r="95" spans="1:5" x14ac:dyDescent="0.25">
      <c r="A95" s="31"/>
      <c r="B95" s="31"/>
      <c r="C95" s="31"/>
      <c r="D95" s="31"/>
      <c r="E95" s="31"/>
    </row>
    <row r="96" spans="1:5" x14ac:dyDescent="0.25">
      <c r="A96" s="31"/>
      <c r="B96" s="31"/>
      <c r="C96" s="31"/>
      <c r="D96" s="31"/>
      <c r="E96" s="31"/>
    </row>
    <row r="97" spans="1:5" x14ac:dyDescent="0.25">
      <c r="A97" s="31"/>
      <c r="B97" s="31"/>
      <c r="C97" s="31"/>
      <c r="D97" s="31"/>
      <c r="E97" s="31"/>
    </row>
    <row r="98" spans="1:5" x14ac:dyDescent="0.25">
      <c r="A98" s="31"/>
      <c r="B98" s="31"/>
      <c r="C98" s="31"/>
      <c r="D98" s="31"/>
      <c r="E98" s="31"/>
    </row>
    <row r="99" spans="1:5" x14ac:dyDescent="0.25">
      <c r="A99" s="31"/>
      <c r="B99" s="165"/>
      <c r="C99" s="31"/>
      <c r="D99" s="31"/>
      <c r="E99" s="31"/>
    </row>
    <row r="100" spans="1:5" x14ac:dyDescent="0.25">
      <c r="A100" s="31"/>
      <c r="B100" s="31"/>
      <c r="C100" s="31"/>
      <c r="D100" s="31"/>
      <c r="E100" s="31"/>
    </row>
    <row r="101" spans="1:5" x14ac:dyDescent="0.25">
      <c r="A101" s="31"/>
      <c r="B101" s="31"/>
      <c r="C101" s="31"/>
      <c r="D101" s="31"/>
      <c r="E101" s="31"/>
    </row>
    <row r="102" spans="1:5" x14ac:dyDescent="0.25">
      <c r="A102" s="31"/>
      <c r="B102" s="31"/>
      <c r="C102" s="31"/>
      <c r="D102" s="31"/>
      <c r="E102" s="31"/>
    </row>
    <row r="103" spans="1:5" x14ac:dyDescent="0.25">
      <c r="A103" s="31"/>
      <c r="B103" s="31"/>
      <c r="C103" s="31"/>
      <c r="D103" s="31"/>
      <c r="E103" s="31"/>
    </row>
  </sheetData>
  <customSheetViews>
    <customSheetView guid="{E7571780-ED88-421E-BB12-D2AF189A0D99}" scale="85">
      <selection activeCell="A2" sqref="A2"/>
      <pageMargins left="0.7" right="0.7" top="0.75" bottom="0.75" header="0.3" footer="0.3"/>
      <pageSetup orientation="portrait" r:id="rId1"/>
    </customSheetView>
    <customSheetView guid="{609F876C-F41A-43C8-BD3D-0455630C6D86}" scale="85">
      <selection activeCell="A2" sqref="A2"/>
      <pageMargins left="0.7" right="0.7" top="0.75" bottom="0.75" header="0.3" footer="0.3"/>
      <pageSetup orientation="portrait" r:id="rId2"/>
    </customSheetView>
    <customSheetView guid="{F5461B2D-C44D-459F-8141-3B434D52A3D6}" scale="85">
      <selection activeCell="A2" sqref="A2"/>
      <pageMargins left="0.7" right="0.7" top="0.75" bottom="0.75" header="0.3" footer="0.3"/>
      <pageSetup orientation="portrait" r:id="rId3"/>
    </customSheetView>
    <customSheetView guid="{BF4A82E8-EC44-4B28-ABE7-07086B055DF8}" scale="85">
      <selection activeCell="A2" sqref="A2"/>
      <pageMargins left="0.7" right="0.7" top="0.75" bottom="0.75" header="0.3" footer="0.3"/>
      <pageSetup orientation="portrait" r:id="rId4"/>
    </customSheetView>
    <customSheetView guid="{F9953651-D17A-4C02-9483-C34B454389F8}" scale="85" topLeftCell="A10">
      <selection activeCell="E27" sqref="E27"/>
      <pageMargins left="0.7" right="0.7" top="0.75" bottom="0.75" header="0.3" footer="0.3"/>
      <pageSetup orientation="portrait" r:id="rId5"/>
    </customSheetView>
    <customSheetView guid="{4081EA0D-9F4E-4F6E-9740-125B98E42AAA}" scale="85" topLeftCell="A7">
      <selection activeCell="A2" sqref="A2"/>
      <pageMargins left="0.7" right="0.7" top="0.75" bottom="0.75" header="0.3" footer="0.3"/>
      <pageSetup orientation="portrait" r:id="rId6"/>
    </customSheetView>
    <customSheetView guid="{568372EE-5594-48E8-AA4D-B2DFAABD6FBE}" scale="85">
      <pageMargins left="0.7" right="0.7" top="0.75" bottom="0.75" header="0.3" footer="0.3"/>
      <pageSetup orientation="portrait" r:id="rId7"/>
    </customSheetView>
    <customSheetView guid="{E6A6C2C1-501F-4FA5-9A65-F097BADC7A88}" scale="75" topLeftCell="G7">
      <selection activeCell="S17" sqref="S17"/>
      <pageMargins left="0.7" right="0.7" top="0.75" bottom="0.75" header="0.3" footer="0.3"/>
      <pageSetup orientation="portrait" r:id="rId8"/>
    </customSheetView>
    <customSheetView guid="{189813C8-BE28-4174-A3B5-1C707449DBD3}" scale="85">
      <selection activeCell="A2" sqref="A2"/>
      <pageMargins left="0.7" right="0.7" top="0.75" bottom="0.75" header="0.3" footer="0.3"/>
      <pageSetup orientation="portrait" r:id="rId9"/>
    </customSheetView>
    <customSheetView guid="{A1D6424A-E1FA-4BDE-9758-50490C40BCC4}" scale="85">
      <selection activeCell="A2" sqref="A2"/>
      <pageMargins left="0.7" right="0.7" top="0.75" bottom="0.75" header="0.3" footer="0.3"/>
      <pageSetup orientation="portrait" r:id="rId10"/>
    </customSheetView>
  </customSheetViews>
  <mergeCells count="34">
    <mergeCell ref="F2:G2"/>
    <mergeCell ref="A5:A10"/>
    <mergeCell ref="G5:G7"/>
    <mergeCell ref="D6:D9"/>
    <mergeCell ref="G8:G12"/>
    <mergeCell ref="D10:D12"/>
    <mergeCell ref="P10:P11"/>
    <mergeCell ref="A11:A14"/>
    <mergeCell ref="P12:P13"/>
    <mergeCell ref="D13:D14"/>
    <mergeCell ref="A15:A18"/>
    <mergeCell ref="G15:G16"/>
    <mergeCell ref="D16:D17"/>
    <mergeCell ref="M16:M17"/>
    <mergeCell ref="G17:G20"/>
    <mergeCell ref="M18:M21"/>
    <mergeCell ref="A19:A24"/>
    <mergeCell ref="D19:D20"/>
    <mergeCell ref="D21:D22"/>
    <mergeCell ref="G21:G24"/>
    <mergeCell ref="T26:T27"/>
    <mergeCell ref="M36:M39"/>
    <mergeCell ref="A25:A28"/>
    <mergeCell ref="G25:G27"/>
    <mergeCell ref="M25:M26"/>
    <mergeCell ref="G28:G31"/>
    <mergeCell ref="G32:G33"/>
    <mergeCell ref="M32:M35"/>
    <mergeCell ref="N30:Q30"/>
    <mergeCell ref="R31:S31"/>
    <mergeCell ref="T31:U31"/>
    <mergeCell ref="N31:O31"/>
    <mergeCell ref="P31:Q31"/>
    <mergeCell ref="R30:U30"/>
  </mergeCells>
  <hyperlinks>
    <hyperlink ref="A1" display="Directory"/>
    <hyperlink ref="A2" display="D9859 Grid"/>
  </hyperlinks>
  <pageMargins left="0.7" right="0.7" top="0.75" bottom="0.75" header="0.3" footer="0.3"/>
  <pageSetup orientation="portrait" r:id="rId1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39"/>
  <sheetViews>
    <sheetView tabSelected="1" topLeftCell="A22" zoomScaleNormal="100" workbookViewId="0">
      <selection activeCell="D40" sqref="D40"/>
    </sheetView>
  </sheetViews>
  <sheetFormatPr defaultRowHeight="13.2" x14ac:dyDescent="0.25"/>
  <cols>
    <col min="1" max="1" width="20.88671875" customWidth="1"/>
    <col min="2" max="2" width="32.6640625" bestFit="1" customWidth="1"/>
    <col min="3" max="3" width="21.109375" customWidth="1"/>
    <col min="4" max="4" width="20.33203125" customWidth="1"/>
    <col min="5" max="5" width="16" bestFit="1" customWidth="1"/>
    <col min="6" max="6" width="13" customWidth="1"/>
    <col min="11" max="11" width="21.109375" bestFit="1" customWidth="1"/>
  </cols>
  <sheetData>
    <row r="1" spans="1:9" x14ac:dyDescent="0.25">
      <c r="A1" s="14" t="s">
        <v>75</v>
      </c>
      <c r="B1" s="7" t="s">
        <v>77</v>
      </c>
      <c r="C1" s="8" t="s">
        <v>76</v>
      </c>
      <c r="D1" s="110" t="s">
        <v>499</v>
      </c>
      <c r="E1" s="148" t="s">
        <v>606</v>
      </c>
      <c r="F1" s="110"/>
      <c r="G1" s="110"/>
      <c r="H1" s="76"/>
      <c r="I1" s="76"/>
    </row>
    <row r="2" spans="1:9" x14ac:dyDescent="0.25">
      <c r="A2" s="10">
        <v>1</v>
      </c>
      <c r="B2" s="40" t="s">
        <v>152</v>
      </c>
      <c r="C2" s="17">
        <v>40207</v>
      </c>
    </row>
    <row r="3" spans="1:9" x14ac:dyDescent="0.25">
      <c r="A3" s="10">
        <v>2</v>
      </c>
      <c r="B3" s="12" t="s">
        <v>182</v>
      </c>
      <c r="C3" s="17">
        <v>40232</v>
      </c>
    </row>
    <row r="4" spans="1:9" x14ac:dyDescent="0.25">
      <c r="A4" s="10">
        <v>3</v>
      </c>
      <c r="B4" s="40" t="s">
        <v>235</v>
      </c>
      <c r="C4" s="17">
        <v>40235</v>
      </c>
    </row>
    <row r="5" spans="1:9" ht="26.4" x14ac:dyDescent="0.25">
      <c r="A5" s="41">
        <v>4</v>
      </c>
      <c r="B5" s="42" t="s">
        <v>294</v>
      </c>
      <c r="C5" s="43">
        <v>40301</v>
      </c>
    </row>
    <row r="6" spans="1:9" x14ac:dyDescent="0.25">
      <c r="A6" s="41">
        <v>5</v>
      </c>
      <c r="B6" s="42" t="s">
        <v>368</v>
      </c>
      <c r="C6" s="43">
        <v>40455</v>
      </c>
    </row>
    <row r="7" spans="1:9" x14ac:dyDescent="0.25">
      <c r="A7" s="41"/>
      <c r="B7" s="42"/>
      <c r="C7" s="43"/>
    </row>
    <row r="8" spans="1:9" ht="13.8" thickBot="1" x14ac:dyDescent="0.3">
      <c r="A8" s="11"/>
      <c r="B8" s="6"/>
      <c r="C8" s="20"/>
      <c r="F8" s="143"/>
    </row>
    <row r="11" spans="1:9" ht="13.8" thickBot="1" x14ac:dyDescent="0.3"/>
    <row r="12" spans="1:9" ht="13.8" thickBot="1" x14ac:dyDescent="0.3">
      <c r="A12" s="127"/>
      <c r="B12" s="134"/>
      <c r="C12" s="643" t="s">
        <v>184</v>
      </c>
      <c r="D12" s="644"/>
      <c r="E12" s="66" t="s">
        <v>295</v>
      </c>
      <c r="F12" t="s">
        <v>659</v>
      </c>
      <c r="G12" s="645"/>
      <c r="H12" s="645"/>
    </row>
    <row r="13" spans="1:9" x14ac:dyDescent="0.25">
      <c r="A13" s="127" t="s">
        <v>122</v>
      </c>
      <c r="B13" s="135" t="s">
        <v>531</v>
      </c>
      <c r="C13" s="1" t="s">
        <v>185</v>
      </c>
      <c r="D13" s="65" t="s">
        <v>192</v>
      </c>
      <c r="E13" s="29" t="s">
        <v>296</v>
      </c>
      <c r="G13" s="31"/>
      <c r="H13" s="31"/>
    </row>
    <row r="14" spans="1:9" x14ac:dyDescent="0.25">
      <c r="A14" s="164">
        <v>1</v>
      </c>
      <c r="B14" s="410" t="str">
        <f>C14 &amp;" ("&amp;D14&amp;")"</f>
        <v>DVB-S : QPSK (3 Msym : 7/8)</v>
      </c>
      <c r="C14" s="411" t="s">
        <v>193</v>
      </c>
      <c r="D14" s="412" t="s">
        <v>200</v>
      </c>
      <c r="E14" s="413">
        <v>4.8380000000000001</v>
      </c>
      <c r="F14" s="143"/>
      <c r="G14" s="165"/>
      <c r="H14" s="165"/>
      <c r="I14" s="143"/>
    </row>
    <row r="15" spans="1:9" x14ac:dyDescent="0.25">
      <c r="A15" s="164">
        <v>2</v>
      </c>
      <c r="B15" s="410" t="str">
        <f t="shared" ref="B15:B37" si="0">C15 &amp;" ("&amp;D15&amp;")"</f>
        <v>DVB-S : QPSK (13.34 Msym : 3/4)</v>
      </c>
      <c r="C15" s="411" t="s">
        <v>193</v>
      </c>
      <c r="D15" s="412" t="s">
        <v>204</v>
      </c>
      <c r="E15" s="413">
        <v>18.440000000000001</v>
      </c>
      <c r="F15" s="143"/>
      <c r="G15" s="165"/>
      <c r="H15" s="165"/>
      <c r="I15" s="143"/>
    </row>
    <row r="16" spans="1:9" x14ac:dyDescent="0.25">
      <c r="A16" s="164">
        <v>3</v>
      </c>
      <c r="B16" s="410" t="str">
        <f t="shared" si="0"/>
        <v>DVB-S : QPSK (28.3465 Msym : 7/8)</v>
      </c>
      <c r="C16" s="411" t="s">
        <v>193</v>
      </c>
      <c r="D16" s="414" t="s">
        <v>198</v>
      </c>
      <c r="E16" s="413">
        <v>45.71</v>
      </c>
      <c r="F16" s="143"/>
      <c r="G16" s="165"/>
      <c r="H16" s="165"/>
      <c r="I16" s="143"/>
    </row>
    <row r="17" spans="1:9" x14ac:dyDescent="0.25">
      <c r="A17" s="164">
        <v>4</v>
      </c>
      <c r="B17" s="410" t="str">
        <f t="shared" si="0"/>
        <v>DVB-S : QPSK (30.5 Msym : 7/8)</v>
      </c>
      <c r="C17" s="411" t="s">
        <v>193</v>
      </c>
      <c r="D17" s="414" t="s">
        <v>197</v>
      </c>
      <c r="E17" s="413">
        <v>48.7</v>
      </c>
      <c r="F17" s="143"/>
      <c r="G17" s="165"/>
      <c r="H17" s="165"/>
      <c r="I17" s="143"/>
    </row>
    <row r="18" spans="1:9" x14ac:dyDescent="0.25">
      <c r="A18" s="164">
        <v>5</v>
      </c>
      <c r="B18" s="410" t="str">
        <f t="shared" si="0"/>
        <v>DVB-S : QPSK (30.8 Msym : 7/8)</v>
      </c>
      <c r="C18" s="411" t="s">
        <v>193</v>
      </c>
      <c r="D18" s="412" t="s">
        <v>199</v>
      </c>
      <c r="E18" s="413">
        <v>49.67</v>
      </c>
      <c r="F18" s="143"/>
      <c r="G18" s="165"/>
      <c r="H18" s="165"/>
      <c r="I18" s="143"/>
    </row>
    <row r="19" spans="1:9" x14ac:dyDescent="0.25">
      <c r="A19" s="164">
        <v>6</v>
      </c>
      <c r="B19" s="410" t="str">
        <f t="shared" si="0"/>
        <v>DVB-S : QPSK (45 Msym : 7/8)</v>
      </c>
      <c r="C19" s="411" t="s">
        <v>193</v>
      </c>
      <c r="D19" s="414" t="s">
        <v>194</v>
      </c>
      <c r="E19" s="413">
        <v>72.572999999999993</v>
      </c>
      <c r="F19" s="143"/>
      <c r="G19" s="165"/>
      <c r="H19" s="165"/>
      <c r="I19" s="143"/>
    </row>
    <row r="20" spans="1:9" x14ac:dyDescent="0.25">
      <c r="A20" s="164">
        <v>7</v>
      </c>
      <c r="B20" s="410" t="str">
        <f t="shared" si="0"/>
        <v>DVB-S2: QPSK (15 Msym : 5/6)</v>
      </c>
      <c r="C20" s="411" t="s">
        <v>195</v>
      </c>
      <c r="D20" s="412" t="s">
        <v>202</v>
      </c>
      <c r="E20" s="413">
        <v>24.228999999999999</v>
      </c>
      <c r="F20" s="143"/>
      <c r="G20" s="165"/>
      <c r="H20" s="165"/>
      <c r="I20" s="143"/>
    </row>
    <row r="21" spans="1:9" x14ac:dyDescent="0.25">
      <c r="A21" s="505">
        <v>8</v>
      </c>
      <c r="B21" s="506" t="str">
        <f t="shared" si="0"/>
        <v>DVB-S2: QPSK (22.5 Msym : 8/9)</v>
      </c>
      <c r="C21" s="507" t="s">
        <v>195</v>
      </c>
      <c r="D21" s="508" t="s">
        <v>205</v>
      </c>
      <c r="E21" s="509">
        <v>38.779000000000003</v>
      </c>
      <c r="F21" s="503"/>
      <c r="G21" s="510"/>
      <c r="H21" s="510"/>
      <c r="I21" s="503"/>
    </row>
    <row r="22" spans="1:9" x14ac:dyDescent="0.25">
      <c r="A22" s="505">
        <v>9</v>
      </c>
      <c r="B22" s="506" t="str">
        <f t="shared" si="0"/>
        <v>DVB-S2: QPSK (30.0 Msym : 5/6)</v>
      </c>
      <c r="C22" s="507" t="s">
        <v>195</v>
      </c>
      <c r="D22" s="508" t="s">
        <v>203</v>
      </c>
      <c r="E22" s="509">
        <v>48.459000000000003</v>
      </c>
      <c r="F22" s="503"/>
      <c r="G22" s="510"/>
      <c r="H22" s="510"/>
      <c r="I22" s="503"/>
    </row>
    <row r="23" spans="1:9" x14ac:dyDescent="0.25">
      <c r="A23" s="505">
        <v>10</v>
      </c>
      <c r="B23" s="506" t="str">
        <f t="shared" si="0"/>
        <v>DVB-S2: QPSK (30.0 Msym : 9/10)</v>
      </c>
      <c r="C23" s="507" t="s">
        <v>195</v>
      </c>
      <c r="D23" s="508" t="s">
        <v>201</v>
      </c>
      <c r="E23" s="509">
        <v>52.381</v>
      </c>
      <c r="F23" s="503"/>
      <c r="G23" s="510"/>
      <c r="H23" s="510"/>
      <c r="I23" s="503"/>
    </row>
    <row r="24" spans="1:9" x14ac:dyDescent="0.25">
      <c r="A24" s="164">
        <v>11</v>
      </c>
      <c r="B24" s="410" t="str">
        <f t="shared" si="0"/>
        <v>DVB-S2: 8PSK (15 Msym : 5/6)</v>
      </c>
      <c r="C24" s="411" t="s">
        <v>196</v>
      </c>
      <c r="D24" s="412" t="s">
        <v>202</v>
      </c>
      <c r="E24" s="413">
        <v>36.334000000000003</v>
      </c>
      <c r="F24" s="143"/>
      <c r="G24" s="165"/>
      <c r="H24" s="165"/>
      <c r="I24" s="143"/>
    </row>
    <row r="25" spans="1:9" x14ac:dyDescent="0.25">
      <c r="A25" s="164">
        <v>12</v>
      </c>
      <c r="B25" s="410" t="str">
        <f t="shared" si="0"/>
        <v>DVB-S2: 8PSK (22.5 Msym : 8/9)</v>
      </c>
      <c r="C25" s="411" t="s">
        <v>196</v>
      </c>
      <c r="D25" s="412" t="s">
        <v>205</v>
      </c>
      <c r="E25" s="413">
        <v>58.482999999999997</v>
      </c>
      <c r="F25" s="143"/>
      <c r="G25" s="165"/>
      <c r="H25" s="165"/>
      <c r="I25" s="143"/>
    </row>
    <row r="26" spans="1:9" x14ac:dyDescent="0.25">
      <c r="A26" s="505">
        <v>13</v>
      </c>
      <c r="B26" s="506" t="str">
        <f t="shared" si="0"/>
        <v>DVB-S2: 8PSK (30.0 Msym : 5/6)</v>
      </c>
      <c r="C26" s="507" t="s">
        <v>196</v>
      </c>
      <c r="D26" s="508" t="s">
        <v>203</v>
      </c>
      <c r="E26" s="509">
        <v>72.668000000000006</v>
      </c>
      <c r="F26" s="503"/>
      <c r="G26" s="510"/>
      <c r="H26" s="510"/>
      <c r="I26" s="503"/>
    </row>
    <row r="27" spans="1:9" ht="13.8" thickBot="1" x14ac:dyDescent="0.3">
      <c r="A27" s="511">
        <v>14</v>
      </c>
      <c r="B27" s="506" t="str">
        <f t="shared" si="0"/>
        <v>DVB-S2: 8PSK (30.0 Msym : 9/10)</v>
      </c>
      <c r="C27" s="507" t="s">
        <v>196</v>
      </c>
      <c r="D27" s="508" t="s">
        <v>201</v>
      </c>
      <c r="E27" s="512">
        <v>78.551000000000002</v>
      </c>
      <c r="F27" s="503"/>
      <c r="G27" s="513"/>
      <c r="H27" s="513"/>
      <c r="I27" s="503"/>
    </row>
    <row r="28" spans="1:9" x14ac:dyDescent="0.25">
      <c r="A28" s="166">
        <v>15</v>
      </c>
      <c r="B28" s="167" t="str">
        <f t="shared" si="0"/>
        <v>ASI: 188 Byte (68.5)</v>
      </c>
      <c r="C28" s="168" t="s">
        <v>366</v>
      </c>
      <c r="D28" s="169">
        <v>68.5</v>
      </c>
      <c r="E28" s="153"/>
      <c r="F28" s="153"/>
      <c r="G28" s="170"/>
      <c r="H28" s="170"/>
      <c r="I28" s="153"/>
    </row>
    <row r="29" spans="1:9" x14ac:dyDescent="0.25">
      <c r="A29" s="164">
        <v>16</v>
      </c>
      <c r="B29" s="410" t="str">
        <f t="shared" si="0"/>
        <v>ASI: 188 Packet (68.5)</v>
      </c>
      <c r="C29" s="411" t="s">
        <v>186</v>
      </c>
      <c r="D29" s="417">
        <v>68.5</v>
      </c>
      <c r="E29" s="143"/>
      <c r="F29" s="143"/>
      <c r="G29" s="165"/>
      <c r="H29" s="165"/>
      <c r="I29" s="143"/>
    </row>
    <row r="30" spans="1:9" x14ac:dyDescent="0.25">
      <c r="A30" s="166">
        <v>17</v>
      </c>
      <c r="B30" s="167" t="str">
        <f t="shared" si="0"/>
        <v>ASI: 188 Byte (80)</v>
      </c>
      <c r="C30" s="168" t="s">
        <v>366</v>
      </c>
      <c r="D30" s="169">
        <v>80</v>
      </c>
      <c r="E30" s="153"/>
      <c r="F30" s="153"/>
      <c r="G30" s="170"/>
      <c r="H30" s="170"/>
      <c r="I30" s="153"/>
    </row>
    <row r="31" spans="1:9" x14ac:dyDescent="0.25">
      <c r="A31" s="166">
        <v>18</v>
      </c>
      <c r="B31" s="167" t="str">
        <f t="shared" si="0"/>
        <v>ASI: 188 Byte (105)</v>
      </c>
      <c r="C31" s="168" t="s">
        <v>366</v>
      </c>
      <c r="D31" s="169">
        <v>105</v>
      </c>
      <c r="E31" s="153"/>
      <c r="F31" s="153"/>
      <c r="G31" s="170"/>
      <c r="H31" s="170"/>
      <c r="I31" s="153"/>
    </row>
    <row r="32" spans="1:9" x14ac:dyDescent="0.25">
      <c r="A32" s="164">
        <v>19</v>
      </c>
      <c r="B32" s="410" t="str">
        <f t="shared" si="0"/>
        <v>ASI: 188 Packet (200)</v>
      </c>
      <c r="C32" s="411" t="s">
        <v>186</v>
      </c>
      <c r="D32" s="417">
        <v>200</v>
      </c>
      <c r="E32" s="143"/>
      <c r="F32" s="143"/>
      <c r="G32" s="165"/>
      <c r="H32" s="165"/>
      <c r="I32" s="143"/>
    </row>
    <row r="33" spans="1:9" ht="13.8" thickBot="1" x14ac:dyDescent="0.3">
      <c r="A33" s="415">
        <v>20</v>
      </c>
      <c r="B33" s="410" t="str">
        <f t="shared" si="0"/>
        <v>ASI: 204 Byte (200)</v>
      </c>
      <c r="C33" s="418" t="s">
        <v>367</v>
      </c>
      <c r="D33" s="419">
        <v>200</v>
      </c>
      <c r="E33" s="143"/>
      <c r="F33" s="143"/>
      <c r="G33" s="165"/>
      <c r="H33" s="165"/>
      <c r="I33" s="143"/>
    </row>
    <row r="34" spans="1:9" ht="13.8" thickBot="1" x14ac:dyDescent="0.3">
      <c r="A34" s="377">
        <v>21</v>
      </c>
      <c r="B34" s="378" t="str">
        <f t="shared" si="0"/>
        <v>MoIP (SPTS)</v>
      </c>
      <c r="C34" s="379" t="s">
        <v>582</v>
      </c>
      <c r="D34" s="255" t="s">
        <v>188</v>
      </c>
      <c r="E34" s="380">
        <v>15</v>
      </c>
      <c r="F34" s="258"/>
      <c r="G34" s="381"/>
      <c r="H34" s="381"/>
      <c r="I34" s="258"/>
    </row>
    <row r="35" spans="1:9" ht="13.8" thickBot="1" x14ac:dyDescent="0.3">
      <c r="A35" s="377">
        <v>22</v>
      </c>
      <c r="B35" s="378" t="str">
        <f t="shared" si="0"/>
        <v>MoIP (SPTS w. FEC)</v>
      </c>
      <c r="C35" s="379" t="s">
        <v>582</v>
      </c>
      <c r="D35" s="255" t="s">
        <v>190</v>
      </c>
      <c r="E35" s="380">
        <v>30</v>
      </c>
      <c r="F35" s="258"/>
      <c r="G35" s="382"/>
      <c r="H35" s="382"/>
      <c r="I35" s="258"/>
    </row>
    <row r="36" spans="1:9" ht="13.8" thickBot="1" x14ac:dyDescent="0.3">
      <c r="A36" s="377">
        <v>23</v>
      </c>
      <c r="B36" s="378" t="str">
        <f t="shared" si="0"/>
        <v>MoIP (MPTS)</v>
      </c>
      <c r="C36" s="379" t="s">
        <v>582</v>
      </c>
      <c r="D36" s="255" t="s">
        <v>189</v>
      </c>
      <c r="E36" s="380">
        <v>68.5</v>
      </c>
      <c r="F36" s="258"/>
      <c r="G36" s="382"/>
      <c r="H36" s="382"/>
      <c r="I36" s="258"/>
    </row>
    <row r="37" spans="1:9" ht="13.8" thickBot="1" x14ac:dyDescent="0.3">
      <c r="A37" s="383">
        <v>24</v>
      </c>
      <c r="B37" s="378" t="str">
        <f t="shared" si="0"/>
        <v>MoIP (MPTS w. FEC)</v>
      </c>
      <c r="C37" s="379" t="s">
        <v>582</v>
      </c>
      <c r="D37" s="384" t="s">
        <v>191</v>
      </c>
      <c r="E37" s="385">
        <v>200</v>
      </c>
      <c r="F37" s="258"/>
      <c r="G37" s="258"/>
      <c r="H37" s="258"/>
      <c r="I37" s="258"/>
    </row>
    <row r="38" spans="1:9" x14ac:dyDescent="0.25">
      <c r="A38" s="505">
        <v>25</v>
      </c>
      <c r="B38" s="506" t="str">
        <f t="shared" ref="B38" si="1">C38 &amp;" ("&amp;D38&amp;")"</f>
        <v>DVB-S2: QPSK (31.0 Msym : 9/10)</v>
      </c>
      <c r="C38" s="507" t="s">
        <v>195</v>
      </c>
      <c r="D38" s="508" t="s">
        <v>762</v>
      </c>
      <c r="E38" s="509"/>
      <c r="F38" s="143"/>
      <c r="G38" s="143"/>
      <c r="H38" s="143"/>
      <c r="I38" s="143"/>
    </row>
    <row r="39" spans="1:9" x14ac:dyDescent="0.25">
      <c r="A39" s="505">
        <v>26</v>
      </c>
      <c r="B39" s="506" t="str">
        <f>C39 &amp;" ("&amp;D39&amp;")"</f>
        <v>DVB-S2: QPSK (31.3266 Msym : 9/10)</v>
      </c>
      <c r="C39" s="507" t="s">
        <v>195</v>
      </c>
      <c r="D39" s="508" t="s">
        <v>763</v>
      </c>
      <c r="E39" s="509"/>
      <c r="F39" s="143"/>
      <c r="G39" s="143"/>
      <c r="H39" s="143"/>
      <c r="I39" s="143"/>
    </row>
  </sheetData>
  <customSheetViews>
    <customSheetView guid="{E7571780-ED88-421E-BB12-D2AF189A0D99}" topLeftCell="A13">
      <selection activeCell="F20" sqref="F20"/>
      <pageMargins left="0.75" right="0.75" top="1" bottom="1" header="0.5" footer="0.5"/>
      <headerFooter alignWithMargins="0"/>
    </customSheetView>
    <customSheetView guid="{609F876C-F41A-43C8-BD3D-0455630C6D86}" topLeftCell="A13">
      <selection activeCell="F20" sqref="F20"/>
      <pageMargins left="0.75" right="0.75" top="1" bottom="1" header="0.5" footer="0.5"/>
      <headerFooter alignWithMargins="0"/>
    </customSheetView>
    <customSheetView guid="{F5461B2D-C44D-459F-8141-3B434D52A3D6}" topLeftCell="A10">
      <selection activeCell="F20" sqref="F20"/>
      <pageMargins left="0.75" right="0.75" top="1" bottom="1" header="0.5" footer="0.5"/>
      <headerFooter alignWithMargins="0"/>
    </customSheetView>
    <customSheetView guid="{BF4A82E8-EC44-4B28-ABE7-07086B055DF8}">
      <selection activeCell="F20" sqref="F20"/>
      <pageMargins left="0.75" right="0.75" top="1" bottom="1" header="0.5" footer="0.5"/>
      <headerFooter alignWithMargins="0"/>
    </customSheetView>
    <customSheetView guid="{F9953651-D17A-4C02-9483-C34B454389F8}" topLeftCell="A19">
      <selection activeCell="D1" sqref="D1"/>
      <pageMargins left="0.75" right="0.75" top="1" bottom="1" header="0.5" footer="0.5"/>
      <headerFooter alignWithMargins="0"/>
    </customSheetView>
    <customSheetView guid="{4081EA0D-9F4E-4F6E-9740-125B98E42AAA}">
      <selection activeCell="D1" sqref="D1"/>
      <pageMargins left="0.75" right="0.75" top="1" bottom="1" header="0.5" footer="0.5"/>
      <headerFooter alignWithMargins="0"/>
    </customSheetView>
    <customSheetView guid="{568372EE-5594-48E8-AA4D-B2DFAABD6FBE}">
      <selection activeCell="E1" sqref="E1"/>
      <pageMargins left="0.75" right="0.75" top="1" bottom="1" header="0.5" footer="0.5"/>
      <headerFooter alignWithMargins="0"/>
    </customSheetView>
    <customSheetView guid="{0C14E275-67BD-4894-92C8-CC979B55C5D1}">
      <selection activeCell="D1" sqref="D1"/>
      <pageMargins left="0.75" right="0.75" top="1" bottom="1" header="0.5" footer="0.5"/>
      <headerFooter alignWithMargins="0"/>
    </customSheetView>
    <customSheetView guid="{E04D4D10-73E7-40D1-833B-CE4AC2EB45A8}">
      <selection activeCell="D1" sqref="D1"/>
      <pageMargins left="0.75" right="0.75" top="1" bottom="1" header="0.5" footer="0.5"/>
      <headerFooter alignWithMargins="0"/>
    </customSheetView>
    <customSheetView guid="{E6A6C2C1-501F-4FA5-9A65-F097BADC7A88}" topLeftCell="A25">
      <selection activeCell="E55" sqref="E55"/>
      <pageMargins left="0.75" right="0.75" top="1" bottom="1" header="0.5" footer="0.5"/>
      <headerFooter alignWithMargins="0"/>
    </customSheetView>
    <customSheetView guid="{189813C8-BE28-4174-A3B5-1C707449DBD3}">
      <selection activeCell="D1" sqref="D1"/>
      <pageMargins left="0.75" right="0.75" top="1" bottom="1" header="0.5" footer="0.5"/>
      <headerFooter alignWithMargins="0"/>
    </customSheetView>
    <customSheetView guid="{A1D6424A-E1FA-4BDE-9758-50490C40BCC4}">
      <selection activeCell="D1" sqref="D1"/>
      <pageMargins left="0.75" right="0.75" top="1" bottom="1" header="0.5" footer="0.5"/>
      <headerFooter alignWithMargins="0"/>
    </customSheetView>
  </customSheetViews>
  <mergeCells count="2">
    <mergeCell ref="C12:D12"/>
    <mergeCell ref="G12:H12"/>
  </mergeCells>
  <phoneticPr fontId="17" type="noConversion"/>
  <hyperlinks>
    <hyperlink ref="D1" display="Directory"/>
    <hyperlink ref="E1" display="D9859 Scoreboard"/>
  </hyperlinks>
  <pageMargins left="0.75" right="0.75" top="1" bottom="1" header="0.5" footer="0.5"/>
  <headerFooter alignWithMargins="0"/>
  <drawing r:id="rId1"/>
  <legacyDrawing r:id="rId2"/>
  <controls>
    <mc:AlternateContent xmlns:mc="http://schemas.openxmlformats.org/markup-compatibility/2006">
      <mc:Choice Requires="x14">
        <control shapeId="11265" r:id="rId3" name="CommandButton1">
          <controlPr defaultSize="0" autoLine="0" r:id="rId4">
            <anchor moveWithCells="1">
              <from>
                <xdr:col>7</xdr:col>
                <xdr:colOff>7620</xdr:colOff>
                <xdr:row>1</xdr:row>
                <xdr:rowOff>60960</xdr:rowOff>
              </from>
              <to>
                <xdr:col>10</xdr:col>
                <xdr:colOff>1203960</xdr:colOff>
                <xdr:row>4</xdr:row>
                <xdr:rowOff>190500</xdr:rowOff>
              </to>
            </anchor>
          </controlPr>
        </control>
      </mc:Choice>
      <mc:Fallback>
        <control shapeId="11265"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P60"/>
  <sheetViews>
    <sheetView zoomScaleNormal="75" workbookViewId="0">
      <selection activeCell="E1" sqref="E1"/>
    </sheetView>
  </sheetViews>
  <sheetFormatPr defaultRowHeight="13.2" x14ac:dyDescent="0.25"/>
  <cols>
    <col min="2" max="2" width="26" customWidth="1"/>
    <col min="3" max="3" width="18.5546875" customWidth="1"/>
    <col min="4" max="4" width="8.88671875" customWidth="1"/>
    <col min="5" max="5" width="12" customWidth="1"/>
    <col min="6" max="6" width="5.109375" bestFit="1" customWidth="1"/>
    <col min="7" max="7" width="54" bestFit="1" customWidth="1"/>
    <col min="8" max="8" width="18.109375" customWidth="1"/>
  </cols>
  <sheetData>
    <row r="1" spans="1:16" x14ac:dyDescent="0.25">
      <c r="A1" s="110" t="s">
        <v>499</v>
      </c>
      <c r="B1" s="14" t="s">
        <v>75</v>
      </c>
      <c r="C1" s="7" t="s">
        <v>77</v>
      </c>
      <c r="D1" s="16" t="s">
        <v>76</v>
      </c>
      <c r="E1" s="148" t="s">
        <v>606</v>
      </c>
      <c r="F1" s="111"/>
      <c r="G1" s="110"/>
      <c r="H1" s="76"/>
    </row>
    <row r="2" spans="1:16" x14ac:dyDescent="0.25">
      <c r="B2" s="10">
        <v>1</v>
      </c>
      <c r="C2" s="5" t="s">
        <v>152</v>
      </c>
      <c r="D2" s="17">
        <v>40207</v>
      </c>
      <c r="E2" s="25"/>
      <c r="F2" s="25"/>
    </row>
    <row r="3" spans="1:16" x14ac:dyDescent="0.25">
      <c r="B3" s="10">
        <v>2</v>
      </c>
      <c r="C3" s="12" t="s">
        <v>182</v>
      </c>
      <c r="D3" s="17">
        <v>40232</v>
      </c>
      <c r="E3" s="24"/>
      <c r="F3" s="24"/>
    </row>
    <row r="4" spans="1:16" x14ac:dyDescent="0.25">
      <c r="B4" s="10">
        <v>3</v>
      </c>
      <c r="C4" s="5" t="s">
        <v>492</v>
      </c>
      <c r="D4" s="17">
        <v>40918</v>
      </c>
      <c r="E4" s="24"/>
      <c r="F4" s="24"/>
    </row>
    <row r="5" spans="1:16" x14ac:dyDescent="0.25">
      <c r="B5" s="10">
        <v>4</v>
      </c>
      <c r="C5" s="5" t="s">
        <v>492</v>
      </c>
      <c r="D5" s="17">
        <v>40940</v>
      </c>
      <c r="E5" s="24"/>
      <c r="F5" s="24"/>
    </row>
    <row r="6" spans="1:16" ht="13.8" thickBot="1" x14ac:dyDescent="0.3">
      <c r="B6" s="11"/>
      <c r="C6" s="6"/>
      <c r="D6" s="20"/>
      <c r="E6" s="24"/>
      <c r="F6" s="24"/>
    </row>
    <row r="7" spans="1:16" x14ac:dyDescent="0.25">
      <c r="A7" s="21"/>
      <c r="B7" s="21"/>
    </row>
    <row r="8" spans="1:16" ht="13.8" thickBot="1" x14ac:dyDescent="0.3">
      <c r="F8" s="143"/>
    </row>
    <row r="9" spans="1:16" ht="13.8" thickBot="1" x14ac:dyDescent="0.3">
      <c r="A9" s="38" t="s">
        <v>122</v>
      </c>
      <c r="B9" s="34" t="s">
        <v>153</v>
      </c>
      <c r="C9" s="35" t="s">
        <v>154</v>
      </c>
      <c r="D9" s="37" t="s">
        <v>155</v>
      </c>
      <c r="E9" s="36" t="s">
        <v>156</v>
      </c>
      <c r="F9" s="37" t="s">
        <v>157</v>
      </c>
      <c r="G9" s="35" t="s">
        <v>158</v>
      </c>
      <c r="H9" s="39" t="s">
        <v>183</v>
      </c>
      <c r="I9" s="235" t="s">
        <v>340</v>
      </c>
      <c r="J9" s="32"/>
      <c r="K9" s="32"/>
      <c r="L9" s="32"/>
      <c r="M9" s="32"/>
      <c r="N9" s="32"/>
      <c r="O9" s="32"/>
      <c r="P9" s="32"/>
    </row>
    <row r="10" spans="1:16" ht="13.8" thickBot="1" x14ac:dyDescent="0.3">
      <c r="A10" s="420">
        <v>1</v>
      </c>
      <c r="B10" s="421" t="s">
        <v>5</v>
      </c>
      <c r="C10" s="422" t="s">
        <v>174</v>
      </c>
      <c r="D10" s="177"/>
      <c r="E10" s="178"/>
      <c r="F10" s="177"/>
      <c r="G10" s="423" t="s">
        <v>177</v>
      </c>
      <c r="H10" s="424"/>
      <c r="I10" s="143" t="s">
        <v>344</v>
      </c>
      <c r="J10" s="143"/>
      <c r="K10" s="143"/>
      <c r="L10" s="143"/>
      <c r="M10" s="143"/>
      <c r="N10" s="143"/>
      <c r="O10" s="143"/>
      <c r="P10" s="143"/>
    </row>
    <row r="11" spans="1:16" ht="13.8" thickBot="1" x14ac:dyDescent="0.3">
      <c r="A11" s="171">
        <v>2</v>
      </c>
      <c r="B11" s="425" t="s">
        <v>180</v>
      </c>
      <c r="C11" s="426" t="s">
        <v>159</v>
      </c>
      <c r="D11" s="319" t="s">
        <v>24</v>
      </c>
      <c r="E11" s="651" t="s">
        <v>160</v>
      </c>
      <c r="F11" s="427" t="s">
        <v>161</v>
      </c>
      <c r="G11" s="428" t="s">
        <v>162</v>
      </c>
      <c r="H11" s="413"/>
      <c r="I11" s="165" t="s">
        <v>343</v>
      </c>
      <c r="J11" s="165"/>
      <c r="K11" s="165"/>
      <c r="L11" s="165"/>
      <c r="M11" s="165"/>
      <c r="N11" s="165"/>
      <c r="O11" s="165"/>
      <c r="P11" s="165"/>
    </row>
    <row r="12" spans="1:16" ht="13.8" thickBot="1" x14ac:dyDescent="0.3">
      <c r="A12" s="171">
        <v>3</v>
      </c>
      <c r="B12" s="425" t="s">
        <v>180</v>
      </c>
      <c r="C12" s="648" t="s">
        <v>164</v>
      </c>
      <c r="D12" s="648" t="s">
        <v>19</v>
      </c>
      <c r="E12" s="652"/>
      <c r="F12" s="420" t="s">
        <v>163</v>
      </c>
      <c r="G12" s="646" t="s">
        <v>162</v>
      </c>
      <c r="H12" s="413"/>
      <c r="I12" s="165" t="s">
        <v>341</v>
      </c>
      <c r="J12" s="165"/>
      <c r="K12" s="165"/>
      <c r="L12" s="165"/>
      <c r="M12" s="165"/>
      <c r="N12" s="165"/>
      <c r="O12" s="165"/>
      <c r="P12" s="165"/>
    </row>
    <row r="13" spans="1:16" ht="13.8" thickBot="1" x14ac:dyDescent="0.3">
      <c r="A13" s="172">
        <v>4</v>
      </c>
      <c r="B13" s="173" t="s">
        <v>180</v>
      </c>
      <c r="C13" s="649"/>
      <c r="D13" s="649"/>
      <c r="E13" s="174" t="s">
        <v>165</v>
      </c>
      <c r="F13" s="175" t="s">
        <v>161</v>
      </c>
      <c r="G13" s="647"/>
      <c r="H13" s="176"/>
      <c r="I13" s="170"/>
      <c r="J13" s="170"/>
      <c r="K13" s="170"/>
      <c r="L13" s="170"/>
      <c r="M13" s="170"/>
      <c r="N13" s="170"/>
      <c r="O13" s="170"/>
      <c r="P13" s="170"/>
    </row>
    <row r="14" spans="1:16" s="236" customFormat="1" ht="13.8" thickBot="1" x14ac:dyDescent="0.3">
      <c r="A14" s="238">
        <v>5</v>
      </c>
      <c r="B14" s="239" t="s">
        <v>180</v>
      </c>
      <c r="C14" s="240" t="s">
        <v>1</v>
      </c>
      <c r="D14" s="241"/>
      <c r="E14" s="242"/>
      <c r="F14" s="243"/>
      <c r="G14" s="244" t="s">
        <v>166</v>
      </c>
      <c r="H14" s="245"/>
      <c r="I14" s="246" t="s">
        <v>643</v>
      </c>
      <c r="J14" s="246"/>
      <c r="K14" s="246"/>
      <c r="L14" s="246"/>
      <c r="M14" s="246"/>
      <c r="N14" s="246"/>
      <c r="O14" s="246"/>
      <c r="P14" s="246"/>
    </row>
    <row r="15" spans="1:16" ht="13.8" thickBot="1" x14ac:dyDescent="0.3">
      <c r="A15" s="171">
        <v>6</v>
      </c>
      <c r="B15" s="425" t="s">
        <v>179</v>
      </c>
      <c r="C15" s="652" t="s">
        <v>159</v>
      </c>
      <c r="D15" s="420" t="s">
        <v>24</v>
      </c>
      <c r="E15" s="648" t="s">
        <v>160</v>
      </c>
      <c r="F15" s="427" t="s">
        <v>163</v>
      </c>
      <c r="G15" s="428" t="s">
        <v>167</v>
      </c>
      <c r="H15" s="413"/>
      <c r="I15" s="143" t="s">
        <v>345</v>
      </c>
      <c r="J15" s="165"/>
      <c r="K15" s="165"/>
      <c r="L15" s="165"/>
      <c r="M15" s="165"/>
      <c r="N15" s="165"/>
      <c r="O15" s="165"/>
      <c r="P15" s="165"/>
    </row>
    <row r="16" spans="1:16" ht="13.8" thickBot="1" x14ac:dyDescent="0.3">
      <c r="A16" s="171">
        <v>7</v>
      </c>
      <c r="B16" s="425" t="s">
        <v>179</v>
      </c>
      <c r="C16" s="652"/>
      <c r="D16" s="429" t="s">
        <v>19</v>
      </c>
      <c r="E16" s="650"/>
      <c r="F16" s="430" t="s">
        <v>161</v>
      </c>
      <c r="G16" s="431" t="s">
        <v>162</v>
      </c>
      <c r="H16" s="413"/>
      <c r="I16" s="165" t="s">
        <v>342</v>
      </c>
      <c r="J16" s="165"/>
      <c r="K16" s="165"/>
      <c r="L16" s="165"/>
      <c r="M16" s="165"/>
      <c r="N16" s="165"/>
      <c r="O16" s="165"/>
      <c r="P16" s="165"/>
    </row>
    <row r="17" spans="1:16" s="236" customFormat="1" ht="13.8" thickBot="1" x14ac:dyDescent="0.3">
      <c r="A17" s="238">
        <v>8</v>
      </c>
      <c r="B17" s="239" t="s">
        <v>179</v>
      </c>
      <c r="C17" s="247" t="s">
        <v>1</v>
      </c>
      <c r="D17" s="240"/>
      <c r="E17" s="242"/>
      <c r="F17" s="240"/>
      <c r="G17" s="248" t="s">
        <v>166</v>
      </c>
      <c r="H17" s="245"/>
      <c r="I17" s="246" t="s">
        <v>643</v>
      </c>
      <c r="J17" s="246"/>
      <c r="K17" s="246"/>
      <c r="L17" s="246"/>
      <c r="M17" s="246"/>
      <c r="N17" s="246"/>
      <c r="O17" s="246"/>
      <c r="P17" s="246"/>
    </row>
    <row r="18" spans="1:16" ht="13.8" thickBot="1" x14ac:dyDescent="0.3">
      <c r="A18" s="171">
        <v>9</v>
      </c>
      <c r="B18" s="425" t="s">
        <v>168</v>
      </c>
      <c r="C18" s="422" t="s">
        <v>169</v>
      </c>
      <c r="D18" s="177"/>
      <c r="E18" s="178"/>
      <c r="F18" s="177"/>
      <c r="G18" s="423" t="s">
        <v>170</v>
      </c>
      <c r="H18" s="413"/>
      <c r="I18" s="165"/>
      <c r="J18" s="165"/>
      <c r="K18" s="165"/>
      <c r="L18" s="165"/>
      <c r="M18" s="165"/>
      <c r="N18" s="165"/>
      <c r="O18" s="165"/>
      <c r="P18" s="165"/>
    </row>
    <row r="19" spans="1:16" ht="13.8" thickBot="1" x14ac:dyDescent="0.3">
      <c r="A19" s="171">
        <v>10</v>
      </c>
      <c r="B19" s="425" t="s">
        <v>168</v>
      </c>
      <c r="C19" s="422" t="s">
        <v>1</v>
      </c>
      <c r="D19" s="177"/>
      <c r="E19" s="178"/>
      <c r="F19" s="177"/>
      <c r="G19" s="423" t="s">
        <v>171</v>
      </c>
      <c r="H19" s="413"/>
      <c r="I19" s="165"/>
      <c r="J19" s="165"/>
      <c r="K19" s="165"/>
      <c r="L19" s="165"/>
      <c r="M19" s="165"/>
      <c r="N19" s="165"/>
      <c r="O19" s="165"/>
      <c r="P19" s="165"/>
    </row>
    <row r="20" spans="1:16" ht="13.8" thickBot="1" x14ac:dyDescent="0.3">
      <c r="A20" s="171">
        <v>11</v>
      </c>
      <c r="B20" s="421" t="s">
        <v>172</v>
      </c>
      <c r="C20" s="432" t="s">
        <v>169</v>
      </c>
      <c r="D20" s="433"/>
      <c r="E20" s="434"/>
      <c r="F20" s="433"/>
      <c r="G20" s="435" t="s">
        <v>170</v>
      </c>
      <c r="H20" s="413"/>
      <c r="I20" s="165"/>
      <c r="J20" s="165"/>
      <c r="K20" s="165"/>
      <c r="L20" s="165"/>
      <c r="M20" s="165"/>
      <c r="N20" s="165"/>
      <c r="O20" s="165"/>
      <c r="P20" s="165"/>
    </row>
    <row r="21" spans="1:16" ht="13.8" thickBot="1" x14ac:dyDescent="0.3">
      <c r="A21" s="172">
        <v>12</v>
      </c>
      <c r="B21" s="173" t="s">
        <v>173</v>
      </c>
      <c r="C21" s="179" t="s">
        <v>174</v>
      </c>
      <c r="D21" s="180"/>
      <c r="E21" s="181"/>
      <c r="F21" s="180"/>
      <c r="G21" s="182" t="s">
        <v>175</v>
      </c>
      <c r="H21" s="176" t="s">
        <v>497</v>
      </c>
      <c r="I21" s="170"/>
      <c r="J21" s="170"/>
      <c r="K21" s="170"/>
      <c r="L21" s="170"/>
      <c r="M21" s="170"/>
      <c r="N21" s="170"/>
      <c r="O21" s="170"/>
      <c r="P21" s="170"/>
    </row>
    <row r="22" spans="1:16" ht="13.8" thickBot="1" x14ac:dyDescent="0.3">
      <c r="A22" s="172">
        <v>13</v>
      </c>
      <c r="B22" s="173" t="s">
        <v>173</v>
      </c>
      <c r="C22" s="183" t="s">
        <v>174</v>
      </c>
      <c r="D22" s="386"/>
      <c r="E22" s="183"/>
      <c r="F22" s="386"/>
      <c r="G22" s="184" t="s">
        <v>176</v>
      </c>
      <c r="H22" s="176" t="s">
        <v>498</v>
      </c>
      <c r="I22" s="153"/>
      <c r="J22" s="153"/>
      <c r="K22" s="153"/>
      <c r="L22" s="153"/>
      <c r="M22" s="153"/>
      <c r="N22" s="153"/>
      <c r="O22" s="153"/>
      <c r="P22" s="153"/>
    </row>
    <row r="23" spans="1:16" ht="13.8" thickBot="1" x14ac:dyDescent="0.3">
      <c r="A23" s="175">
        <v>14</v>
      </c>
      <c r="B23" s="185" t="s">
        <v>178</v>
      </c>
      <c r="C23" s="183" t="s">
        <v>1</v>
      </c>
      <c r="D23" s="386"/>
      <c r="E23" s="183"/>
      <c r="F23" s="386"/>
      <c r="G23" s="184" t="s">
        <v>181</v>
      </c>
      <c r="H23" s="186" t="s">
        <v>498</v>
      </c>
      <c r="I23" s="153"/>
      <c r="J23" s="153"/>
      <c r="K23" s="153"/>
      <c r="L23" s="153"/>
      <c r="M23" s="153"/>
      <c r="N23" s="153"/>
      <c r="O23" s="153"/>
      <c r="P23" s="153"/>
    </row>
    <row r="24" spans="1:16" ht="13.8" thickBot="1" x14ac:dyDescent="0.3">
      <c r="A24" s="171">
        <v>15</v>
      </c>
      <c r="B24" s="425" t="s">
        <v>180</v>
      </c>
      <c r="C24" s="648" t="s">
        <v>493</v>
      </c>
      <c r="D24" s="648" t="s">
        <v>24</v>
      </c>
      <c r="E24" s="651" t="s">
        <v>160</v>
      </c>
      <c r="F24" s="427" t="s">
        <v>163</v>
      </c>
      <c r="G24" s="428" t="s">
        <v>162</v>
      </c>
      <c r="H24" s="413"/>
      <c r="I24" s="165" t="s">
        <v>494</v>
      </c>
      <c r="J24" s="165"/>
      <c r="K24" s="165"/>
      <c r="L24" s="165"/>
      <c r="M24" s="165"/>
      <c r="N24" s="165"/>
      <c r="O24" s="165"/>
      <c r="P24" s="165"/>
    </row>
    <row r="25" spans="1:16" ht="13.8" thickBot="1" x14ac:dyDescent="0.3">
      <c r="A25" s="171">
        <v>16</v>
      </c>
      <c r="B25" s="425" t="s">
        <v>180</v>
      </c>
      <c r="C25" s="654"/>
      <c r="D25" s="654"/>
      <c r="E25" s="652"/>
      <c r="F25" s="420" t="s">
        <v>161</v>
      </c>
      <c r="G25" s="436" t="s">
        <v>162</v>
      </c>
      <c r="H25" s="413"/>
      <c r="I25" s="165"/>
      <c r="J25" s="165"/>
      <c r="K25" s="165"/>
      <c r="L25" s="165"/>
      <c r="M25" s="165"/>
      <c r="N25" s="165"/>
      <c r="O25" s="165"/>
      <c r="P25" s="165"/>
    </row>
    <row r="26" spans="1:16" ht="13.8" thickBot="1" x14ac:dyDescent="0.3">
      <c r="A26" s="171">
        <v>17</v>
      </c>
      <c r="B26" s="425" t="s">
        <v>179</v>
      </c>
      <c r="C26" s="652" t="s">
        <v>493</v>
      </c>
      <c r="D26" s="648" t="s">
        <v>24</v>
      </c>
      <c r="E26" s="648" t="s">
        <v>160</v>
      </c>
      <c r="F26" s="427" t="s">
        <v>163</v>
      </c>
      <c r="G26" s="437" t="s">
        <v>162</v>
      </c>
      <c r="H26" s="413"/>
      <c r="I26" s="165" t="s">
        <v>494</v>
      </c>
      <c r="J26" s="165"/>
      <c r="K26" s="165"/>
      <c r="L26" s="165"/>
      <c r="M26" s="165"/>
      <c r="N26" s="165"/>
      <c r="O26" s="165"/>
      <c r="P26" s="165"/>
    </row>
    <row r="27" spans="1:16" ht="13.8" thickBot="1" x14ac:dyDescent="0.3">
      <c r="A27" s="429">
        <v>18</v>
      </c>
      <c r="B27" s="425" t="s">
        <v>179</v>
      </c>
      <c r="C27" s="653"/>
      <c r="D27" s="654"/>
      <c r="E27" s="654"/>
      <c r="F27" s="430" t="s">
        <v>161</v>
      </c>
      <c r="G27" s="431" t="s">
        <v>162</v>
      </c>
      <c r="H27" s="416"/>
      <c r="I27" s="165"/>
      <c r="J27" s="165"/>
      <c r="K27" s="165"/>
      <c r="L27" s="165"/>
      <c r="M27" s="165"/>
      <c r="N27" s="165"/>
      <c r="O27" s="165"/>
      <c r="P27" s="165"/>
    </row>
    <row r="28" spans="1:16" x14ac:dyDescent="0.25">
      <c r="A28" s="165"/>
      <c r="B28" s="165"/>
      <c r="C28" s="165"/>
      <c r="D28" s="165"/>
      <c r="E28" s="165"/>
      <c r="F28" s="165"/>
      <c r="G28" s="143"/>
      <c r="H28" s="143"/>
      <c r="I28" s="143"/>
      <c r="J28" s="143"/>
      <c r="K28" s="143"/>
      <c r="L28" s="143"/>
      <c r="M28" s="143"/>
      <c r="N28" s="143"/>
      <c r="O28" s="143"/>
      <c r="P28" s="143"/>
    </row>
    <row r="29" spans="1:16" x14ac:dyDescent="0.25">
      <c r="A29" s="165"/>
      <c r="B29" s="165"/>
      <c r="C29" s="165"/>
      <c r="D29" s="165"/>
      <c r="E29" s="165"/>
      <c r="F29" s="165"/>
      <c r="G29" s="143"/>
      <c r="H29" s="143"/>
      <c r="I29" s="143"/>
      <c r="J29" s="143"/>
      <c r="K29" s="143"/>
      <c r="L29" s="143"/>
      <c r="M29" s="143"/>
      <c r="N29" s="143"/>
      <c r="O29" s="143"/>
      <c r="P29" s="143"/>
    </row>
    <row r="30" spans="1:16" x14ac:dyDescent="0.25">
      <c r="A30" s="165"/>
      <c r="B30" s="143"/>
      <c r="C30" s="165"/>
      <c r="D30" s="165"/>
      <c r="E30" s="165"/>
      <c r="F30" s="165"/>
      <c r="G30" s="143"/>
      <c r="H30" s="143"/>
      <c r="I30" s="143"/>
      <c r="J30" s="143"/>
      <c r="K30" s="143"/>
      <c r="L30" s="143"/>
      <c r="M30" s="143"/>
      <c r="N30" s="143"/>
      <c r="O30" s="143"/>
      <c r="P30" s="143"/>
    </row>
    <row r="31" spans="1:16" x14ac:dyDescent="0.25">
      <c r="A31" s="165"/>
      <c r="B31" s="143"/>
      <c r="C31" s="165"/>
      <c r="D31" s="165"/>
      <c r="E31" s="165"/>
      <c r="F31" s="165"/>
      <c r="G31" s="143"/>
      <c r="H31" s="143"/>
      <c r="I31" s="143"/>
      <c r="J31" s="143"/>
      <c r="K31" s="143"/>
      <c r="L31" s="143"/>
      <c r="M31" s="143"/>
      <c r="N31" s="143"/>
      <c r="O31" s="143"/>
      <c r="P31" s="143"/>
    </row>
    <row r="32" spans="1:16" x14ac:dyDescent="0.25">
      <c r="A32" s="165"/>
      <c r="B32" s="143"/>
      <c r="C32" s="165"/>
      <c r="D32" s="165"/>
      <c r="E32" s="165"/>
      <c r="F32" s="165"/>
      <c r="G32" s="143"/>
      <c r="H32" s="143"/>
      <c r="I32" s="143"/>
      <c r="J32" s="143"/>
      <c r="K32" s="143"/>
      <c r="L32" s="143"/>
      <c r="M32" s="143"/>
      <c r="N32" s="143"/>
      <c r="O32" s="143"/>
      <c r="P32" s="143"/>
    </row>
    <row r="33" spans="1:16" x14ac:dyDescent="0.25">
      <c r="A33" s="165"/>
      <c r="B33" s="143"/>
      <c r="C33" s="165"/>
      <c r="D33" s="165"/>
      <c r="E33" s="165"/>
      <c r="F33" s="165"/>
      <c r="G33" s="143"/>
      <c r="H33" s="143"/>
      <c r="I33" s="143"/>
      <c r="J33" s="143"/>
      <c r="K33" s="143"/>
      <c r="L33" s="143"/>
      <c r="M33" s="143"/>
      <c r="N33" s="143"/>
      <c r="O33" s="143"/>
      <c r="P33" s="143"/>
    </row>
    <row r="34" spans="1:16" x14ac:dyDescent="0.25">
      <c r="A34" s="165"/>
      <c r="B34" s="143"/>
      <c r="C34" s="143"/>
      <c r="D34" s="143"/>
      <c r="E34" s="143"/>
      <c r="F34" s="143"/>
      <c r="G34" s="143"/>
      <c r="H34" s="143"/>
      <c r="I34" s="143"/>
      <c r="J34" s="143"/>
      <c r="K34" s="143"/>
      <c r="L34" s="143"/>
      <c r="M34" s="143"/>
      <c r="N34" s="143"/>
      <c r="O34" s="143"/>
      <c r="P34" s="143"/>
    </row>
    <row r="35" spans="1:16" x14ac:dyDescent="0.25">
      <c r="A35" s="165"/>
      <c r="B35" s="143"/>
      <c r="C35" s="143"/>
      <c r="D35" s="143"/>
      <c r="E35" s="143"/>
      <c r="F35" s="143"/>
      <c r="G35" s="143"/>
      <c r="H35" s="143"/>
      <c r="I35" s="143"/>
      <c r="J35" s="143"/>
      <c r="K35" s="143"/>
      <c r="L35" s="143"/>
      <c r="M35" s="143"/>
      <c r="N35" s="143"/>
      <c r="O35" s="143"/>
      <c r="P35" s="143"/>
    </row>
    <row r="36" spans="1:16" x14ac:dyDescent="0.25">
      <c r="A36" s="165"/>
      <c r="B36" s="143"/>
      <c r="C36" s="143"/>
      <c r="D36" s="143"/>
      <c r="E36" s="143"/>
      <c r="F36" s="143"/>
      <c r="G36" s="143"/>
      <c r="H36" s="143"/>
      <c r="I36" s="143"/>
      <c r="J36" s="143"/>
      <c r="K36" s="143"/>
      <c r="L36" s="143"/>
      <c r="M36" s="143"/>
      <c r="N36" s="143"/>
      <c r="O36" s="143"/>
      <c r="P36" s="143"/>
    </row>
    <row r="37" spans="1:16" x14ac:dyDescent="0.25">
      <c r="A37" s="165"/>
      <c r="B37" s="143"/>
      <c r="C37" s="143"/>
      <c r="D37" s="143"/>
      <c r="E37" s="143"/>
      <c r="F37" s="143"/>
      <c r="G37" s="143"/>
      <c r="H37" s="143"/>
      <c r="I37" s="143"/>
      <c r="J37" s="143"/>
      <c r="K37" s="143"/>
      <c r="L37" s="143"/>
      <c r="M37" s="143"/>
      <c r="N37" s="143"/>
      <c r="O37" s="143"/>
      <c r="P37" s="143"/>
    </row>
    <row r="38" spans="1:16" x14ac:dyDescent="0.25">
      <c r="A38" s="165"/>
      <c r="B38" s="143"/>
      <c r="C38" s="143"/>
      <c r="D38" s="143"/>
      <c r="E38" s="143"/>
      <c r="F38" s="143"/>
      <c r="G38" s="143"/>
      <c r="H38" s="143"/>
      <c r="I38" s="143"/>
      <c r="J38" s="143"/>
      <c r="K38" s="143"/>
      <c r="L38" s="143"/>
      <c r="M38" s="143"/>
      <c r="N38" s="143"/>
      <c r="O38" s="143"/>
      <c r="P38" s="143"/>
    </row>
    <row r="39" spans="1:16" x14ac:dyDescent="0.25">
      <c r="A39" s="165"/>
      <c r="B39" s="143"/>
      <c r="C39" s="237"/>
      <c r="D39" s="237"/>
      <c r="E39" s="237"/>
      <c r="F39" s="237"/>
      <c r="G39" s="165"/>
      <c r="H39" s="143"/>
      <c r="I39" s="143"/>
      <c r="J39" s="143"/>
      <c r="K39" s="143"/>
      <c r="L39" s="143"/>
      <c r="M39" s="143"/>
      <c r="N39" s="143"/>
      <c r="O39" s="143"/>
      <c r="P39" s="143"/>
    </row>
    <row r="40" spans="1:16" x14ac:dyDescent="0.25">
      <c r="A40" s="165"/>
      <c r="B40" s="143"/>
      <c r="C40" s="143"/>
      <c r="D40" s="143"/>
      <c r="E40" s="143"/>
      <c r="F40" s="143"/>
      <c r="G40" s="165"/>
      <c r="H40" s="143"/>
      <c r="I40" s="143"/>
      <c r="J40" s="143"/>
      <c r="K40" s="143"/>
      <c r="L40" s="143"/>
      <c r="M40" s="143"/>
      <c r="N40" s="143"/>
      <c r="O40" s="143"/>
      <c r="P40" s="143"/>
    </row>
    <row r="41" spans="1:16" x14ac:dyDescent="0.25">
      <c r="A41" s="165"/>
      <c r="B41" s="143"/>
      <c r="C41" s="143"/>
      <c r="D41" s="143"/>
      <c r="E41" s="143"/>
      <c r="F41" s="143"/>
      <c r="G41" s="165"/>
      <c r="H41" s="143"/>
      <c r="I41" s="143"/>
      <c r="J41" s="143"/>
      <c r="K41" s="143"/>
      <c r="L41" s="143"/>
      <c r="M41" s="143"/>
      <c r="N41" s="143"/>
      <c r="O41" s="143"/>
      <c r="P41" s="143"/>
    </row>
    <row r="42" spans="1:16" x14ac:dyDescent="0.25">
      <c r="A42" s="165"/>
      <c r="B42" s="143"/>
      <c r="C42" s="143"/>
      <c r="D42" s="143"/>
      <c r="E42" s="143"/>
      <c r="F42" s="143"/>
      <c r="G42" s="165"/>
      <c r="H42" s="143"/>
      <c r="I42" s="143"/>
      <c r="J42" s="143"/>
      <c r="K42" s="143"/>
      <c r="L42" s="143"/>
      <c r="M42" s="143"/>
      <c r="N42" s="143"/>
      <c r="O42" s="143"/>
      <c r="P42" s="143"/>
    </row>
    <row r="43" spans="1:16" x14ac:dyDescent="0.25">
      <c r="A43" s="165"/>
      <c r="B43" s="143"/>
      <c r="C43" s="143"/>
      <c r="D43" s="143"/>
      <c r="E43" s="143"/>
      <c r="F43" s="143"/>
      <c r="G43" s="165"/>
      <c r="H43" s="143"/>
      <c r="I43" s="143"/>
      <c r="J43" s="143"/>
      <c r="K43" s="143"/>
      <c r="L43" s="143"/>
      <c r="M43" s="143"/>
      <c r="N43" s="143"/>
      <c r="O43" s="143"/>
      <c r="P43" s="143"/>
    </row>
    <row r="44" spans="1:16" x14ac:dyDescent="0.25">
      <c r="A44" s="165"/>
      <c r="B44" s="143"/>
      <c r="C44" s="143"/>
      <c r="D44" s="143"/>
      <c r="E44" s="143"/>
      <c r="F44" s="143"/>
      <c r="G44" s="165"/>
      <c r="H44" s="143"/>
      <c r="I44" s="143"/>
      <c r="J44" s="143"/>
      <c r="K44" s="143"/>
      <c r="L44" s="143"/>
      <c r="M44" s="143"/>
      <c r="N44" s="143"/>
      <c r="O44" s="143"/>
      <c r="P44" s="143"/>
    </row>
    <row r="45" spans="1:16" x14ac:dyDescent="0.25">
      <c r="A45" s="165"/>
      <c r="B45" s="143"/>
      <c r="C45" s="143"/>
      <c r="D45" s="143"/>
      <c r="E45" s="143"/>
      <c r="F45" s="143"/>
      <c r="G45" s="165"/>
      <c r="H45" s="143"/>
      <c r="I45" s="143"/>
      <c r="J45" s="143"/>
      <c r="K45" s="143"/>
      <c r="L45" s="143"/>
      <c r="M45" s="143"/>
      <c r="N45" s="143"/>
      <c r="O45" s="143"/>
      <c r="P45" s="143"/>
    </row>
    <row r="46" spans="1:16" x14ac:dyDescent="0.25">
      <c r="A46" s="165"/>
      <c r="B46" s="143"/>
      <c r="C46" s="143"/>
      <c r="D46" s="165"/>
      <c r="E46" s="165"/>
      <c r="F46" s="165"/>
      <c r="G46" s="165"/>
      <c r="H46" s="143"/>
      <c r="I46" s="143"/>
      <c r="J46" s="143"/>
      <c r="K46" s="143"/>
      <c r="L46" s="143"/>
      <c r="M46" s="143"/>
      <c r="N46" s="143"/>
      <c r="O46" s="143"/>
      <c r="P46" s="143"/>
    </row>
    <row r="47" spans="1:16" x14ac:dyDescent="0.25">
      <c r="A47" s="165"/>
      <c r="B47" s="143"/>
      <c r="C47" s="237"/>
      <c r="D47" s="237"/>
      <c r="E47" s="237"/>
      <c r="F47" s="237"/>
      <c r="G47" s="165"/>
      <c r="H47" s="143"/>
      <c r="I47" s="143"/>
      <c r="J47" s="143"/>
      <c r="K47" s="143"/>
      <c r="L47" s="143"/>
      <c r="M47" s="143"/>
      <c r="N47" s="143"/>
      <c r="O47" s="143"/>
      <c r="P47" s="143"/>
    </row>
    <row r="48" spans="1:16" x14ac:dyDescent="0.25">
      <c r="A48" s="165"/>
      <c r="B48" s="143"/>
      <c r="C48" s="143"/>
      <c r="D48" s="143"/>
      <c r="E48" s="143"/>
      <c r="F48" s="143"/>
      <c r="G48" s="165"/>
      <c r="H48" s="143"/>
      <c r="I48" s="143"/>
      <c r="J48" s="143"/>
      <c r="K48" s="143"/>
      <c r="L48" s="143"/>
      <c r="M48" s="143"/>
      <c r="N48" s="143"/>
      <c r="O48" s="143"/>
      <c r="P48" s="143"/>
    </row>
    <row r="49" spans="1:16" x14ac:dyDescent="0.25">
      <c r="A49" s="165"/>
      <c r="B49" s="143"/>
      <c r="C49" s="143"/>
      <c r="D49" s="143"/>
      <c r="E49" s="143"/>
      <c r="F49" s="143"/>
      <c r="G49" s="165"/>
      <c r="H49" s="143"/>
      <c r="I49" s="143"/>
      <c r="J49" s="143"/>
      <c r="K49" s="143"/>
      <c r="L49" s="143"/>
      <c r="M49" s="143"/>
      <c r="N49" s="143"/>
      <c r="O49" s="143"/>
      <c r="P49" s="143"/>
    </row>
    <row r="50" spans="1:16" x14ac:dyDescent="0.25">
      <c r="A50" s="165"/>
      <c r="B50" s="143"/>
      <c r="C50" s="143"/>
      <c r="D50" s="143"/>
      <c r="E50" s="143"/>
      <c r="F50" s="143"/>
      <c r="G50" s="165"/>
      <c r="H50" s="143"/>
      <c r="I50" s="143"/>
      <c r="J50" s="143"/>
      <c r="K50" s="143"/>
      <c r="L50" s="143"/>
      <c r="M50" s="143"/>
      <c r="N50" s="143"/>
      <c r="O50" s="143"/>
      <c r="P50" s="143"/>
    </row>
    <row r="51" spans="1:16" x14ac:dyDescent="0.25">
      <c r="A51" s="165"/>
      <c r="B51" s="143"/>
      <c r="C51" s="143"/>
      <c r="D51" s="143"/>
      <c r="E51" s="143"/>
      <c r="F51" s="143"/>
      <c r="G51" s="165"/>
      <c r="H51" s="143"/>
      <c r="I51" s="143"/>
      <c r="J51" s="143"/>
      <c r="K51" s="143"/>
      <c r="L51" s="143"/>
      <c r="M51" s="143"/>
      <c r="N51" s="143"/>
      <c r="O51" s="143"/>
      <c r="P51" s="143"/>
    </row>
    <row r="52" spans="1:16" x14ac:dyDescent="0.25">
      <c r="A52" s="165"/>
      <c r="B52" s="143"/>
      <c r="C52" s="143"/>
      <c r="D52" s="143"/>
      <c r="E52" s="143"/>
      <c r="F52" s="143"/>
      <c r="G52" s="165"/>
      <c r="H52" s="143"/>
      <c r="I52" s="143"/>
      <c r="J52" s="143"/>
      <c r="K52" s="143"/>
      <c r="L52" s="143"/>
      <c r="M52" s="143"/>
      <c r="N52" s="143"/>
      <c r="O52" s="143"/>
      <c r="P52" s="143"/>
    </row>
    <row r="53" spans="1:16" x14ac:dyDescent="0.25">
      <c r="A53" s="165"/>
      <c r="B53" s="143"/>
      <c r="C53" s="143"/>
      <c r="D53" s="143"/>
      <c r="E53" s="143"/>
      <c r="F53" s="143"/>
      <c r="G53" s="143"/>
      <c r="H53" s="143"/>
      <c r="I53" s="143"/>
      <c r="J53" s="143"/>
      <c r="K53" s="143"/>
      <c r="L53" s="143"/>
      <c r="M53" s="143"/>
      <c r="N53" s="143"/>
      <c r="O53" s="143"/>
      <c r="P53" s="143"/>
    </row>
    <row r="54" spans="1:16" x14ac:dyDescent="0.25">
      <c r="A54" s="165"/>
      <c r="B54" s="143"/>
      <c r="C54" s="143"/>
      <c r="D54" s="143"/>
      <c r="E54" s="143"/>
      <c r="F54" s="143"/>
      <c r="G54" s="143"/>
      <c r="H54" s="143"/>
      <c r="I54" s="143"/>
      <c r="J54" s="143"/>
      <c r="K54" s="143"/>
      <c r="L54" s="143"/>
      <c r="M54" s="143"/>
      <c r="N54" s="143"/>
      <c r="O54" s="143"/>
      <c r="P54" s="143"/>
    </row>
    <row r="55" spans="1:16" x14ac:dyDescent="0.25">
      <c r="A55" s="165"/>
      <c r="B55" s="143"/>
      <c r="C55" s="143"/>
      <c r="D55" s="143"/>
      <c r="E55" s="143"/>
      <c r="F55" s="143"/>
      <c r="G55" s="143"/>
      <c r="H55" s="143"/>
      <c r="I55" s="143"/>
      <c r="J55" s="143"/>
      <c r="K55" s="143"/>
      <c r="L55" s="143"/>
      <c r="M55" s="143"/>
      <c r="N55" s="143"/>
      <c r="O55" s="143"/>
      <c r="P55" s="143"/>
    </row>
    <row r="56" spans="1:16" x14ac:dyDescent="0.25">
      <c r="A56" s="165"/>
      <c r="B56" s="143"/>
      <c r="C56" s="143"/>
      <c r="D56" s="143"/>
      <c r="E56" s="143"/>
      <c r="F56" s="143"/>
      <c r="G56" s="143"/>
      <c r="H56" s="143"/>
      <c r="I56" s="143"/>
      <c r="J56" s="143"/>
      <c r="K56" s="143"/>
      <c r="L56" s="143"/>
      <c r="M56" s="143"/>
      <c r="N56" s="143"/>
      <c r="O56" s="143"/>
      <c r="P56" s="143"/>
    </row>
    <row r="57" spans="1:16" x14ac:dyDescent="0.25">
      <c r="A57" s="165"/>
      <c r="B57" s="143"/>
      <c r="C57" s="143"/>
      <c r="D57" s="143"/>
      <c r="E57" s="143"/>
      <c r="F57" s="143"/>
      <c r="G57" s="143"/>
      <c r="H57" s="143"/>
      <c r="I57" s="143"/>
      <c r="J57" s="143"/>
      <c r="K57" s="143"/>
      <c r="L57" s="143"/>
      <c r="M57" s="143"/>
      <c r="N57" s="143"/>
      <c r="O57" s="143"/>
      <c r="P57" s="143"/>
    </row>
    <row r="58" spans="1:16" x14ac:dyDescent="0.25">
      <c r="A58" s="165"/>
      <c r="B58" s="143"/>
      <c r="C58" s="143"/>
      <c r="D58" s="143"/>
      <c r="E58" s="143"/>
      <c r="F58" s="143"/>
      <c r="G58" s="143"/>
      <c r="H58" s="143"/>
      <c r="I58" s="143"/>
      <c r="J58" s="143"/>
      <c r="K58" s="143"/>
      <c r="L58" s="143"/>
      <c r="M58" s="143"/>
      <c r="N58" s="143"/>
      <c r="O58" s="143"/>
      <c r="P58" s="143"/>
    </row>
    <row r="59" spans="1:16" x14ac:dyDescent="0.25">
      <c r="A59" s="165"/>
      <c r="B59" s="143"/>
      <c r="C59" s="143"/>
      <c r="D59" s="143"/>
      <c r="E59" s="143"/>
      <c r="F59" s="143"/>
      <c r="G59" s="143"/>
      <c r="H59" s="143"/>
      <c r="I59" s="143"/>
      <c r="J59" s="143"/>
      <c r="K59" s="143"/>
      <c r="L59" s="143"/>
      <c r="M59" s="143"/>
      <c r="N59" s="143"/>
      <c r="O59" s="143"/>
      <c r="P59" s="143"/>
    </row>
    <row r="60" spans="1:16" x14ac:dyDescent="0.25">
      <c r="A60" s="165"/>
      <c r="B60" s="143"/>
      <c r="C60" s="143"/>
      <c r="D60" s="143"/>
      <c r="E60" s="143"/>
      <c r="F60" s="143"/>
      <c r="G60" s="143"/>
      <c r="H60" s="143"/>
      <c r="I60" s="143"/>
      <c r="J60" s="143"/>
      <c r="K60" s="143"/>
      <c r="L60" s="143"/>
      <c r="M60" s="143"/>
      <c r="N60" s="143"/>
      <c r="O60" s="143"/>
      <c r="P60" s="143"/>
    </row>
  </sheetData>
  <customSheetViews>
    <customSheetView guid="{E7571780-ED88-421E-BB12-D2AF189A0D99}" fitToPage="1">
      <selection activeCell="E1" sqref="E1"/>
      <pageMargins left="0.75" right="0.75" top="1" bottom="1" header="0.5" footer="0.5"/>
      <pageSetup scale="72" orientation="landscape" r:id="rId1"/>
      <headerFooter alignWithMargins="0"/>
    </customSheetView>
    <customSheetView guid="{609F876C-F41A-43C8-BD3D-0455630C6D86}" fitToPage="1">
      <selection activeCell="E1" sqref="E1"/>
      <pageMargins left="0.75" right="0.75" top="1" bottom="1" header="0.5" footer="0.5"/>
      <pageSetup scale="72" orientation="landscape" r:id="rId2"/>
      <headerFooter alignWithMargins="0"/>
    </customSheetView>
    <customSheetView guid="{F5461B2D-C44D-459F-8141-3B434D52A3D6}" fitToPage="1">
      <selection activeCell="E1" sqref="E1"/>
      <pageMargins left="0.75" right="0.75" top="1" bottom="1" header="0.5" footer="0.5"/>
      <pageSetup scale="72" orientation="landscape" r:id="rId3"/>
      <headerFooter alignWithMargins="0"/>
    </customSheetView>
    <customSheetView guid="{BF4A82E8-EC44-4B28-ABE7-07086B055DF8}" fitToPage="1">
      <selection activeCell="E1" sqref="E1"/>
      <pageMargins left="0.75" right="0.75" top="1" bottom="1" header="0.5" footer="0.5"/>
      <pageSetup scale="72" orientation="landscape" r:id="rId4"/>
      <headerFooter alignWithMargins="0"/>
    </customSheetView>
    <customSheetView guid="{F9953651-D17A-4C02-9483-C34B454389F8}" fitToPage="1">
      <selection activeCell="E1" sqref="E1"/>
      <pageMargins left="0.75" right="0.75" top="1" bottom="1" header="0.5" footer="0.5"/>
      <pageSetup scale="72" orientation="landscape" r:id="rId5"/>
      <headerFooter alignWithMargins="0"/>
    </customSheetView>
    <customSheetView guid="{4081EA0D-9F4E-4F6E-9740-125B98E42AAA}" fitToPage="1">
      <selection activeCell="E1" sqref="E1"/>
      <pageMargins left="0.75" right="0.75" top="1" bottom="1" header="0.5" footer="0.5"/>
      <pageSetup scale="72" orientation="landscape" r:id="rId6"/>
      <headerFooter alignWithMargins="0"/>
    </customSheetView>
    <customSheetView guid="{568372EE-5594-48E8-AA4D-B2DFAABD6FBE}" fitToPage="1">
      <selection activeCell="E1" sqref="E1"/>
      <pageMargins left="0.75" right="0.75" top="1" bottom="1" header="0.5" footer="0.5"/>
      <pageSetup scale="72" orientation="landscape" r:id="rId7"/>
      <headerFooter alignWithMargins="0"/>
    </customSheetView>
    <customSheetView guid="{0C14E275-67BD-4894-92C8-CC979B55C5D1}" fitToPage="1">
      <pageMargins left="0.75" right="0.75" top="1" bottom="1" header="0.5" footer="0.5"/>
      <pageSetup scale="72" orientation="landscape" r:id="rId8"/>
      <headerFooter alignWithMargins="0"/>
    </customSheetView>
    <customSheetView guid="{E04D4D10-73E7-40D1-833B-CE4AC2EB45A8}" fitToPage="1">
      <pageMargins left="0.75" right="0.75" top="1" bottom="1" header="0.5" footer="0.5"/>
      <pageSetup scale="72" orientation="landscape" r:id="rId9"/>
      <headerFooter alignWithMargins="0"/>
    </customSheetView>
    <customSheetView guid="{E6A6C2C1-501F-4FA5-9A65-F097BADC7A88}" scale="75" fitToPage="1" topLeftCell="A4">
      <selection activeCell="A27" sqref="A27:B27"/>
      <pageMargins left="0.75" right="0.75" top="1" bottom="1" header="0.5" footer="0.5"/>
      <pageSetup scale="72" orientation="landscape" r:id="rId10"/>
      <headerFooter alignWithMargins="0"/>
    </customSheetView>
    <customSheetView guid="{189813C8-BE28-4174-A3B5-1C707449DBD3}" fitToPage="1">
      <selection activeCell="E1" sqref="E1"/>
      <pageMargins left="0.75" right="0.75" top="1" bottom="1" header="0.5" footer="0.5"/>
      <pageSetup scale="72" orientation="landscape" r:id="rId11"/>
      <headerFooter alignWithMargins="0"/>
    </customSheetView>
    <customSheetView guid="{A1D6424A-E1FA-4BDE-9758-50490C40BCC4}" fitToPage="1">
      <selection activeCell="E1" sqref="E1"/>
      <pageMargins left="0.75" right="0.75" top="1" bottom="1" header="0.5" footer="0.5"/>
      <pageSetup scale="72" orientation="landscape" r:id="rId12"/>
      <headerFooter alignWithMargins="0"/>
    </customSheetView>
  </customSheetViews>
  <mergeCells count="12">
    <mergeCell ref="C26:C27"/>
    <mergeCell ref="E26:E27"/>
    <mergeCell ref="C24:C25"/>
    <mergeCell ref="D24:D25"/>
    <mergeCell ref="D26:D27"/>
    <mergeCell ref="E24:E25"/>
    <mergeCell ref="G12:G13"/>
    <mergeCell ref="C12:C13"/>
    <mergeCell ref="D12:D13"/>
    <mergeCell ref="E15:E16"/>
    <mergeCell ref="E11:E12"/>
    <mergeCell ref="C15:C16"/>
  </mergeCells>
  <phoneticPr fontId="17" type="noConversion"/>
  <hyperlinks>
    <hyperlink ref="A1" display="Directory"/>
    <hyperlink ref="E1" display="D9859 Scoreboard"/>
  </hyperlinks>
  <pageMargins left="0.75" right="0.75" top="1" bottom="1" header="0.5" footer="0.5"/>
  <pageSetup scale="72" orientation="landscape" r:id="rId13"/>
  <headerFooter alignWithMargins="0"/>
  <drawing r:id="rId14"/>
  <legacyDrawing r:id="rId15"/>
  <controls>
    <mc:AlternateContent xmlns:mc="http://schemas.openxmlformats.org/markup-compatibility/2006">
      <mc:Choice Requires="x14">
        <control shapeId="12289" r:id="rId16" name="CommandButton1">
          <controlPr defaultSize="0" autoLine="0" autoPict="0" r:id="rId17">
            <anchor moveWithCells="1">
              <from>
                <xdr:col>9</xdr:col>
                <xdr:colOff>0</xdr:colOff>
                <xdr:row>1</xdr:row>
                <xdr:rowOff>121920</xdr:rowOff>
              </from>
              <to>
                <xdr:col>14</xdr:col>
                <xdr:colOff>327660</xdr:colOff>
                <xdr:row>5</xdr:row>
                <xdr:rowOff>76200</xdr:rowOff>
              </to>
            </anchor>
          </controlPr>
        </control>
      </mc:Choice>
      <mc:Fallback>
        <control shapeId="12289" r:id="rId16"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64"/>
  <sheetViews>
    <sheetView topLeftCell="A13" zoomScale="115" zoomScaleNormal="75" workbookViewId="0">
      <selection activeCell="A25" sqref="A25:XFD25"/>
    </sheetView>
  </sheetViews>
  <sheetFormatPr defaultRowHeight="13.2" x14ac:dyDescent="0.25"/>
  <cols>
    <col min="1" max="1" width="9.44140625" bestFit="1" customWidth="1"/>
    <col min="2" max="2" width="49.6640625" bestFit="1" customWidth="1"/>
    <col min="3" max="3" width="30.88671875" style="21" bestFit="1" customWidth="1"/>
    <col min="4" max="4" width="10.109375" bestFit="1" customWidth="1"/>
    <col min="5" max="5" width="14" bestFit="1" customWidth="1"/>
    <col min="6" max="6" width="14" customWidth="1"/>
    <col min="7" max="7" width="9.6640625" style="21" bestFit="1" customWidth="1"/>
    <col min="8" max="8" width="13.5546875" style="21" bestFit="1" customWidth="1"/>
    <col min="9" max="9" width="14.6640625" style="21" bestFit="1" customWidth="1"/>
    <col min="10" max="10" width="20.5546875" style="21" bestFit="1" customWidth="1"/>
    <col min="11" max="11" width="13.44140625" style="21" customWidth="1"/>
    <col min="12" max="12" width="10.44140625" style="21" bestFit="1" customWidth="1"/>
    <col min="13" max="13" width="53.44140625" customWidth="1"/>
    <col min="14" max="14" width="64" customWidth="1"/>
    <col min="15" max="15" width="60.33203125" customWidth="1"/>
    <col min="16" max="16" width="59.88671875" customWidth="1"/>
  </cols>
  <sheetData>
    <row r="1" spans="1:16" x14ac:dyDescent="0.25">
      <c r="A1" s="14" t="s">
        <v>75</v>
      </c>
      <c r="B1" s="7" t="s">
        <v>77</v>
      </c>
      <c r="C1" s="16" t="s">
        <v>76</v>
      </c>
      <c r="D1" s="111" t="s">
        <v>499</v>
      </c>
      <c r="E1" s="148" t="s">
        <v>606</v>
      </c>
      <c r="F1" s="111"/>
      <c r="G1" s="79"/>
      <c r="H1" s="78"/>
      <c r="I1" s="78"/>
    </row>
    <row r="2" spans="1:16" x14ac:dyDescent="0.25">
      <c r="A2" s="10" t="s">
        <v>78</v>
      </c>
      <c r="B2" s="5" t="s">
        <v>128</v>
      </c>
      <c r="C2" s="17">
        <v>40204</v>
      </c>
      <c r="D2" s="25"/>
      <c r="F2" s="25"/>
    </row>
    <row r="3" spans="1:16" x14ac:dyDescent="0.25">
      <c r="A3" s="10"/>
      <c r="B3" s="67" t="s">
        <v>537</v>
      </c>
      <c r="C3" s="17">
        <v>41346</v>
      </c>
      <c r="D3" s="24"/>
      <c r="F3" s="24"/>
    </row>
    <row r="4" spans="1:16" x14ac:dyDescent="0.25">
      <c r="A4" s="10"/>
      <c r="B4" s="5"/>
      <c r="C4" s="18"/>
      <c r="D4" s="24"/>
      <c r="F4" s="24"/>
    </row>
    <row r="5" spans="1:16" ht="13.8" thickBot="1" x14ac:dyDescent="0.3">
      <c r="A5" s="11"/>
      <c r="B5" s="6"/>
      <c r="C5" s="20"/>
      <c r="D5" s="24"/>
      <c r="F5" s="24"/>
    </row>
    <row r="6" spans="1:16" ht="13.8" thickBot="1" x14ac:dyDescent="0.3">
      <c r="A6" s="9"/>
      <c r="B6" s="9"/>
      <c r="C6" s="9"/>
      <c r="D6" s="24"/>
      <c r="E6" s="24"/>
      <c r="F6" s="24"/>
    </row>
    <row r="7" spans="1:16" ht="13.8" thickBot="1" x14ac:dyDescent="0.3">
      <c r="A7" s="9"/>
      <c r="B7" s="9"/>
      <c r="C7" s="9"/>
      <c r="D7" s="668" t="s">
        <v>130</v>
      </c>
      <c r="E7" s="669"/>
      <c r="F7" s="669"/>
      <c r="G7" s="670"/>
      <c r="H7" s="670"/>
      <c r="I7" s="670"/>
      <c r="J7" s="671"/>
      <c r="K7" s="672" t="s">
        <v>131</v>
      </c>
      <c r="L7" s="673"/>
    </row>
    <row r="8" spans="1:16" ht="13.8" thickBot="1" x14ac:dyDescent="0.3">
      <c r="D8" s="27"/>
      <c r="E8" s="28"/>
      <c r="F8" s="187"/>
      <c r="G8" s="665" t="s">
        <v>125</v>
      </c>
      <c r="H8" s="666"/>
      <c r="I8" s="666"/>
      <c r="J8" s="667"/>
      <c r="K8" s="674"/>
      <c r="L8" s="675"/>
      <c r="M8" s="663" t="s">
        <v>123</v>
      </c>
      <c r="N8" s="664"/>
      <c r="O8" s="664"/>
      <c r="P8" s="664"/>
    </row>
    <row r="9" spans="1:16" ht="40.200000000000003" thickBot="1" x14ac:dyDescent="0.3">
      <c r="A9" s="30" t="s">
        <v>122</v>
      </c>
      <c r="B9" s="128" t="s">
        <v>531</v>
      </c>
      <c r="C9" s="22" t="s">
        <v>80</v>
      </c>
      <c r="D9" s="23" t="s">
        <v>121</v>
      </c>
      <c r="E9" s="676" t="s">
        <v>142</v>
      </c>
      <c r="F9" s="677"/>
      <c r="G9" s="26" t="s">
        <v>117</v>
      </c>
      <c r="H9" s="26" t="s">
        <v>118</v>
      </c>
      <c r="I9" s="26" t="s">
        <v>119</v>
      </c>
      <c r="J9" s="26" t="s">
        <v>124</v>
      </c>
      <c r="K9" s="22" t="s">
        <v>569</v>
      </c>
      <c r="L9" s="22" t="s">
        <v>133</v>
      </c>
      <c r="M9" s="22" t="s">
        <v>117</v>
      </c>
      <c r="N9" s="22" t="s">
        <v>118</v>
      </c>
      <c r="O9" s="22" t="s">
        <v>119</v>
      </c>
      <c r="P9" s="22" t="s">
        <v>120</v>
      </c>
    </row>
    <row r="10" spans="1:16" x14ac:dyDescent="0.25">
      <c r="A10" s="424">
        <v>1</v>
      </c>
      <c r="B10" s="438" t="str">
        <f>"MPEG1L2("&amp;D10&amp;") "&amp;G10&amp;H10&amp;I10&amp;J10&amp;" - "&amp;K10</f>
        <v>MPEG1L2(32) SM - PCM</v>
      </c>
      <c r="C10" s="655" t="s">
        <v>81</v>
      </c>
      <c r="D10" s="439">
        <v>32</v>
      </c>
      <c r="E10" s="439"/>
      <c r="F10" s="439"/>
      <c r="G10" s="440"/>
      <c r="H10" s="440"/>
      <c r="I10" s="440" t="s">
        <v>126</v>
      </c>
      <c r="J10" s="440"/>
      <c r="K10" s="441" t="s">
        <v>127</v>
      </c>
      <c r="L10" s="442"/>
      <c r="M10" s="443" t="s">
        <v>82</v>
      </c>
      <c r="N10" s="658"/>
      <c r="O10" s="443" t="s">
        <v>86</v>
      </c>
      <c r="P10" s="658"/>
    </row>
    <row r="11" spans="1:16" x14ac:dyDescent="0.25">
      <c r="A11" s="413">
        <v>2</v>
      </c>
      <c r="B11" s="438" t="str">
        <f t="shared" ref="B11:B15" si="0">"MPEG1L2("&amp;D11&amp;") "&amp;G11&amp;H11&amp;I11&amp;J11&amp;" - "&amp;K11</f>
        <v>MPEG1L2(192) SM - PCM</v>
      </c>
      <c r="C11" s="656"/>
      <c r="D11" s="439">
        <v>192</v>
      </c>
      <c r="E11" s="439"/>
      <c r="F11" s="439"/>
      <c r="G11" s="440"/>
      <c r="H11" s="440"/>
      <c r="I11" s="440" t="s">
        <v>126</v>
      </c>
      <c r="J11" s="440"/>
      <c r="K11" s="444" t="s">
        <v>127</v>
      </c>
      <c r="L11" s="442"/>
      <c r="M11" s="443"/>
      <c r="N11" s="659"/>
      <c r="O11" s="443"/>
      <c r="P11" s="659"/>
    </row>
    <row r="12" spans="1:16" x14ac:dyDescent="0.25">
      <c r="A12" s="413">
        <v>3</v>
      </c>
      <c r="B12" s="438" t="str">
        <f t="shared" si="0"/>
        <v>MPEG1L2(64) DM - PCM</v>
      </c>
      <c r="C12" s="656"/>
      <c r="D12" s="439">
        <v>64</v>
      </c>
      <c r="E12" s="439"/>
      <c r="F12" s="439"/>
      <c r="G12" s="440"/>
      <c r="H12" s="440" t="s">
        <v>129</v>
      </c>
      <c r="I12" s="440"/>
      <c r="J12" s="440"/>
      <c r="K12" s="444" t="s">
        <v>127</v>
      </c>
      <c r="L12" s="442"/>
      <c r="M12" s="445" t="s">
        <v>83</v>
      </c>
      <c r="N12" s="659"/>
      <c r="O12" s="445" t="s">
        <v>87</v>
      </c>
      <c r="P12" s="659"/>
    </row>
    <row r="13" spans="1:16" x14ac:dyDescent="0.25">
      <c r="A13" s="413">
        <v>4</v>
      </c>
      <c r="B13" s="438" t="str">
        <f t="shared" si="0"/>
        <v>MPEG1L2(384) DM - PCM</v>
      </c>
      <c r="C13" s="656"/>
      <c r="D13" s="439">
        <v>384</v>
      </c>
      <c r="E13" s="439"/>
      <c r="F13" s="439"/>
      <c r="G13" s="440"/>
      <c r="H13" s="440" t="s">
        <v>129</v>
      </c>
      <c r="I13" s="440"/>
      <c r="J13" s="440"/>
      <c r="K13" s="444" t="s">
        <v>127</v>
      </c>
      <c r="L13" s="442"/>
      <c r="M13" s="439" t="s">
        <v>84</v>
      </c>
      <c r="N13" s="659"/>
      <c r="O13" s="439" t="s">
        <v>88</v>
      </c>
      <c r="P13" s="659"/>
    </row>
    <row r="14" spans="1:16" x14ac:dyDescent="0.25">
      <c r="A14" s="413">
        <v>5</v>
      </c>
      <c r="B14" s="438" t="str">
        <f t="shared" si="0"/>
        <v>MPEG1L2(64) ST - PCM</v>
      </c>
      <c r="C14" s="656"/>
      <c r="D14" s="439">
        <v>64</v>
      </c>
      <c r="E14" s="439"/>
      <c r="F14" s="439"/>
      <c r="G14" s="440" t="s">
        <v>568</v>
      </c>
      <c r="H14" s="440"/>
      <c r="I14" s="440"/>
      <c r="J14" s="440"/>
      <c r="K14" s="444" t="s">
        <v>127</v>
      </c>
      <c r="L14" s="442"/>
      <c r="M14" s="439"/>
      <c r="N14" s="659"/>
      <c r="O14" s="439"/>
      <c r="P14" s="659"/>
    </row>
    <row r="15" spans="1:16" ht="13.8" thickBot="1" x14ac:dyDescent="0.3">
      <c r="A15" s="413">
        <v>6</v>
      </c>
      <c r="B15" s="438" t="str">
        <f t="shared" si="0"/>
        <v>MPEG1L2(384) ST - PCM</v>
      </c>
      <c r="C15" s="662"/>
      <c r="D15" s="446">
        <v>384</v>
      </c>
      <c r="E15" s="446"/>
      <c r="F15" s="446"/>
      <c r="G15" s="447" t="s">
        <v>568</v>
      </c>
      <c r="H15" s="447"/>
      <c r="I15" s="447"/>
      <c r="J15" s="447"/>
      <c r="K15" s="448" t="s">
        <v>127</v>
      </c>
      <c r="L15" s="449"/>
      <c r="M15" s="450" t="s">
        <v>85</v>
      </c>
      <c r="N15" s="661"/>
      <c r="O15" s="450" t="s">
        <v>85</v>
      </c>
      <c r="P15" s="661"/>
    </row>
    <row r="16" spans="1:16" x14ac:dyDescent="0.25">
      <c r="A16" s="413">
        <v>7</v>
      </c>
      <c r="B16" s="438" t="str">
        <f>"AC3("&amp;D16&amp;") "&amp;G16&amp;H16&amp;I16&amp;J16&amp;" - "&amp;K16</f>
        <v>AC3(56) SM - PCM</v>
      </c>
      <c r="C16" s="655" t="s">
        <v>89</v>
      </c>
      <c r="D16" s="439">
        <v>56</v>
      </c>
      <c r="E16" s="439"/>
      <c r="F16" s="439"/>
      <c r="G16" s="440"/>
      <c r="H16" s="440"/>
      <c r="I16" s="440" t="s">
        <v>126</v>
      </c>
      <c r="J16" s="440"/>
      <c r="K16" s="440" t="s">
        <v>127</v>
      </c>
      <c r="L16" s="440"/>
      <c r="M16" s="443" t="s">
        <v>90</v>
      </c>
      <c r="N16" s="443" t="s">
        <v>93</v>
      </c>
      <c r="O16" s="443" t="s">
        <v>95</v>
      </c>
      <c r="P16" s="443" t="s">
        <v>97</v>
      </c>
    </row>
    <row r="17" spans="1:16" x14ac:dyDescent="0.25">
      <c r="A17" s="413">
        <v>8</v>
      </c>
      <c r="B17" s="438" t="str">
        <f t="shared" ref="B17:B25" si="1">"AC3("&amp;D17&amp;") "&amp;G17&amp;H17&amp;I17&amp;J17&amp;" - "&amp;K17</f>
        <v>AC3(320) SM - Comp</v>
      </c>
      <c r="C17" s="656"/>
      <c r="D17" s="439">
        <v>320</v>
      </c>
      <c r="E17" s="439"/>
      <c r="F17" s="439"/>
      <c r="G17" s="440"/>
      <c r="H17" s="440"/>
      <c r="I17" s="440" t="s">
        <v>126</v>
      </c>
      <c r="J17" s="440"/>
      <c r="K17" s="440" t="s">
        <v>570</v>
      </c>
      <c r="L17" s="440"/>
      <c r="M17" s="445" t="s">
        <v>83</v>
      </c>
      <c r="N17" s="445" t="s">
        <v>87</v>
      </c>
      <c r="O17" s="445" t="s">
        <v>87</v>
      </c>
      <c r="P17" s="445" t="s">
        <v>87</v>
      </c>
    </row>
    <row r="18" spans="1:16" x14ac:dyDescent="0.25">
      <c r="A18" s="413">
        <v>9</v>
      </c>
      <c r="B18" s="438" t="str">
        <f t="shared" si="1"/>
        <v>AC3(112) DM - PCM</v>
      </c>
      <c r="C18" s="656"/>
      <c r="D18" s="439">
        <v>112</v>
      </c>
      <c r="E18" s="439"/>
      <c r="F18" s="439"/>
      <c r="G18" s="440"/>
      <c r="H18" s="440" t="s">
        <v>129</v>
      </c>
      <c r="I18" s="440"/>
      <c r="J18" s="440"/>
      <c r="K18" s="440" t="s">
        <v>127</v>
      </c>
      <c r="L18" s="440"/>
      <c r="M18" s="439" t="s">
        <v>91</v>
      </c>
      <c r="N18" s="439" t="s">
        <v>94</v>
      </c>
      <c r="O18" s="439" t="s">
        <v>96</v>
      </c>
      <c r="P18" s="439" t="s">
        <v>98</v>
      </c>
    </row>
    <row r="19" spans="1:16" x14ac:dyDescent="0.25">
      <c r="A19" s="413">
        <v>10</v>
      </c>
      <c r="B19" s="438" t="str">
        <f t="shared" si="1"/>
        <v>AC3(640) DM - Comp</v>
      </c>
      <c r="C19" s="656"/>
      <c r="D19" s="439">
        <v>640</v>
      </c>
      <c r="E19" s="439"/>
      <c r="F19" s="439"/>
      <c r="G19" s="440"/>
      <c r="H19" s="440" t="s">
        <v>129</v>
      </c>
      <c r="I19" s="440"/>
      <c r="J19" s="440"/>
      <c r="K19" s="440" t="s">
        <v>570</v>
      </c>
      <c r="L19" s="440"/>
      <c r="M19" s="439"/>
      <c r="N19" s="439"/>
      <c r="O19" s="439"/>
      <c r="P19" s="439"/>
    </row>
    <row r="20" spans="1:16" x14ac:dyDescent="0.25">
      <c r="A20" s="413">
        <v>11</v>
      </c>
      <c r="B20" s="438" t="str">
        <f t="shared" si="1"/>
        <v>AC3(96) ST - PCM</v>
      </c>
      <c r="C20" s="656"/>
      <c r="D20" s="439">
        <v>96</v>
      </c>
      <c r="E20" s="439"/>
      <c r="F20" s="439"/>
      <c r="G20" s="440" t="s">
        <v>568</v>
      </c>
      <c r="H20" s="440"/>
      <c r="I20" s="440"/>
      <c r="J20" s="440"/>
      <c r="K20" s="440" t="s">
        <v>127</v>
      </c>
      <c r="L20" s="440"/>
      <c r="M20" s="439"/>
      <c r="N20" s="439"/>
      <c r="O20" s="439"/>
      <c r="P20" s="439"/>
    </row>
    <row r="21" spans="1:16" x14ac:dyDescent="0.25">
      <c r="A21" s="413">
        <v>12</v>
      </c>
      <c r="B21" s="438" t="str">
        <f t="shared" si="1"/>
        <v>AC3(192) ST - Comp</v>
      </c>
      <c r="C21" s="656"/>
      <c r="D21" s="439">
        <v>192</v>
      </c>
      <c r="E21" s="439"/>
      <c r="F21" s="439"/>
      <c r="G21" s="440" t="s">
        <v>568</v>
      </c>
      <c r="H21" s="440"/>
      <c r="I21" s="440"/>
      <c r="J21" s="440"/>
      <c r="K21" s="440" t="s">
        <v>570</v>
      </c>
      <c r="L21" s="440"/>
      <c r="M21" s="439"/>
      <c r="N21" s="439"/>
      <c r="O21" s="439"/>
      <c r="P21" s="439"/>
    </row>
    <row r="22" spans="1:16" x14ac:dyDescent="0.25">
      <c r="A22" s="413">
        <v>13</v>
      </c>
      <c r="B22" s="438" t="str">
        <f t="shared" si="1"/>
        <v>AC3(320) ST - PCM</v>
      </c>
      <c r="C22" s="656"/>
      <c r="D22" s="439">
        <v>320</v>
      </c>
      <c r="E22" s="439"/>
      <c r="F22" s="439"/>
      <c r="G22" s="440" t="s">
        <v>568</v>
      </c>
      <c r="H22" s="440"/>
      <c r="I22" s="440"/>
      <c r="J22" s="440"/>
      <c r="K22" s="440" t="s">
        <v>127</v>
      </c>
      <c r="L22" s="440"/>
      <c r="M22" s="439"/>
      <c r="N22" s="439"/>
      <c r="O22" s="439"/>
      <c r="P22" s="439"/>
    </row>
    <row r="23" spans="1:16" x14ac:dyDescent="0.25">
      <c r="A23" s="413">
        <v>14</v>
      </c>
      <c r="B23" s="438" t="str">
        <f t="shared" si="1"/>
        <v>AC3(640) ST - Comp</v>
      </c>
      <c r="C23" s="656"/>
      <c r="D23" s="439">
        <v>640</v>
      </c>
      <c r="E23" s="439"/>
      <c r="F23" s="439"/>
      <c r="G23" s="440" t="s">
        <v>568</v>
      </c>
      <c r="H23" s="440"/>
      <c r="I23" s="440"/>
      <c r="J23" s="440"/>
      <c r="K23" s="440" t="s">
        <v>570</v>
      </c>
      <c r="L23" s="440"/>
      <c r="M23" s="439"/>
      <c r="N23" s="439"/>
      <c r="O23" s="439"/>
      <c r="P23" s="439"/>
    </row>
    <row r="24" spans="1:16" x14ac:dyDescent="0.25">
      <c r="A24" s="413">
        <v>15</v>
      </c>
      <c r="B24" s="438" t="str">
        <f t="shared" si="1"/>
        <v>AC3(224) 3/2 - PCM</v>
      </c>
      <c r="C24" s="656"/>
      <c r="D24" s="439">
        <v>224</v>
      </c>
      <c r="E24" s="439"/>
      <c r="F24" s="439"/>
      <c r="G24" s="440"/>
      <c r="H24" s="440"/>
      <c r="I24" s="440"/>
      <c r="J24" s="451" t="s">
        <v>132</v>
      </c>
      <c r="K24" s="440" t="s">
        <v>127</v>
      </c>
      <c r="L24" s="440"/>
      <c r="M24" s="439"/>
      <c r="N24" s="439"/>
      <c r="O24" s="439"/>
      <c r="P24" s="439"/>
    </row>
    <row r="25" spans="1:16" ht="13.8" thickBot="1" x14ac:dyDescent="0.3">
      <c r="A25" s="413">
        <v>16</v>
      </c>
      <c r="B25" s="438" t="str">
        <f t="shared" si="1"/>
        <v>AC3(640) 3/2 - Comp</v>
      </c>
      <c r="C25" s="662"/>
      <c r="D25" s="446">
        <v>640</v>
      </c>
      <c r="E25" s="446"/>
      <c r="F25" s="446"/>
      <c r="G25" s="447"/>
      <c r="H25" s="447"/>
      <c r="I25" s="447"/>
      <c r="J25" s="447" t="s">
        <v>132</v>
      </c>
      <c r="K25" s="447" t="s">
        <v>570</v>
      </c>
      <c r="L25" s="447"/>
      <c r="M25" s="450" t="s">
        <v>92</v>
      </c>
      <c r="N25" s="450" t="s">
        <v>92</v>
      </c>
      <c r="O25" s="450" t="s">
        <v>92</v>
      </c>
      <c r="P25" s="450" t="s">
        <v>92</v>
      </c>
    </row>
    <row r="26" spans="1:16" x14ac:dyDescent="0.25">
      <c r="A26" s="413">
        <v>17</v>
      </c>
      <c r="B26" s="438" t="str">
        <f>"DDP("&amp;D26&amp;") "&amp;G26&amp;H26&amp;I26&amp;J26&amp;" - "&amp;K26&amp;","&amp;L26</f>
        <v>DDP(56) SM - PCM,</v>
      </c>
      <c r="C26" s="655" t="s">
        <v>99</v>
      </c>
      <c r="D26" s="439">
        <v>56</v>
      </c>
      <c r="E26" s="439"/>
      <c r="F26" s="439"/>
      <c r="G26" s="440"/>
      <c r="H26" s="440"/>
      <c r="I26" s="440" t="s">
        <v>126</v>
      </c>
      <c r="J26" s="440"/>
      <c r="K26" s="440" t="s">
        <v>127</v>
      </c>
      <c r="L26" s="440"/>
      <c r="M26" s="443" t="s">
        <v>90</v>
      </c>
      <c r="N26" s="443" t="s">
        <v>93</v>
      </c>
      <c r="O26" s="443" t="s">
        <v>95</v>
      </c>
      <c r="P26" s="443" t="s">
        <v>102</v>
      </c>
    </row>
    <row r="27" spans="1:16" x14ac:dyDescent="0.25">
      <c r="A27" s="413">
        <v>18</v>
      </c>
      <c r="B27" s="438" t="str">
        <f t="shared" ref="B27:B35" si="2">"DDP("&amp;D27&amp;") "&amp;G27&amp;H27&amp;I27&amp;J27&amp;" - "&amp;K27&amp;","&amp;L27</f>
        <v>DDP(320) SM - Comp,Pass</v>
      </c>
      <c r="C27" s="656"/>
      <c r="D27" s="439">
        <v>320</v>
      </c>
      <c r="E27" s="439"/>
      <c r="F27" s="439"/>
      <c r="G27" s="440"/>
      <c r="H27" s="440"/>
      <c r="I27" s="440" t="s">
        <v>126</v>
      </c>
      <c r="J27" s="440"/>
      <c r="K27" s="440" t="s">
        <v>570</v>
      </c>
      <c r="L27" s="440" t="s">
        <v>2</v>
      </c>
      <c r="M27" s="443"/>
      <c r="N27" s="443"/>
      <c r="O27" s="443"/>
      <c r="P27" s="443"/>
    </row>
    <row r="28" spans="1:16" x14ac:dyDescent="0.25">
      <c r="A28" s="413">
        <v>19</v>
      </c>
      <c r="B28" s="438" t="str">
        <f t="shared" si="2"/>
        <v>DDP(56) DM - PCM,</v>
      </c>
      <c r="C28" s="656"/>
      <c r="D28" s="439">
        <v>56</v>
      </c>
      <c r="E28" s="439"/>
      <c r="F28" s="439"/>
      <c r="G28" s="440"/>
      <c r="H28" s="440" t="s">
        <v>129</v>
      </c>
      <c r="I28" s="440"/>
      <c r="J28" s="440"/>
      <c r="K28" s="440" t="s">
        <v>127</v>
      </c>
      <c r="L28" s="440"/>
      <c r="M28" s="443"/>
      <c r="N28" s="443"/>
      <c r="O28" s="443"/>
      <c r="P28" s="443"/>
    </row>
    <row r="29" spans="1:16" x14ac:dyDescent="0.25">
      <c r="A29" s="413">
        <v>20</v>
      </c>
      <c r="B29" s="438" t="str">
        <f t="shared" si="2"/>
        <v>DDP(640) DM - Comp,Trans</v>
      </c>
      <c r="C29" s="656"/>
      <c r="D29" s="439">
        <v>640</v>
      </c>
      <c r="E29" s="439"/>
      <c r="F29" s="439"/>
      <c r="G29" s="440"/>
      <c r="H29" s="440" t="s">
        <v>129</v>
      </c>
      <c r="I29" s="440"/>
      <c r="J29" s="440"/>
      <c r="K29" s="440" t="s">
        <v>570</v>
      </c>
      <c r="L29" s="440" t="s">
        <v>135</v>
      </c>
      <c r="M29" s="443"/>
      <c r="N29" s="443"/>
      <c r="O29" s="443"/>
      <c r="P29" s="443"/>
    </row>
    <row r="30" spans="1:16" x14ac:dyDescent="0.25">
      <c r="A30" s="413">
        <v>21</v>
      </c>
      <c r="B30" s="438" t="str">
        <f t="shared" si="2"/>
        <v>DDP(56) ST - Comp,Pass</v>
      </c>
      <c r="C30" s="656"/>
      <c r="D30" s="439">
        <v>56</v>
      </c>
      <c r="E30" s="439"/>
      <c r="F30" s="439"/>
      <c r="G30" s="440" t="s">
        <v>568</v>
      </c>
      <c r="H30" s="440"/>
      <c r="I30" s="440"/>
      <c r="J30" s="440"/>
      <c r="K30" s="440" t="s">
        <v>570</v>
      </c>
      <c r="L30" s="440" t="s">
        <v>2</v>
      </c>
      <c r="M30" s="443"/>
      <c r="N30" s="443"/>
      <c r="O30" s="443"/>
      <c r="P30" s="443"/>
    </row>
    <row r="31" spans="1:16" x14ac:dyDescent="0.25">
      <c r="A31" s="413">
        <v>22</v>
      </c>
      <c r="B31" s="438" t="str">
        <f t="shared" si="2"/>
        <v>DDP(192) ST - Comp,Trans</v>
      </c>
      <c r="C31" s="656"/>
      <c r="D31" s="439">
        <v>192</v>
      </c>
      <c r="E31" s="439"/>
      <c r="F31" s="439"/>
      <c r="G31" s="440" t="s">
        <v>568</v>
      </c>
      <c r="H31" s="440"/>
      <c r="I31" s="440"/>
      <c r="J31" s="440"/>
      <c r="K31" s="440" t="s">
        <v>570</v>
      </c>
      <c r="L31" s="440" t="s">
        <v>135</v>
      </c>
      <c r="M31" s="443"/>
      <c r="N31" s="443"/>
      <c r="O31" s="443"/>
      <c r="P31" s="443"/>
    </row>
    <row r="32" spans="1:16" x14ac:dyDescent="0.25">
      <c r="A32" s="413">
        <v>23</v>
      </c>
      <c r="B32" s="438" t="str">
        <f t="shared" si="2"/>
        <v>DDP(320) ST - PCM,</v>
      </c>
      <c r="C32" s="656"/>
      <c r="D32" s="439">
        <v>320</v>
      </c>
      <c r="E32" s="439"/>
      <c r="F32" s="439"/>
      <c r="G32" s="440" t="s">
        <v>568</v>
      </c>
      <c r="H32" s="440"/>
      <c r="I32" s="440"/>
      <c r="J32" s="440"/>
      <c r="K32" s="440" t="s">
        <v>127</v>
      </c>
      <c r="L32" s="440"/>
      <c r="M32" s="445" t="s">
        <v>83</v>
      </c>
      <c r="N32" s="445" t="s">
        <v>87</v>
      </c>
      <c r="O32" s="445" t="s">
        <v>87</v>
      </c>
      <c r="P32" s="445" t="s">
        <v>87</v>
      </c>
    </row>
    <row r="33" spans="1:16" x14ac:dyDescent="0.25">
      <c r="A33" s="413">
        <v>24</v>
      </c>
      <c r="B33" s="438" t="str">
        <f t="shared" si="2"/>
        <v>DDP(640) ST - Comp,Pass</v>
      </c>
      <c r="C33" s="656"/>
      <c r="D33" s="439">
        <v>640</v>
      </c>
      <c r="E33" s="439"/>
      <c r="F33" s="439"/>
      <c r="G33" s="440" t="s">
        <v>568</v>
      </c>
      <c r="H33" s="440"/>
      <c r="I33" s="440"/>
      <c r="J33" s="440"/>
      <c r="K33" s="440" t="s">
        <v>570</v>
      </c>
      <c r="L33" s="440" t="s">
        <v>2</v>
      </c>
      <c r="M33" s="439" t="s">
        <v>100</v>
      </c>
      <c r="N33" s="439" t="s">
        <v>96</v>
      </c>
      <c r="O33" s="439" t="s">
        <v>96</v>
      </c>
      <c r="P33" s="439" t="s">
        <v>103</v>
      </c>
    </row>
    <row r="34" spans="1:16" x14ac:dyDescent="0.25">
      <c r="A34" s="413">
        <v>25</v>
      </c>
      <c r="B34" s="438" t="str">
        <f t="shared" si="2"/>
        <v>DDP(224) 3/2 - Comp,Trans</v>
      </c>
      <c r="C34" s="656"/>
      <c r="D34" s="439">
        <v>224</v>
      </c>
      <c r="E34" s="439"/>
      <c r="F34" s="439"/>
      <c r="G34" s="440"/>
      <c r="H34" s="440"/>
      <c r="I34" s="440"/>
      <c r="J34" s="440" t="s">
        <v>132</v>
      </c>
      <c r="K34" s="440" t="s">
        <v>570</v>
      </c>
      <c r="L34" s="440" t="s">
        <v>135</v>
      </c>
      <c r="M34" s="445" t="s">
        <v>101</v>
      </c>
      <c r="N34" s="445" t="s">
        <v>101</v>
      </c>
      <c r="O34" s="445" t="s">
        <v>101</v>
      </c>
      <c r="P34" s="445" t="s">
        <v>104</v>
      </c>
    </row>
    <row r="35" spans="1:16" ht="13.8" thickBot="1" x14ac:dyDescent="0.3">
      <c r="A35" s="413">
        <v>26</v>
      </c>
      <c r="B35" s="438" t="str">
        <f t="shared" si="2"/>
        <v>DDP(640) 3/2 - Comp,Pass</v>
      </c>
      <c r="C35" s="662"/>
      <c r="D35" s="446">
        <v>640</v>
      </c>
      <c r="E35" s="446"/>
      <c r="F35" s="446"/>
      <c r="G35" s="447"/>
      <c r="H35" s="447"/>
      <c r="I35" s="447"/>
      <c r="J35" s="447" t="s">
        <v>132</v>
      </c>
      <c r="K35" s="447" t="s">
        <v>570</v>
      </c>
      <c r="L35" s="447" t="s">
        <v>2</v>
      </c>
      <c r="M35" s="452"/>
      <c r="N35" s="452"/>
      <c r="O35" s="452"/>
      <c r="P35" s="450" t="s">
        <v>101</v>
      </c>
    </row>
    <row r="36" spans="1:16" x14ac:dyDescent="0.25">
      <c r="A36" s="413">
        <v>27</v>
      </c>
      <c r="B36" s="438" t="str">
        <f>"AAC-mp4-ADTS("&amp;D36&amp;") SBR Off, TNS Off, "&amp;G36&amp;H36&amp;I36&amp;J36&amp;" - "&amp;K36</f>
        <v>AAC-mp4-ADTS(32) SBR Off, TNS Off, SM - PCM</v>
      </c>
      <c r="C36" s="655" t="s">
        <v>138</v>
      </c>
      <c r="D36" s="439">
        <v>32</v>
      </c>
      <c r="E36" s="655" t="s">
        <v>137</v>
      </c>
      <c r="F36" s="439" t="s">
        <v>143</v>
      </c>
      <c r="G36" s="440"/>
      <c r="H36" s="440"/>
      <c r="I36" s="440" t="s">
        <v>126</v>
      </c>
      <c r="J36" s="440"/>
      <c r="K36" s="440" t="s">
        <v>127</v>
      </c>
      <c r="L36" s="440"/>
      <c r="M36" s="443" t="s">
        <v>105</v>
      </c>
      <c r="N36" s="658"/>
      <c r="O36" s="443" t="s">
        <v>109</v>
      </c>
      <c r="P36" s="443" t="s">
        <v>111</v>
      </c>
    </row>
    <row r="37" spans="1:16" x14ac:dyDescent="0.25">
      <c r="A37" s="413">
        <v>28</v>
      </c>
      <c r="B37" s="438" t="str">
        <f>"AAC-mp4-ADTS("&amp;D37&amp;") SBR Off, TNS On, "&amp;G37&amp;H37&amp;I37&amp;J37&amp;" - "&amp;K37</f>
        <v>AAC-mp4-ADTS(160) SBR Off, TNS On, SM - Comp</v>
      </c>
      <c r="C37" s="656"/>
      <c r="D37" s="439">
        <v>160</v>
      </c>
      <c r="E37" s="656"/>
      <c r="F37" s="439" t="s">
        <v>144</v>
      </c>
      <c r="G37" s="440"/>
      <c r="H37" s="440"/>
      <c r="I37" s="440" t="s">
        <v>126</v>
      </c>
      <c r="J37" s="440"/>
      <c r="K37" s="440" t="s">
        <v>570</v>
      </c>
      <c r="L37" s="440"/>
      <c r="M37" s="445" t="s">
        <v>83</v>
      </c>
      <c r="N37" s="659"/>
      <c r="O37" s="445" t="s">
        <v>87</v>
      </c>
      <c r="P37" s="445" t="s">
        <v>87</v>
      </c>
    </row>
    <row r="38" spans="1:16" x14ac:dyDescent="0.25">
      <c r="A38" s="413">
        <v>29</v>
      </c>
      <c r="B38" s="438" t="str">
        <f>"AAC-mp4-ADTS("&amp;D38&amp;") SBR Off, TNS Off, "&amp;G38&amp;H38&amp;I38&amp;J38&amp;" - "&amp;K38</f>
        <v>AAC-mp4-ADTS(64) SBR Off, TNS Off, DM - PCM</v>
      </c>
      <c r="C38" s="656"/>
      <c r="D38" s="439">
        <v>64</v>
      </c>
      <c r="E38" s="656"/>
      <c r="F38" s="439" t="s">
        <v>143</v>
      </c>
      <c r="G38" s="440"/>
      <c r="H38" s="440" t="s">
        <v>129</v>
      </c>
      <c r="I38" s="440"/>
      <c r="J38" s="440"/>
      <c r="K38" s="440" t="s">
        <v>127</v>
      </c>
      <c r="L38" s="440"/>
      <c r="M38" s="439" t="s">
        <v>106</v>
      </c>
      <c r="N38" s="659"/>
      <c r="O38" s="439" t="s">
        <v>110</v>
      </c>
      <c r="P38" s="439" t="s">
        <v>94</v>
      </c>
    </row>
    <row r="39" spans="1:16" x14ac:dyDescent="0.25">
      <c r="A39" s="413">
        <v>30</v>
      </c>
      <c r="B39" s="438" t="str">
        <f>"AAC-mp4-ADTS("&amp;D39&amp;") SBR Off, TNS On, "&amp;G39&amp;H39&amp;I39&amp;J39&amp;" - "&amp;K39</f>
        <v>AAC-mp4-ADTS(192) SBR Off, TNS On, ST - Comp</v>
      </c>
      <c r="C39" s="656"/>
      <c r="D39" s="439">
        <v>192</v>
      </c>
      <c r="E39" s="656"/>
      <c r="F39" s="439" t="s">
        <v>144</v>
      </c>
      <c r="G39" s="440" t="s">
        <v>568</v>
      </c>
      <c r="H39" s="440"/>
      <c r="I39" s="440"/>
      <c r="J39" s="440"/>
      <c r="K39" s="440" t="s">
        <v>570</v>
      </c>
      <c r="L39" s="440"/>
      <c r="M39" s="445" t="s">
        <v>107</v>
      </c>
      <c r="N39" s="659"/>
      <c r="O39" s="445" t="s">
        <v>107</v>
      </c>
      <c r="P39" s="445" t="s">
        <v>107</v>
      </c>
    </row>
    <row r="40" spans="1:16" ht="13.8" thickBot="1" x14ac:dyDescent="0.3">
      <c r="A40" s="413">
        <v>31</v>
      </c>
      <c r="B40" s="438" t="str">
        <f>"AAC-mp4-ADTS("&amp;D40&amp;") SBR Off, TNS Off, "&amp;G40&amp;H40&amp;I40&amp;J40&amp;" - "&amp;K40</f>
        <v>AAC-mp4-ADTS(640) SBR Off, TNS Off, 3/2 - PCM</v>
      </c>
      <c r="C40" s="656"/>
      <c r="D40" s="446">
        <v>640</v>
      </c>
      <c r="E40" s="662"/>
      <c r="F40" s="446" t="s">
        <v>143</v>
      </c>
      <c r="G40" s="447"/>
      <c r="H40" s="447"/>
      <c r="I40" s="447"/>
      <c r="J40" s="447" t="s">
        <v>132</v>
      </c>
      <c r="K40" s="447" t="s">
        <v>127</v>
      </c>
      <c r="L40" s="447"/>
      <c r="M40" s="450" t="s">
        <v>108</v>
      </c>
      <c r="N40" s="661"/>
      <c r="O40" s="450" t="s">
        <v>108</v>
      </c>
      <c r="P40" s="450" t="s">
        <v>108</v>
      </c>
    </row>
    <row r="41" spans="1:16" x14ac:dyDescent="0.25">
      <c r="A41" s="413">
        <v>32</v>
      </c>
      <c r="B41" s="438" t="str">
        <f>"AAC-mp4-ADTS("&amp;D41&amp;") SBR On, TNS Off, "&amp;G41&amp;H41&amp;I41&amp;J41&amp;" - "&amp;K41</f>
        <v>AAC-mp4-ADTS(32) SBR On, TNS Off, SM - Comp</v>
      </c>
      <c r="C41" s="656"/>
      <c r="D41" s="439">
        <v>32</v>
      </c>
      <c r="E41" s="655" t="s">
        <v>136</v>
      </c>
      <c r="F41" s="655" t="s">
        <v>143</v>
      </c>
      <c r="G41" s="440"/>
      <c r="H41" s="440"/>
      <c r="I41" s="440" t="s">
        <v>126</v>
      </c>
      <c r="J41" s="440"/>
      <c r="K41" s="440" t="s">
        <v>570</v>
      </c>
      <c r="L41" s="440"/>
      <c r="M41" s="443" t="s">
        <v>105</v>
      </c>
      <c r="N41" s="658"/>
      <c r="O41" s="443" t="s">
        <v>86</v>
      </c>
      <c r="P41" s="443" t="s">
        <v>111</v>
      </c>
    </row>
    <row r="42" spans="1:16" x14ac:dyDescent="0.25">
      <c r="A42" s="413">
        <v>33</v>
      </c>
      <c r="B42" s="438" t="str">
        <f>"AAC-mp4-ADTS("&amp;D42&amp;") SBR On, TNS Off, "&amp;G42&amp;H42&amp;I42&amp;J42&amp;" - "&amp;K42</f>
        <v>AAC-mp4-ADTS(28) SBR On, TNS Off, DM - PCM</v>
      </c>
      <c r="C42" s="656"/>
      <c r="D42" s="439">
        <v>28</v>
      </c>
      <c r="E42" s="656"/>
      <c r="F42" s="656"/>
      <c r="G42" s="440"/>
      <c r="H42" s="440" t="s">
        <v>129</v>
      </c>
      <c r="I42" s="440"/>
      <c r="J42" s="440"/>
      <c r="K42" s="440" t="s">
        <v>127</v>
      </c>
      <c r="L42" s="440"/>
      <c r="M42" s="445" t="s">
        <v>83</v>
      </c>
      <c r="N42" s="659"/>
      <c r="O42" s="445" t="s">
        <v>87</v>
      </c>
      <c r="P42" s="445" t="s">
        <v>87</v>
      </c>
    </row>
    <row r="43" spans="1:16" x14ac:dyDescent="0.25">
      <c r="A43" s="413">
        <v>34</v>
      </c>
      <c r="B43" s="438" t="str">
        <f>"AAC-mp4-ADTS("&amp;D43&amp;") SBR On, TNS Off, "&amp;G43&amp;H43&amp;I43&amp;J43&amp;" - "&amp;K43</f>
        <v>AAC-mp4-ADTS(96) SBR On, TNS Off, ST - Comp</v>
      </c>
      <c r="C43" s="656"/>
      <c r="D43" s="439">
        <v>96</v>
      </c>
      <c r="E43" s="656"/>
      <c r="F43" s="656"/>
      <c r="G43" s="440" t="s">
        <v>568</v>
      </c>
      <c r="H43" s="440"/>
      <c r="I43" s="440"/>
      <c r="J43" s="440"/>
      <c r="K43" s="440" t="s">
        <v>570</v>
      </c>
      <c r="L43" s="440"/>
      <c r="M43" s="439" t="s">
        <v>112</v>
      </c>
      <c r="N43" s="659"/>
      <c r="O43" s="439" t="s">
        <v>113</v>
      </c>
      <c r="P43" s="439" t="s">
        <v>114</v>
      </c>
    </row>
    <row r="44" spans="1:16" ht="13.8" thickBot="1" x14ac:dyDescent="0.3">
      <c r="A44" s="413">
        <v>35</v>
      </c>
      <c r="B44" s="438" t="str">
        <f>"AAC-mp4-ADTS("&amp;D44&amp;") SBR On, TNS Off, "&amp;G44&amp;H44&amp;I44&amp;J44&amp;" - "&amp;K44</f>
        <v>AAC-mp4-ADTS(264) SBR On, TNS Off, 3/2 - PCM</v>
      </c>
      <c r="C44" s="662"/>
      <c r="D44" s="446">
        <v>264</v>
      </c>
      <c r="E44" s="662"/>
      <c r="F44" s="662"/>
      <c r="G44" s="447"/>
      <c r="H44" s="447"/>
      <c r="I44" s="447"/>
      <c r="J44" s="447" t="s">
        <v>132</v>
      </c>
      <c r="K44" s="447" t="s">
        <v>127</v>
      </c>
      <c r="L44" s="447"/>
      <c r="M44" s="450" t="s">
        <v>108</v>
      </c>
      <c r="N44" s="661"/>
      <c r="O44" s="450" t="s">
        <v>108</v>
      </c>
      <c r="P44" s="450" t="s">
        <v>108</v>
      </c>
    </row>
    <row r="45" spans="1:16" x14ac:dyDescent="0.25">
      <c r="A45" s="413">
        <v>36</v>
      </c>
      <c r="B45" s="438" t="str">
        <f>"AAC-mp4-LOAS("&amp;D45&amp;") SBR Off, TNS On, "&amp;G45&amp;H45&amp;I45&amp;J45&amp;" - "&amp;K45</f>
        <v>AAC-mp4-LOAS(80) SBR Off, TNS On, SM - Comp</v>
      </c>
      <c r="C45" s="655" t="s">
        <v>139</v>
      </c>
      <c r="D45" s="439">
        <v>80</v>
      </c>
      <c r="E45" s="655" t="s">
        <v>137</v>
      </c>
      <c r="F45" s="439" t="s">
        <v>144</v>
      </c>
      <c r="G45" s="440"/>
      <c r="H45" s="440"/>
      <c r="I45" s="440" t="s">
        <v>126</v>
      </c>
      <c r="J45" s="440"/>
      <c r="K45" s="440" t="s">
        <v>570</v>
      </c>
      <c r="L45" s="440"/>
      <c r="M45" s="443" t="s">
        <v>105</v>
      </c>
      <c r="N45" s="658"/>
      <c r="O45" s="443" t="s">
        <v>109</v>
      </c>
      <c r="P45" s="443" t="s">
        <v>111</v>
      </c>
    </row>
    <row r="46" spans="1:16" x14ac:dyDescent="0.25">
      <c r="A46" s="413">
        <v>37</v>
      </c>
      <c r="B46" s="438" t="str">
        <f>"AAC-mp4-LOAS("&amp;D46&amp;") SBR Off, TNS Off, "&amp;G46&amp;H46&amp;I46&amp;J46&amp;" - "&amp;K46</f>
        <v>AAC-mp4-LOAS(192) SBR Off, TNS Off, DM - PCM</v>
      </c>
      <c r="C46" s="656"/>
      <c r="D46" s="439">
        <v>192</v>
      </c>
      <c r="E46" s="656"/>
      <c r="F46" s="439" t="s">
        <v>143</v>
      </c>
      <c r="G46" s="440"/>
      <c r="H46" s="440" t="s">
        <v>129</v>
      </c>
      <c r="I46" s="440"/>
      <c r="J46" s="440"/>
      <c r="K46" s="440" t="s">
        <v>127</v>
      </c>
      <c r="L46" s="440"/>
      <c r="M46" s="445" t="s">
        <v>83</v>
      </c>
      <c r="N46" s="659"/>
      <c r="O46" s="445" t="s">
        <v>87</v>
      </c>
      <c r="P46" s="445" t="s">
        <v>87</v>
      </c>
    </row>
    <row r="47" spans="1:16" x14ac:dyDescent="0.25">
      <c r="A47" s="413">
        <v>38</v>
      </c>
      <c r="B47" s="438" t="str">
        <f>"AAC-mp4-LOAS("&amp;D47&amp;") SBR Off, TNS On, "&amp;G47&amp;H47&amp;I47&amp;J47&amp;" - "&amp;K47</f>
        <v>AAC-mp4-LOAS(40) SBR Off, TNS On, ST - Comp</v>
      </c>
      <c r="C47" s="656"/>
      <c r="D47" s="439">
        <v>40</v>
      </c>
      <c r="E47" s="656"/>
      <c r="F47" s="439" t="s">
        <v>144</v>
      </c>
      <c r="G47" s="440" t="s">
        <v>568</v>
      </c>
      <c r="H47" s="440"/>
      <c r="I47" s="440"/>
      <c r="J47" s="440"/>
      <c r="K47" s="440" t="s">
        <v>570</v>
      </c>
      <c r="L47" s="440"/>
      <c r="M47" s="439" t="s">
        <v>106</v>
      </c>
      <c r="N47" s="659"/>
      <c r="O47" s="439" t="s">
        <v>110</v>
      </c>
      <c r="P47" s="439" t="s">
        <v>94</v>
      </c>
    </row>
    <row r="48" spans="1:16" x14ac:dyDescent="0.25">
      <c r="A48" s="413">
        <v>39</v>
      </c>
      <c r="B48" s="438" t="str">
        <f>"AAC-mp4-LOAS("&amp;D48&amp;") SBR Off, TNS Off, "&amp;G48&amp;H48&amp;I48&amp;J48&amp;" - "&amp;K48</f>
        <v>AAC-mp4-LOAS(320) SBR Off, TNS Off, ST - PCM</v>
      </c>
      <c r="C48" s="656"/>
      <c r="D48" s="439">
        <v>320</v>
      </c>
      <c r="E48" s="656"/>
      <c r="F48" s="439" t="s">
        <v>143</v>
      </c>
      <c r="G48" s="440" t="s">
        <v>568</v>
      </c>
      <c r="H48" s="440"/>
      <c r="I48" s="440"/>
      <c r="J48" s="440"/>
      <c r="K48" s="440" t="s">
        <v>127</v>
      </c>
      <c r="L48" s="440"/>
      <c r="M48" s="445" t="s">
        <v>107</v>
      </c>
      <c r="N48" s="659"/>
      <c r="O48" s="445" t="s">
        <v>107</v>
      </c>
      <c r="P48" s="445" t="s">
        <v>107</v>
      </c>
    </row>
    <row r="49" spans="1:16" ht="13.8" thickBot="1" x14ac:dyDescent="0.3">
      <c r="A49" s="413">
        <v>40</v>
      </c>
      <c r="B49" s="438" t="str">
        <f>"AAC-mp4-LOAS("&amp;D49&amp;") SBR Off, TNS On, "&amp;G49&amp;H49&amp;I49&amp;J49&amp;" - "&amp;K49</f>
        <v>AAC-mp4-LOAS(96) SBR Off, TNS On, 3/2 - Comp</v>
      </c>
      <c r="C49" s="656"/>
      <c r="D49" s="446">
        <v>96</v>
      </c>
      <c r="E49" s="662"/>
      <c r="F49" s="446" t="s">
        <v>144</v>
      </c>
      <c r="G49" s="447"/>
      <c r="H49" s="447"/>
      <c r="I49" s="447"/>
      <c r="J49" s="447" t="s">
        <v>132</v>
      </c>
      <c r="K49" s="447" t="s">
        <v>570</v>
      </c>
      <c r="L49" s="447"/>
      <c r="M49" s="450" t="s">
        <v>108</v>
      </c>
      <c r="N49" s="661"/>
      <c r="O49" s="450" t="s">
        <v>108</v>
      </c>
      <c r="P49" s="450" t="s">
        <v>108</v>
      </c>
    </row>
    <row r="50" spans="1:16" x14ac:dyDescent="0.25">
      <c r="A50" s="413">
        <v>41</v>
      </c>
      <c r="B50" s="438" t="str">
        <f>"AAC-mp4-LOAS("&amp;D50&amp;") SBR On+Imp, TNS Off, "&amp;G50&amp;H50&amp;I50&amp;J50&amp;" - "&amp;K50</f>
        <v>AAC-mp4-LOAS(64) SBR On+Imp, TNS Off, SM - PCM</v>
      </c>
      <c r="C50" s="656"/>
      <c r="D50" s="439">
        <v>64</v>
      </c>
      <c r="E50" s="655" t="s">
        <v>140</v>
      </c>
      <c r="F50" s="655" t="s">
        <v>143</v>
      </c>
      <c r="G50" s="440"/>
      <c r="H50" s="440"/>
      <c r="I50" s="440" t="s">
        <v>126</v>
      </c>
      <c r="J50" s="440"/>
      <c r="K50" s="440" t="s">
        <v>127</v>
      </c>
      <c r="L50" s="440"/>
      <c r="M50" s="443" t="s">
        <v>105</v>
      </c>
      <c r="N50" s="658"/>
      <c r="O50" s="443" t="s">
        <v>86</v>
      </c>
      <c r="P50" s="443" t="s">
        <v>111</v>
      </c>
    </row>
    <row r="51" spans="1:16" x14ac:dyDescent="0.25">
      <c r="A51" s="413">
        <v>42</v>
      </c>
      <c r="B51" s="438" t="str">
        <f>"AAC-mp4-LOAS("&amp;D51&amp;") SBR On+Imp, TNS Off, "&amp;G51&amp;H51&amp;I51&amp;J51&amp;" - "&amp;K51</f>
        <v>AAC-mp4-LOAS(64) SBR On+Imp, TNS Off, DM - Comp</v>
      </c>
      <c r="C51" s="656"/>
      <c r="D51" s="439">
        <v>64</v>
      </c>
      <c r="E51" s="656"/>
      <c r="F51" s="656"/>
      <c r="G51" s="440"/>
      <c r="H51" s="440" t="s">
        <v>129</v>
      </c>
      <c r="I51" s="440"/>
      <c r="J51" s="440"/>
      <c r="K51" s="440" t="s">
        <v>570</v>
      </c>
      <c r="L51" s="440"/>
      <c r="M51" s="445" t="s">
        <v>83</v>
      </c>
      <c r="N51" s="659"/>
      <c r="O51" s="445" t="s">
        <v>87</v>
      </c>
      <c r="P51" s="445" t="s">
        <v>87</v>
      </c>
    </row>
    <row r="52" spans="1:16" x14ac:dyDescent="0.25">
      <c r="A52" s="413">
        <v>43</v>
      </c>
      <c r="B52" s="438" t="str">
        <f>"AAC-mp4-LOAS("&amp;D52&amp;") SBR On+Imp, TNS Off, "&amp;G52&amp;H52&amp;I52&amp;J52&amp;" - "&amp;K52</f>
        <v>AAC-mp4-LOAS(28) SBR On+Imp, TNS Off, ST - PCM</v>
      </c>
      <c r="C52" s="656"/>
      <c r="D52" s="439">
        <v>28</v>
      </c>
      <c r="E52" s="656"/>
      <c r="F52" s="656"/>
      <c r="G52" s="440" t="s">
        <v>568</v>
      </c>
      <c r="H52" s="440"/>
      <c r="I52" s="440"/>
      <c r="J52" s="440"/>
      <c r="K52" s="440" t="s">
        <v>127</v>
      </c>
      <c r="L52" s="440"/>
      <c r="M52" s="439" t="s">
        <v>112</v>
      </c>
      <c r="N52" s="659"/>
      <c r="O52" s="439" t="s">
        <v>113</v>
      </c>
      <c r="P52" s="439" t="s">
        <v>114</v>
      </c>
    </row>
    <row r="53" spans="1:16" ht="13.8" thickBot="1" x14ac:dyDescent="0.3">
      <c r="A53" s="413">
        <v>44</v>
      </c>
      <c r="B53" s="438" t="str">
        <f>"AAC-mp4-LOAS("&amp;D53&amp;") SBR On+Imp, TNS Off, "&amp;G53&amp;H53&amp;I53&amp;J53&amp;" - "&amp;K53</f>
        <v>AAC-mp4-LOAS(192) SBR On+Imp, TNS Off, 3/2 - Comp</v>
      </c>
      <c r="C53" s="656"/>
      <c r="D53" s="446">
        <v>192</v>
      </c>
      <c r="E53" s="662"/>
      <c r="F53" s="656"/>
      <c r="G53" s="447"/>
      <c r="H53" s="447"/>
      <c r="I53" s="447"/>
      <c r="J53" s="447" t="s">
        <v>132</v>
      </c>
      <c r="K53" s="447" t="s">
        <v>570</v>
      </c>
      <c r="L53" s="447"/>
      <c r="M53" s="450" t="s">
        <v>108</v>
      </c>
      <c r="N53" s="661"/>
      <c r="O53" s="450" t="s">
        <v>108</v>
      </c>
      <c r="P53" s="450" t="s">
        <v>108</v>
      </c>
    </row>
    <row r="54" spans="1:16" x14ac:dyDescent="0.25">
      <c r="A54" s="413">
        <v>45</v>
      </c>
      <c r="B54" s="438" t="str">
        <f>"AAC-mp4-LOAS("&amp;D54&amp;") SBR On+Exp, TNS Off, "&amp;G54&amp;H54&amp;I54&amp;J54&amp;" - "&amp;K54</f>
        <v>AAC-mp4-LOAS(32) SBR On+Exp, TNS Off, SM - PCM</v>
      </c>
      <c r="C54" s="656"/>
      <c r="D54" s="439">
        <v>32</v>
      </c>
      <c r="E54" s="655" t="s">
        <v>141</v>
      </c>
      <c r="F54" s="656"/>
      <c r="G54" s="440"/>
      <c r="H54" s="440"/>
      <c r="I54" s="440" t="s">
        <v>126</v>
      </c>
      <c r="J54" s="440"/>
      <c r="K54" s="440" t="s">
        <v>127</v>
      </c>
      <c r="L54" s="440"/>
      <c r="M54" s="443" t="s">
        <v>105</v>
      </c>
      <c r="N54" s="658"/>
      <c r="O54" s="443" t="s">
        <v>86</v>
      </c>
      <c r="P54" s="443" t="s">
        <v>111</v>
      </c>
    </row>
    <row r="55" spans="1:16" x14ac:dyDescent="0.25">
      <c r="A55" s="413">
        <v>46</v>
      </c>
      <c r="B55" s="438" t="str">
        <f>"AAC-mp4-LOAS("&amp;D55&amp;") SBR On+Exp, TNS Off, "&amp;G55&amp;H55&amp;I55&amp;J55&amp;" - "&amp;K55</f>
        <v>AAC-mp4-LOAS(80) SBR On+Exp, TNS Off, DM - Comp</v>
      </c>
      <c r="C55" s="656"/>
      <c r="D55" s="439">
        <v>80</v>
      </c>
      <c r="E55" s="656"/>
      <c r="F55" s="656"/>
      <c r="G55" s="440"/>
      <c r="H55" s="440" t="s">
        <v>129</v>
      </c>
      <c r="I55" s="440"/>
      <c r="J55" s="440"/>
      <c r="K55" s="440" t="s">
        <v>570</v>
      </c>
      <c r="L55" s="440"/>
      <c r="M55" s="445" t="s">
        <v>83</v>
      </c>
      <c r="N55" s="659"/>
      <c r="O55" s="445" t="s">
        <v>87</v>
      </c>
      <c r="P55" s="445" t="s">
        <v>87</v>
      </c>
    </row>
    <row r="56" spans="1:16" x14ac:dyDescent="0.25">
      <c r="A56" s="413">
        <v>47</v>
      </c>
      <c r="B56" s="438" t="str">
        <f>"AAC-mp4-LOAS("&amp;D56&amp;") SBR On+Exp, TNS Off, "&amp;G56&amp;H56&amp;I56&amp;J56&amp;" - "&amp;K56</f>
        <v>AAC-mp4-LOAS(80) SBR On+Exp, TNS Off, ST - PCM</v>
      </c>
      <c r="C56" s="656"/>
      <c r="D56" s="439">
        <v>80</v>
      </c>
      <c r="E56" s="656"/>
      <c r="F56" s="656"/>
      <c r="G56" s="440" t="s">
        <v>568</v>
      </c>
      <c r="H56" s="440"/>
      <c r="I56" s="440"/>
      <c r="J56" s="440"/>
      <c r="K56" s="440" t="s">
        <v>127</v>
      </c>
      <c r="L56" s="440"/>
      <c r="M56" s="439" t="s">
        <v>112</v>
      </c>
      <c r="N56" s="659"/>
      <c r="O56" s="439" t="s">
        <v>113</v>
      </c>
      <c r="P56" s="439" t="s">
        <v>114</v>
      </c>
    </row>
    <row r="57" spans="1:16" ht="13.8" thickBot="1" x14ac:dyDescent="0.3">
      <c r="A57" s="413">
        <v>48</v>
      </c>
      <c r="B57" s="438" t="str">
        <f>"AAC-mp4-LOAS("&amp;D57&amp;") SBR On+Exp, TNS Off, "&amp;G57&amp;H57&amp;I57&amp;J57&amp;" - "&amp;K57</f>
        <v>AAC-mp4-LOAS(256) SBR On+Exp, TNS Off, 3/2 - Comp</v>
      </c>
      <c r="C57" s="662"/>
      <c r="D57" s="446">
        <v>256</v>
      </c>
      <c r="E57" s="662"/>
      <c r="F57" s="662"/>
      <c r="G57" s="447"/>
      <c r="H57" s="447"/>
      <c r="I57" s="447"/>
      <c r="J57" s="447" t="s">
        <v>132</v>
      </c>
      <c r="K57" s="447" t="s">
        <v>570</v>
      </c>
      <c r="L57" s="447"/>
      <c r="M57" s="450" t="s">
        <v>115</v>
      </c>
      <c r="N57" s="661"/>
      <c r="O57" s="450" t="s">
        <v>108</v>
      </c>
      <c r="P57" s="450" t="s">
        <v>108</v>
      </c>
    </row>
    <row r="58" spans="1:16" x14ac:dyDescent="0.25">
      <c r="A58" s="413">
        <v>49</v>
      </c>
      <c r="B58" s="438" t="str">
        <f>"AAC-mp2-ADTS("&amp;D58&amp;") SBR Off, TNS Off, "&amp;G58&amp;H58&amp;I58&amp;J58&amp;" - "&amp;K58</f>
        <v>AAC-mp2-ADTS(80) SBR Off, TNS Off, SM - PCM</v>
      </c>
      <c r="C58" s="655" t="s">
        <v>116</v>
      </c>
      <c r="D58" s="439">
        <v>80</v>
      </c>
      <c r="E58" s="655" t="s">
        <v>137</v>
      </c>
      <c r="F58" s="439" t="s">
        <v>143</v>
      </c>
      <c r="G58" s="440"/>
      <c r="H58" s="440"/>
      <c r="I58" s="440" t="s">
        <v>126</v>
      </c>
      <c r="J58" s="440"/>
      <c r="K58" s="440" t="s">
        <v>127</v>
      </c>
      <c r="L58" s="440"/>
      <c r="M58" s="443" t="s">
        <v>105</v>
      </c>
      <c r="N58" s="658"/>
      <c r="O58" s="443" t="s">
        <v>109</v>
      </c>
      <c r="P58" s="443" t="s">
        <v>111</v>
      </c>
    </row>
    <row r="59" spans="1:16" x14ac:dyDescent="0.25">
      <c r="A59" s="413">
        <v>50</v>
      </c>
      <c r="B59" s="438" t="str">
        <f>"AAC-mp2-ADTS("&amp;D59&amp;") SBR Off, TNS On, "&amp;G59&amp;H59&amp;I59&amp;J59&amp;" - "&amp;K59</f>
        <v>AAC-mp2-ADTS(96) SBR Off, TNS On, DM - Comp</v>
      </c>
      <c r="C59" s="656"/>
      <c r="D59" s="439">
        <v>96</v>
      </c>
      <c r="E59" s="656"/>
      <c r="F59" s="439" t="s">
        <v>144</v>
      </c>
      <c r="G59" s="440"/>
      <c r="H59" s="440" t="s">
        <v>129</v>
      </c>
      <c r="I59" s="440"/>
      <c r="J59" s="440"/>
      <c r="K59" s="440" t="s">
        <v>570</v>
      </c>
      <c r="L59" s="440"/>
      <c r="M59" s="445" t="s">
        <v>83</v>
      </c>
      <c r="N59" s="659"/>
      <c r="O59" s="445" t="s">
        <v>87</v>
      </c>
      <c r="P59" s="445" t="s">
        <v>87</v>
      </c>
    </row>
    <row r="60" spans="1:16" x14ac:dyDescent="0.25">
      <c r="A60" s="413">
        <v>51</v>
      </c>
      <c r="B60" s="438" t="str">
        <f>"AAC-mp2-ADTS("&amp;D60&amp;") SBR Off, TNS Off, "&amp;G60&amp;H60&amp;I60&amp;J60&amp;" - "&amp;K60</f>
        <v>AAC-mp2-ADTS(96) SBR Off, TNS Off, ST - PCM</v>
      </c>
      <c r="C60" s="656"/>
      <c r="D60" s="439">
        <v>96</v>
      </c>
      <c r="E60" s="656"/>
      <c r="F60" s="439" t="s">
        <v>143</v>
      </c>
      <c r="G60" s="440" t="s">
        <v>568</v>
      </c>
      <c r="H60" s="440"/>
      <c r="I60" s="440"/>
      <c r="J60" s="440"/>
      <c r="K60" s="440" t="s">
        <v>127</v>
      </c>
      <c r="L60" s="440"/>
      <c r="M60" s="439" t="s">
        <v>106</v>
      </c>
      <c r="N60" s="659"/>
      <c r="O60" s="439" t="s">
        <v>110</v>
      </c>
      <c r="P60" s="439" t="s">
        <v>94</v>
      </c>
    </row>
    <row r="61" spans="1:16" x14ac:dyDescent="0.25">
      <c r="A61" s="189">
        <v>52</v>
      </c>
      <c r="B61" s="320" t="str">
        <f t="shared" ref="B61" si="3">"AAC-mp2-ADTS("&amp;D61&amp;") SBR Off, TNS On, "&amp;G61&amp;H61&amp;I61&amp;J61&amp;" - "&amp;K61</f>
        <v>AAC-mp2-ADTS(192) SBR Off, TNS On, ST - Comp</v>
      </c>
      <c r="C61" s="657"/>
      <c r="D61" s="321">
        <v>192</v>
      </c>
      <c r="E61" s="657"/>
      <c r="F61" s="321" t="s">
        <v>144</v>
      </c>
      <c r="G61" s="322" t="s">
        <v>568</v>
      </c>
      <c r="H61" s="322"/>
      <c r="I61" s="322"/>
      <c r="J61" s="322"/>
      <c r="K61" s="322" t="s">
        <v>570</v>
      </c>
      <c r="L61" s="322"/>
      <c r="M61" s="323" t="s">
        <v>107</v>
      </c>
      <c r="N61" s="660"/>
      <c r="O61" s="323" t="s">
        <v>107</v>
      </c>
      <c r="P61" s="323" t="s">
        <v>107</v>
      </c>
    </row>
    <row r="62" spans="1:16" ht="13.8" thickBot="1" x14ac:dyDescent="0.3">
      <c r="A62" s="416">
        <v>53</v>
      </c>
      <c r="B62" s="438" t="str">
        <f>"AAC-mp2-ADTS("&amp;D62&amp;") SBR Off, TNS Off, "&amp;G62&amp;H62&amp;I62&amp;J62&amp;" - "&amp;K62</f>
        <v>AAC-mp2-ADTS(384) SBR Off, TNS Off, 3/2 - PCM</v>
      </c>
      <c r="C62" s="656"/>
      <c r="D62" s="446">
        <v>384</v>
      </c>
      <c r="E62" s="662"/>
      <c r="F62" s="446" t="s">
        <v>143</v>
      </c>
      <c r="G62" s="447"/>
      <c r="H62" s="447"/>
      <c r="I62" s="447"/>
      <c r="J62" s="447" t="s">
        <v>132</v>
      </c>
      <c r="K62" s="447" t="s">
        <v>127</v>
      </c>
      <c r="L62" s="447"/>
      <c r="M62" s="450" t="s">
        <v>108</v>
      </c>
      <c r="N62" s="661"/>
      <c r="O62" s="450" t="s">
        <v>108</v>
      </c>
      <c r="P62" s="450" t="s">
        <v>108</v>
      </c>
    </row>
    <row r="63" spans="1:16" x14ac:dyDescent="0.25">
      <c r="A63" s="143"/>
      <c r="B63" s="143"/>
      <c r="C63" s="145"/>
      <c r="D63" s="143"/>
      <c r="E63" s="143"/>
      <c r="F63" s="143"/>
      <c r="G63" s="145"/>
      <c r="H63" s="145"/>
      <c r="I63" s="145"/>
      <c r="J63" s="145"/>
      <c r="K63" s="145"/>
      <c r="L63" s="145"/>
      <c r="M63" s="143"/>
      <c r="N63" s="143"/>
      <c r="O63" s="143"/>
      <c r="P63" s="143"/>
    </row>
    <row r="64" spans="1:16" x14ac:dyDescent="0.25">
      <c r="A64" s="143">
        <v>0</v>
      </c>
      <c r="B64" s="143"/>
      <c r="C64" s="145" t="s">
        <v>283</v>
      </c>
      <c r="D64" s="143"/>
      <c r="E64" s="143"/>
      <c r="F64" s="143"/>
      <c r="G64" s="145"/>
      <c r="H64" s="145"/>
      <c r="I64" s="145"/>
      <c r="J64" s="145"/>
      <c r="K64" s="145"/>
      <c r="L64" s="145"/>
      <c r="M64" s="143"/>
      <c r="N64" s="143"/>
      <c r="O64" s="143"/>
      <c r="P64" s="143"/>
    </row>
  </sheetData>
  <customSheetViews>
    <customSheetView guid="{E7571780-ED88-421E-BB12-D2AF189A0D99}" scale="115" topLeftCell="A13">
      <selection activeCell="A27" sqref="A27:XFD27"/>
      <pageMargins left="0.75" right="0.75" top="1" bottom="1" header="0.5" footer="0.5"/>
      <pageSetup orientation="portrait" r:id="rId1"/>
      <headerFooter alignWithMargins="0"/>
    </customSheetView>
    <customSheetView guid="{609F876C-F41A-43C8-BD3D-0455630C6D86}" scale="115" topLeftCell="A13">
      <selection activeCell="A27" sqref="A27:XFD27"/>
      <pageMargins left="0.75" right="0.75" top="1" bottom="1" header="0.5" footer="0.5"/>
      <pageSetup orientation="portrait" r:id="rId2"/>
      <headerFooter alignWithMargins="0"/>
    </customSheetView>
    <customSheetView guid="{F5461B2D-C44D-459F-8141-3B434D52A3D6}" scale="115" topLeftCell="A13">
      <selection activeCell="A27" sqref="A27:XFD27"/>
      <pageMargins left="0.75" right="0.75" top="1" bottom="1" header="0.5" footer="0.5"/>
      <pageSetup orientation="portrait" r:id="rId3"/>
      <headerFooter alignWithMargins="0"/>
    </customSheetView>
    <customSheetView guid="{BF4A82E8-EC44-4B28-ABE7-07086B055DF8}" scale="115" topLeftCell="A13">
      <selection activeCell="A27" sqref="A27:XFD27"/>
      <pageMargins left="0.75" right="0.75" top="1" bottom="1" header="0.5" footer="0.5"/>
      <pageSetup orientation="portrait" r:id="rId4"/>
      <headerFooter alignWithMargins="0"/>
    </customSheetView>
    <customSheetView guid="{F9953651-D17A-4C02-9483-C34B454389F8}" scale="115" topLeftCell="A31">
      <selection activeCell="D1" sqref="D1"/>
      <pageMargins left="0.75" right="0.75" top="1" bottom="1" header="0.5" footer="0.5"/>
      <pageSetup orientation="portrait" r:id="rId5"/>
      <headerFooter alignWithMargins="0"/>
    </customSheetView>
    <customSheetView guid="{4081EA0D-9F4E-4F6E-9740-125B98E42AAA}" scale="115" topLeftCell="A31">
      <selection activeCell="D1" sqref="D1"/>
      <pageMargins left="0.75" right="0.75" top="1" bottom="1" header="0.5" footer="0.5"/>
      <pageSetup orientation="portrait" r:id="rId6"/>
      <headerFooter alignWithMargins="0"/>
    </customSheetView>
    <customSheetView guid="{568372EE-5594-48E8-AA4D-B2DFAABD6FBE}" scale="85">
      <selection activeCell="E1" sqref="E1"/>
      <pageMargins left="0.75" right="0.75" top="1" bottom="1" header="0.5" footer="0.5"/>
      <pageSetup orientation="portrait" r:id="rId7"/>
      <headerFooter alignWithMargins="0"/>
    </customSheetView>
    <customSheetView guid="{0C14E275-67BD-4894-92C8-CC979B55C5D1}" scale="115" topLeftCell="A31">
      <selection activeCell="D1" sqref="D1"/>
      <pageMargins left="0.75" right="0.75" top="1" bottom="1" header="0.5" footer="0.5"/>
      <pageSetup orientation="portrait" r:id="rId8"/>
      <headerFooter alignWithMargins="0"/>
    </customSheetView>
    <customSheetView guid="{E04D4D10-73E7-40D1-833B-CE4AC2EB45A8}" scale="115" topLeftCell="A31">
      <selection activeCell="D1" sqref="D1"/>
      <pageMargins left="0.75" right="0.75" top="1" bottom="1" header="0.5" footer="0.5"/>
      <pageSetup orientation="portrait" r:id="rId9"/>
      <headerFooter alignWithMargins="0"/>
    </customSheetView>
    <customSheetView guid="{E6A6C2C1-501F-4FA5-9A65-F097BADC7A88}" scale="75" topLeftCell="A19">
      <selection activeCell="A14" sqref="A14"/>
      <pageMargins left="0.75" right="0.75" top="1" bottom="1" header="0.5" footer="0.5"/>
      <pageSetup orientation="portrait" r:id="rId10"/>
      <headerFooter alignWithMargins="0"/>
    </customSheetView>
    <customSheetView guid="{189813C8-BE28-4174-A3B5-1C707449DBD3}" scale="115" topLeftCell="A13">
      <selection activeCell="A27" sqref="A27:XFD27"/>
      <pageMargins left="0.75" right="0.75" top="1" bottom="1" header="0.5" footer="0.5"/>
      <pageSetup orientation="portrait" r:id="rId11"/>
      <headerFooter alignWithMargins="0"/>
    </customSheetView>
    <customSheetView guid="{A1D6424A-E1FA-4BDE-9758-50490C40BCC4}" scale="115" topLeftCell="A13">
      <selection activeCell="A27" sqref="A27:XFD27"/>
      <pageMargins left="0.75" right="0.75" top="1" bottom="1" header="0.5" footer="0.5"/>
      <pageSetup orientation="portrait" r:id="rId12"/>
      <headerFooter alignWithMargins="0"/>
    </customSheetView>
  </customSheetViews>
  <mergeCells count="27">
    <mergeCell ref="D7:J7"/>
    <mergeCell ref="K7:L8"/>
    <mergeCell ref="E9:F9"/>
    <mergeCell ref="E41:E44"/>
    <mergeCell ref="F41:F44"/>
    <mergeCell ref="E36:E40"/>
    <mergeCell ref="N10:N15"/>
    <mergeCell ref="M8:P8"/>
    <mergeCell ref="G8:J8"/>
    <mergeCell ref="P10:P15"/>
    <mergeCell ref="N45:N49"/>
    <mergeCell ref="N36:N40"/>
    <mergeCell ref="N41:N44"/>
    <mergeCell ref="E45:E49"/>
    <mergeCell ref="E50:E53"/>
    <mergeCell ref="C10:C15"/>
    <mergeCell ref="C16:C25"/>
    <mergeCell ref="C26:C35"/>
    <mergeCell ref="C36:C44"/>
    <mergeCell ref="C45:C57"/>
    <mergeCell ref="C58:C62"/>
    <mergeCell ref="N58:N62"/>
    <mergeCell ref="E58:E62"/>
    <mergeCell ref="E54:E57"/>
    <mergeCell ref="F50:F57"/>
    <mergeCell ref="N54:N57"/>
    <mergeCell ref="N50:N53"/>
  </mergeCells>
  <phoneticPr fontId="17" type="noConversion"/>
  <hyperlinks>
    <hyperlink ref="D1" display="Directory"/>
    <hyperlink ref="E1" display="D9859 Scoreboard"/>
  </hyperlinks>
  <pageMargins left="0.75" right="0.75" top="1" bottom="1" header="0.5" footer="0.5"/>
  <pageSetup orientation="portrait" r:id="rId13"/>
  <headerFooter alignWithMargins="0"/>
  <drawing r:id="rId14"/>
  <legacyDrawing r:id="rId15"/>
  <controls>
    <mc:AlternateContent xmlns:mc="http://schemas.openxmlformats.org/markup-compatibility/2006">
      <mc:Choice Requires="x14">
        <control shapeId="13313" r:id="rId16" name="CommandButton1">
          <controlPr defaultSize="0" autoLine="0" autoPict="0" r:id="rId17">
            <anchor moveWithCells="1">
              <from>
                <xdr:col>8</xdr:col>
                <xdr:colOff>175260</xdr:colOff>
                <xdr:row>1</xdr:row>
                <xdr:rowOff>45720</xdr:rowOff>
              </from>
              <to>
                <xdr:col>10</xdr:col>
                <xdr:colOff>30480</xdr:colOff>
                <xdr:row>5</xdr:row>
                <xdr:rowOff>106680</xdr:rowOff>
              </to>
            </anchor>
          </controlPr>
        </control>
      </mc:Choice>
      <mc:Fallback>
        <control shapeId="13313" r:id="rId1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59"/>
  <sheetViews>
    <sheetView topLeftCell="A25" workbookViewId="0">
      <selection activeCell="A29" sqref="A29:XFD29"/>
    </sheetView>
  </sheetViews>
  <sheetFormatPr defaultColWidth="9.109375" defaultRowHeight="12" customHeight="1" x14ac:dyDescent="0.25"/>
  <cols>
    <col min="1" max="1" width="13" style="3" customWidth="1"/>
    <col min="2" max="2" width="35" style="4" customWidth="1"/>
    <col min="3" max="3" width="13.33203125" style="4" customWidth="1"/>
    <col min="4" max="4" width="14.5546875" style="4" customWidth="1"/>
    <col min="5" max="5" width="21.88671875" style="4" customWidth="1"/>
    <col min="6" max="8" width="12.109375" style="4" customWidth="1"/>
    <col min="9" max="9" width="27" style="4" customWidth="1"/>
    <col min="10" max="11" width="9.109375" style="4"/>
    <col min="12" max="12" width="21.5546875" style="4" customWidth="1"/>
    <col min="13" max="16384" width="9.109375" style="4"/>
  </cols>
  <sheetData>
    <row r="1" spans="1:12" ht="12" customHeight="1" x14ac:dyDescent="0.25">
      <c r="A1" s="14" t="s">
        <v>75</v>
      </c>
      <c r="B1" s="15" t="s">
        <v>77</v>
      </c>
      <c r="C1" s="16" t="s">
        <v>76</v>
      </c>
      <c r="D1" s="112" t="s">
        <v>499</v>
      </c>
      <c r="E1" s="253" t="s">
        <v>606</v>
      </c>
      <c r="F1" s="112"/>
      <c r="G1" s="148"/>
      <c r="H1" s="77"/>
    </row>
    <row r="2" spans="1:12" ht="12" customHeight="1" x14ac:dyDescent="0.25">
      <c r="A2" s="10" t="s">
        <v>78</v>
      </c>
      <c r="B2" s="13" t="s">
        <v>79</v>
      </c>
      <c r="C2" s="17">
        <v>40169</v>
      </c>
    </row>
    <row r="3" spans="1:12" ht="12" customHeight="1" x14ac:dyDescent="0.25">
      <c r="A3" s="10" t="s">
        <v>346</v>
      </c>
      <c r="B3" s="1" t="s">
        <v>347</v>
      </c>
      <c r="C3" s="17">
        <v>40347</v>
      </c>
      <c r="D3" s="4" t="s">
        <v>350</v>
      </c>
    </row>
    <row r="4" spans="1:12" ht="12" customHeight="1" x14ac:dyDescent="0.25">
      <c r="A4" s="72" t="s">
        <v>359</v>
      </c>
      <c r="B4" s="50" t="s">
        <v>347</v>
      </c>
      <c r="C4" s="17">
        <v>40399</v>
      </c>
      <c r="D4" s="47" t="s">
        <v>360</v>
      </c>
    </row>
    <row r="5" spans="1:12" ht="12" customHeight="1" thickBot="1" x14ac:dyDescent="0.3">
      <c r="A5" s="11"/>
      <c r="B5" s="19"/>
      <c r="C5" s="20"/>
      <c r="L5" s="47" t="s">
        <v>207</v>
      </c>
    </row>
    <row r="6" spans="1:12" ht="12" customHeight="1" thickBot="1" x14ac:dyDescent="0.3"/>
    <row r="7" spans="1:12" s="2" customFormat="1" ht="12" customHeight="1" x14ac:dyDescent="0.25">
      <c r="A7" s="44" t="s">
        <v>6</v>
      </c>
      <c r="B7" s="45" t="s">
        <v>7</v>
      </c>
      <c r="C7" s="45" t="s">
        <v>8</v>
      </c>
      <c r="D7" s="45" t="s">
        <v>9</v>
      </c>
      <c r="E7" s="45" t="s">
        <v>10</v>
      </c>
      <c r="F7" s="45" t="s">
        <v>11</v>
      </c>
      <c r="G7" s="45" t="s">
        <v>12</v>
      </c>
      <c r="H7" s="45" t="s">
        <v>13</v>
      </c>
      <c r="I7" s="46" t="s">
        <v>14</v>
      </c>
    </row>
    <row r="8" spans="1:12" ht="12" customHeight="1" x14ac:dyDescent="0.25">
      <c r="A8" s="400">
        <v>1</v>
      </c>
      <c r="B8" s="399" t="s">
        <v>15</v>
      </c>
      <c r="C8" s="399" t="s">
        <v>16</v>
      </c>
      <c r="D8" s="399" t="s">
        <v>17</v>
      </c>
      <c r="E8" s="399" t="s">
        <v>18</v>
      </c>
      <c r="F8" s="399" t="s">
        <v>19</v>
      </c>
      <c r="G8" s="399" t="s">
        <v>20</v>
      </c>
      <c r="H8" s="399" t="s">
        <v>21</v>
      </c>
      <c r="I8" s="401" t="s">
        <v>22</v>
      </c>
      <c r="J8" s="163"/>
      <c r="K8" s="163"/>
      <c r="L8" s="163"/>
    </row>
    <row r="9" spans="1:12" ht="12" customHeight="1" x14ac:dyDescent="0.25">
      <c r="A9" s="400">
        <v>2</v>
      </c>
      <c r="B9" s="399" t="s">
        <v>15</v>
      </c>
      <c r="C9" s="399"/>
      <c r="D9" s="399"/>
      <c r="E9" s="399"/>
      <c r="F9" s="399" t="s">
        <v>19</v>
      </c>
      <c r="G9" s="399" t="s">
        <v>23</v>
      </c>
      <c r="H9" s="399" t="s">
        <v>21</v>
      </c>
      <c r="I9" s="401"/>
      <c r="J9" s="163"/>
      <c r="K9" s="163"/>
      <c r="L9" s="163"/>
    </row>
    <row r="10" spans="1:12" ht="12" customHeight="1" x14ac:dyDescent="0.25">
      <c r="A10" s="400">
        <v>3</v>
      </c>
      <c r="B10" s="399" t="s">
        <v>15</v>
      </c>
      <c r="C10" s="399"/>
      <c r="D10" s="399"/>
      <c r="E10" s="399"/>
      <c r="F10" s="399" t="s">
        <v>24</v>
      </c>
      <c r="G10" s="399" t="s">
        <v>25</v>
      </c>
      <c r="H10" s="399" t="s">
        <v>26</v>
      </c>
      <c r="I10" s="401"/>
      <c r="J10" s="163"/>
      <c r="K10" s="163"/>
      <c r="L10" s="163"/>
    </row>
    <row r="11" spans="1:12" ht="12" customHeight="1" x14ac:dyDescent="0.25">
      <c r="A11" s="400">
        <v>4</v>
      </c>
      <c r="B11" s="399" t="s">
        <v>27</v>
      </c>
      <c r="C11" s="399" t="s">
        <v>28</v>
      </c>
      <c r="D11" s="399" t="s">
        <v>17</v>
      </c>
      <c r="E11" s="399" t="s">
        <v>18</v>
      </c>
      <c r="F11" s="399" t="s">
        <v>24</v>
      </c>
      <c r="G11" s="399" t="s">
        <v>23</v>
      </c>
      <c r="H11" s="399" t="s">
        <v>26</v>
      </c>
      <c r="I11" s="401" t="s">
        <v>22</v>
      </c>
      <c r="J11" s="163"/>
      <c r="K11" s="163"/>
      <c r="L11" s="163"/>
    </row>
    <row r="12" spans="1:12" ht="12" customHeight="1" x14ac:dyDescent="0.25">
      <c r="A12" s="400">
        <v>5</v>
      </c>
      <c r="B12" s="399" t="s">
        <v>27</v>
      </c>
      <c r="C12" s="399"/>
      <c r="D12" s="399"/>
      <c r="E12" s="399"/>
      <c r="F12" s="399" t="s">
        <v>24</v>
      </c>
      <c r="G12" s="399" t="s">
        <v>29</v>
      </c>
      <c r="H12" s="399" t="s">
        <v>26</v>
      </c>
      <c r="I12" s="401"/>
      <c r="J12" s="163"/>
      <c r="K12" s="163"/>
      <c r="L12" s="163"/>
    </row>
    <row r="13" spans="1:12" ht="12" customHeight="1" x14ac:dyDescent="0.25">
      <c r="A13" s="400">
        <v>6</v>
      </c>
      <c r="B13" s="399" t="s">
        <v>27</v>
      </c>
      <c r="C13" s="399"/>
      <c r="D13" s="399"/>
      <c r="E13" s="399"/>
      <c r="F13" s="399" t="s">
        <v>19</v>
      </c>
      <c r="G13" s="399" t="s">
        <v>30</v>
      </c>
      <c r="H13" s="399" t="s">
        <v>21</v>
      </c>
      <c r="I13" s="401"/>
      <c r="J13" s="163"/>
      <c r="K13" s="163"/>
      <c r="L13" s="163"/>
    </row>
    <row r="14" spans="1:12" ht="12" customHeight="1" x14ac:dyDescent="0.25">
      <c r="A14" s="400">
        <v>7</v>
      </c>
      <c r="B14" s="399" t="s">
        <v>31</v>
      </c>
      <c r="C14" s="399" t="s">
        <v>32</v>
      </c>
      <c r="D14" s="399" t="s">
        <v>17</v>
      </c>
      <c r="E14" s="399" t="s">
        <v>18</v>
      </c>
      <c r="F14" s="399" t="s">
        <v>19</v>
      </c>
      <c r="G14" s="399" t="s">
        <v>23</v>
      </c>
      <c r="H14" s="399" t="s">
        <v>26</v>
      </c>
      <c r="I14" s="401" t="s">
        <v>22</v>
      </c>
      <c r="J14" s="163"/>
      <c r="K14" s="163"/>
      <c r="L14" s="163"/>
    </row>
    <row r="15" spans="1:12" ht="12" customHeight="1" x14ac:dyDescent="0.25">
      <c r="A15" s="400">
        <v>8</v>
      </c>
      <c r="B15" s="399" t="s">
        <v>31</v>
      </c>
      <c r="C15" s="399"/>
      <c r="D15" s="399"/>
      <c r="E15" s="399"/>
      <c r="F15" s="399" t="s">
        <v>19</v>
      </c>
      <c r="G15" s="399" t="s">
        <v>29</v>
      </c>
      <c r="H15" s="399" t="s">
        <v>26</v>
      </c>
      <c r="I15" s="401"/>
      <c r="J15" s="163"/>
      <c r="K15" s="163"/>
      <c r="L15" s="163"/>
    </row>
    <row r="16" spans="1:12" ht="12" customHeight="1" x14ac:dyDescent="0.25">
      <c r="A16" s="400">
        <v>9</v>
      </c>
      <c r="B16" s="408" t="s">
        <v>31</v>
      </c>
      <c r="C16" s="399"/>
      <c r="D16" s="399"/>
      <c r="E16" s="399"/>
      <c r="F16" s="399" t="s">
        <v>19</v>
      </c>
      <c r="G16" s="399" t="s">
        <v>30</v>
      </c>
      <c r="H16" s="399" t="s">
        <v>21</v>
      </c>
      <c r="I16" s="401"/>
      <c r="J16" s="163"/>
      <c r="K16" s="163"/>
      <c r="L16" s="163"/>
    </row>
    <row r="17" spans="1:12" ht="12" customHeight="1" x14ac:dyDescent="0.25">
      <c r="A17" s="400">
        <v>10</v>
      </c>
      <c r="B17" s="399" t="s">
        <v>33</v>
      </c>
      <c r="C17" s="399" t="s">
        <v>34</v>
      </c>
      <c r="D17" s="402" t="s">
        <v>35</v>
      </c>
      <c r="E17" s="399" t="s">
        <v>36</v>
      </c>
      <c r="F17" s="399" t="s">
        <v>19</v>
      </c>
      <c r="G17" s="399" t="s">
        <v>23</v>
      </c>
      <c r="H17" s="399" t="s">
        <v>37</v>
      </c>
      <c r="I17" s="401" t="s">
        <v>38</v>
      </c>
      <c r="J17" s="163"/>
      <c r="K17" s="163"/>
      <c r="L17" s="163"/>
    </row>
    <row r="18" spans="1:12" ht="12" customHeight="1" x14ac:dyDescent="0.25">
      <c r="A18" s="400">
        <v>11</v>
      </c>
      <c r="B18" s="399" t="s">
        <v>33</v>
      </c>
      <c r="C18" s="399"/>
      <c r="D18" s="402"/>
      <c r="E18" s="399" t="s">
        <v>36</v>
      </c>
      <c r="F18" s="399" t="s">
        <v>24</v>
      </c>
      <c r="G18" s="399" t="s">
        <v>348</v>
      </c>
      <c r="H18" s="399" t="s">
        <v>37</v>
      </c>
      <c r="I18" s="401" t="s">
        <v>38</v>
      </c>
      <c r="J18" s="163"/>
      <c r="K18" s="163"/>
      <c r="L18" s="163"/>
    </row>
    <row r="19" spans="1:12" ht="12" customHeight="1" x14ac:dyDescent="0.25">
      <c r="A19" s="400">
        <v>12</v>
      </c>
      <c r="B19" s="399" t="s">
        <v>33</v>
      </c>
      <c r="C19" s="399"/>
      <c r="D19" s="402"/>
      <c r="E19" s="399" t="s">
        <v>39</v>
      </c>
      <c r="F19" s="399" t="s">
        <v>24</v>
      </c>
      <c r="G19" s="399" t="s">
        <v>349</v>
      </c>
      <c r="H19" s="399" t="s">
        <v>37</v>
      </c>
      <c r="I19" s="401" t="s">
        <v>38</v>
      </c>
      <c r="J19" s="163"/>
      <c r="K19" s="163"/>
      <c r="L19" s="163"/>
    </row>
    <row r="20" spans="1:12" ht="12" customHeight="1" x14ac:dyDescent="0.25">
      <c r="A20" s="514">
        <v>13</v>
      </c>
      <c r="B20" s="515" t="s">
        <v>40</v>
      </c>
      <c r="C20" s="515" t="s">
        <v>41</v>
      </c>
      <c r="D20" s="516" t="s">
        <v>35</v>
      </c>
      <c r="E20" s="515" t="s">
        <v>36</v>
      </c>
      <c r="F20" s="515" t="s">
        <v>19</v>
      </c>
      <c r="G20" s="515" t="s">
        <v>23</v>
      </c>
      <c r="H20" s="515" t="s">
        <v>37</v>
      </c>
      <c r="I20" s="517" t="s">
        <v>38</v>
      </c>
      <c r="J20" s="518"/>
      <c r="K20" s="518"/>
      <c r="L20" s="518"/>
    </row>
    <row r="21" spans="1:12" ht="12" customHeight="1" x14ac:dyDescent="0.25">
      <c r="A21" s="400">
        <v>14</v>
      </c>
      <c r="B21" s="399" t="s">
        <v>40</v>
      </c>
      <c r="C21" s="399"/>
      <c r="D21" s="402"/>
      <c r="E21" s="399" t="s">
        <v>36</v>
      </c>
      <c r="F21" s="399" t="s">
        <v>19</v>
      </c>
      <c r="G21" s="399" t="s">
        <v>348</v>
      </c>
      <c r="H21" s="399" t="s">
        <v>37</v>
      </c>
      <c r="I21" s="401" t="s">
        <v>38</v>
      </c>
      <c r="J21" s="163"/>
      <c r="K21" s="163"/>
      <c r="L21" s="163"/>
    </row>
    <row r="22" spans="1:12" ht="12" customHeight="1" x14ac:dyDescent="0.25">
      <c r="A22" s="400">
        <v>15</v>
      </c>
      <c r="B22" s="399" t="s">
        <v>40</v>
      </c>
      <c r="C22" s="399"/>
      <c r="D22" s="402"/>
      <c r="E22" s="399" t="s">
        <v>39</v>
      </c>
      <c r="F22" s="399" t="s">
        <v>19</v>
      </c>
      <c r="G22" s="399" t="s">
        <v>349</v>
      </c>
      <c r="H22" s="399" t="s">
        <v>37</v>
      </c>
      <c r="I22" s="401" t="s">
        <v>38</v>
      </c>
      <c r="J22" s="163"/>
      <c r="K22" s="163"/>
      <c r="L22" s="163"/>
    </row>
    <row r="23" spans="1:12" ht="12" customHeight="1" x14ac:dyDescent="0.25">
      <c r="A23" s="514">
        <v>16</v>
      </c>
      <c r="B23" s="515" t="s">
        <v>42</v>
      </c>
      <c r="C23" s="515" t="s">
        <v>43</v>
      </c>
      <c r="D23" s="516" t="s">
        <v>44</v>
      </c>
      <c r="E23" s="515" t="s">
        <v>45</v>
      </c>
      <c r="F23" s="515" t="s">
        <v>24</v>
      </c>
      <c r="G23" s="515" t="s">
        <v>30</v>
      </c>
      <c r="H23" s="515" t="s">
        <v>21</v>
      </c>
      <c r="I23" s="517" t="s">
        <v>46</v>
      </c>
      <c r="J23" s="518"/>
      <c r="K23" s="518"/>
      <c r="L23" s="518"/>
    </row>
    <row r="24" spans="1:12" ht="12" customHeight="1" x14ac:dyDescent="0.25">
      <c r="A24" s="519">
        <v>17</v>
      </c>
      <c r="B24" s="520" t="s">
        <v>42</v>
      </c>
      <c r="C24" s="520" t="s">
        <v>43</v>
      </c>
      <c r="D24" s="523"/>
      <c r="E24" s="520" t="s">
        <v>45</v>
      </c>
      <c r="F24" s="520" t="s">
        <v>24</v>
      </c>
      <c r="G24" s="520" t="s">
        <v>47</v>
      </c>
      <c r="H24" s="520" t="s">
        <v>21</v>
      </c>
      <c r="I24" s="521" t="s">
        <v>46</v>
      </c>
      <c r="J24" s="522"/>
      <c r="K24" s="522"/>
      <c r="L24" s="522"/>
    </row>
    <row r="25" spans="1:12" ht="12" customHeight="1" x14ac:dyDescent="0.25">
      <c r="A25" s="400">
        <v>18</v>
      </c>
      <c r="B25" s="399" t="s">
        <v>42</v>
      </c>
      <c r="C25" s="399" t="s">
        <v>48</v>
      </c>
      <c r="D25" s="402"/>
      <c r="E25" s="399" t="s">
        <v>45</v>
      </c>
      <c r="F25" s="399" t="s">
        <v>19</v>
      </c>
      <c r="G25" s="399" t="s">
        <v>49</v>
      </c>
      <c r="H25" s="399" t="s">
        <v>26</v>
      </c>
      <c r="I25" s="401" t="s">
        <v>46</v>
      </c>
      <c r="J25" s="163"/>
      <c r="K25" s="163"/>
      <c r="L25" s="163"/>
    </row>
    <row r="26" spans="1:12" ht="12" customHeight="1" x14ac:dyDescent="0.25">
      <c r="A26" s="400">
        <v>19</v>
      </c>
      <c r="B26" s="399" t="s">
        <v>50</v>
      </c>
      <c r="C26" s="399" t="s">
        <v>43</v>
      </c>
      <c r="D26" s="402"/>
      <c r="E26" s="399" t="s">
        <v>45</v>
      </c>
      <c r="F26" s="399" t="s">
        <v>19</v>
      </c>
      <c r="G26" s="399" t="s">
        <v>30</v>
      </c>
      <c r="H26" s="399" t="s">
        <v>21</v>
      </c>
      <c r="I26" s="401" t="s">
        <v>46</v>
      </c>
      <c r="J26" s="163"/>
      <c r="K26" s="163"/>
      <c r="L26" s="163"/>
    </row>
    <row r="27" spans="1:12" ht="12" customHeight="1" x14ac:dyDescent="0.25">
      <c r="A27" s="519">
        <v>20</v>
      </c>
      <c r="B27" s="520" t="s">
        <v>50</v>
      </c>
      <c r="C27" s="520" t="s">
        <v>43</v>
      </c>
      <c r="D27" s="523"/>
      <c r="E27" s="520" t="s">
        <v>45</v>
      </c>
      <c r="F27" s="520" t="s">
        <v>19</v>
      </c>
      <c r="G27" s="520" t="s">
        <v>47</v>
      </c>
      <c r="H27" s="520" t="s">
        <v>21</v>
      </c>
      <c r="I27" s="521" t="s">
        <v>46</v>
      </c>
      <c r="J27" s="522"/>
      <c r="K27" s="522"/>
      <c r="L27" s="522"/>
    </row>
    <row r="28" spans="1:12" ht="12" customHeight="1" x14ac:dyDescent="0.25">
      <c r="A28" s="400">
        <v>21</v>
      </c>
      <c r="B28" s="399" t="s">
        <v>50</v>
      </c>
      <c r="C28" s="399" t="s">
        <v>48</v>
      </c>
      <c r="D28" s="402"/>
      <c r="E28" s="399" t="s">
        <v>45</v>
      </c>
      <c r="F28" s="399" t="s">
        <v>19</v>
      </c>
      <c r="G28" s="399" t="s">
        <v>49</v>
      </c>
      <c r="H28" s="399" t="s">
        <v>26</v>
      </c>
      <c r="I28" s="401" t="s">
        <v>46</v>
      </c>
      <c r="J28" s="163"/>
      <c r="K28" s="163"/>
      <c r="L28" s="163"/>
    </row>
    <row r="29" spans="1:12" ht="12" customHeight="1" x14ac:dyDescent="0.25">
      <c r="A29" s="514">
        <v>22</v>
      </c>
      <c r="B29" s="515" t="s">
        <v>51</v>
      </c>
      <c r="C29" s="515" t="s">
        <v>52</v>
      </c>
      <c r="D29" s="516"/>
      <c r="E29" s="515" t="s">
        <v>45</v>
      </c>
      <c r="F29" s="515" t="s">
        <v>24</v>
      </c>
      <c r="G29" s="515" t="s">
        <v>53</v>
      </c>
      <c r="H29" s="515" t="s">
        <v>21</v>
      </c>
      <c r="I29" s="517" t="s">
        <v>46</v>
      </c>
      <c r="J29" s="518"/>
      <c r="K29" s="518"/>
      <c r="L29" s="518"/>
    </row>
    <row r="30" spans="1:12" ht="12" customHeight="1" x14ac:dyDescent="0.25">
      <c r="A30" s="400">
        <v>23</v>
      </c>
      <c r="B30" s="399" t="s">
        <v>51</v>
      </c>
      <c r="C30" s="399" t="s">
        <v>52</v>
      </c>
      <c r="D30" s="402"/>
      <c r="E30" s="399" t="s">
        <v>45</v>
      </c>
      <c r="F30" s="399" t="s">
        <v>24</v>
      </c>
      <c r="G30" s="399" t="s">
        <v>47</v>
      </c>
      <c r="H30" s="399" t="s">
        <v>21</v>
      </c>
      <c r="I30" s="401" t="s">
        <v>46</v>
      </c>
      <c r="J30" s="163"/>
      <c r="K30" s="163"/>
      <c r="L30" s="163"/>
    </row>
    <row r="31" spans="1:12" ht="12" customHeight="1" x14ac:dyDescent="0.25">
      <c r="A31" s="400">
        <v>24</v>
      </c>
      <c r="B31" s="399" t="s">
        <v>51</v>
      </c>
      <c r="C31" s="399" t="s">
        <v>54</v>
      </c>
      <c r="D31" s="402"/>
      <c r="E31" s="399" t="s">
        <v>45</v>
      </c>
      <c r="F31" s="399" t="s">
        <v>19</v>
      </c>
      <c r="G31" s="399" t="s">
        <v>49</v>
      </c>
      <c r="H31" s="399" t="s">
        <v>26</v>
      </c>
      <c r="I31" s="401" t="s">
        <v>46</v>
      </c>
      <c r="J31" s="163"/>
      <c r="K31" s="163"/>
      <c r="L31" s="163"/>
    </row>
    <row r="32" spans="1:12" ht="12" customHeight="1" x14ac:dyDescent="0.25">
      <c r="A32" s="514">
        <v>25</v>
      </c>
      <c r="B32" s="515" t="s">
        <v>55</v>
      </c>
      <c r="C32" s="515" t="s">
        <v>52</v>
      </c>
      <c r="D32" s="515"/>
      <c r="E32" s="515" t="s">
        <v>45</v>
      </c>
      <c r="F32" s="515" t="s">
        <v>19</v>
      </c>
      <c r="G32" s="515" t="s">
        <v>53</v>
      </c>
      <c r="H32" s="515" t="s">
        <v>21</v>
      </c>
      <c r="I32" s="517" t="s">
        <v>46</v>
      </c>
      <c r="J32" s="518"/>
      <c r="K32" s="518"/>
      <c r="L32" s="518"/>
    </row>
    <row r="33" spans="1:12" ht="12" customHeight="1" x14ac:dyDescent="0.25">
      <c r="A33" s="400">
        <v>26</v>
      </c>
      <c r="B33" s="399" t="s">
        <v>55</v>
      </c>
      <c r="C33" s="399" t="s">
        <v>52</v>
      </c>
      <c r="D33" s="399"/>
      <c r="E33" s="399" t="s">
        <v>45</v>
      </c>
      <c r="F33" s="399" t="s">
        <v>19</v>
      </c>
      <c r="G33" s="399" t="s">
        <v>47</v>
      </c>
      <c r="H33" s="399" t="s">
        <v>21</v>
      </c>
      <c r="I33" s="401" t="s">
        <v>46</v>
      </c>
      <c r="J33" s="163"/>
      <c r="K33" s="163"/>
      <c r="L33" s="163"/>
    </row>
    <row r="34" spans="1:12" ht="12" customHeight="1" x14ac:dyDescent="0.25">
      <c r="A34" s="400">
        <v>27</v>
      </c>
      <c r="B34" s="399" t="s">
        <v>55</v>
      </c>
      <c r="C34" s="399" t="s">
        <v>54</v>
      </c>
      <c r="D34" s="399"/>
      <c r="E34" s="399" t="s">
        <v>45</v>
      </c>
      <c r="F34" s="399" t="s">
        <v>19</v>
      </c>
      <c r="G34" s="399" t="s">
        <v>49</v>
      </c>
      <c r="H34" s="399" t="s">
        <v>26</v>
      </c>
      <c r="I34" s="401" t="s">
        <v>46</v>
      </c>
      <c r="J34" s="163"/>
      <c r="K34" s="163"/>
      <c r="L34" s="163"/>
    </row>
    <row r="35" spans="1:12" s="71" customFormat="1" ht="12" customHeight="1" x14ac:dyDescent="0.25">
      <c r="A35" s="519">
        <v>28</v>
      </c>
      <c r="B35" s="520" t="s">
        <v>56</v>
      </c>
      <c r="C35" s="520" t="s">
        <v>43</v>
      </c>
      <c r="D35" s="520" t="s">
        <v>57</v>
      </c>
      <c r="E35" s="520" t="s">
        <v>58</v>
      </c>
      <c r="F35" s="520" t="s">
        <v>24</v>
      </c>
      <c r="G35" s="520" t="s">
        <v>59</v>
      </c>
      <c r="H35" s="520" t="s">
        <v>26</v>
      </c>
      <c r="I35" s="521" t="s">
        <v>60</v>
      </c>
      <c r="J35" s="522"/>
      <c r="K35" s="522"/>
      <c r="L35" s="522"/>
    </row>
    <row r="36" spans="1:12" s="71" customFormat="1" ht="12" customHeight="1" x14ac:dyDescent="0.25">
      <c r="A36" s="400">
        <v>29</v>
      </c>
      <c r="B36" s="399" t="s">
        <v>56</v>
      </c>
      <c r="C36" s="399" t="s">
        <v>43</v>
      </c>
      <c r="D36" s="399" t="s">
        <v>57</v>
      </c>
      <c r="E36" s="399" t="s">
        <v>58</v>
      </c>
      <c r="F36" s="399" t="s">
        <v>24</v>
      </c>
      <c r="G36" s="399" t="s">
        <v>61</v>
      </c>
      <c r="H36" s="399" t="s">
        <v>26</v>
      </c>
      <c r="I36" s="401" t="s">
        <v>60</v>
      </c>
      <c r="J36" s="163"/>
      <c r="K36" s="163"/>
      <c r="L36" s="163"/>
    </row>
    <row r="37" spans="1:12" s="71" customFormat="1" ht="12" customHeight="1" x14ac:dyDescent="0.25">
      <c r="A37" s="400">
        <v>30</v>
      </c>
      <c r="B37" s="399" t="s">
        <v>56</v>
      </c>
      <c r="C37" s="399" t="s">
        <v>48</v>
      </c>
      <c r="D37" s="399" t="s">
        <v>57</v>
      </c>
      <c r="E37" s="399" t="s">
        <v>62</v>
      </c>
      <c r="F37" s="399" t="s">
        <v>19</v>
      </c>
      <c r="G37" s="399" t="s">
        <v>63</v>
      </c>
      <c r="H37" s="399" t="s">
        <v>21</v>
      </c>
      <c r="I37" s="401" t="s">
        <v>60</v>
      </c>
      <c r="J37" s="163"/>
      <c r="K37" s="163"/>
      <c r="L37" s="163"/>
    </row>
    <row r="38" spans="1:12" s="71" customFormat="1" ht="12" customHeight="1" x14ac:dyDescent="0.25">
      <c r="A38" s="400">
        <v>31</v>
      </c>
      <c r="B38" s="399" t="s">
        <v>64</v>
      </c>
      <c r="C38" s="399" t="s">
        <v>43</v>
      </c>
      <c r="D38" s="399" t="s">
        <v>57</v>
      </c>
      <c r="E38" s="399" t="s">
        <v>58</v>
      </c>
      <c r="F38" s="399" t="s">
        <v>19</v>
      </c>
      <c r="G38" s="399" t="s">
        <v>59</v>
      </c>
      <c r="H38" s="399" t="s">
        <v>26</v>
      </c>
      <c r="I38" s="401" t="s">
        <v>60</v>
      </c>
      <c r="J38" s="163"/>
      <c r="K38" s="163"/>
      <c r="L38" s="163"/>
    </row>
    <row r="39" spans="1:12" s="71" customFormat="1" ht="12" customHeight="1" x14ac:dyDescent="0.25">
      <c r="A39" s="400">
        <v>32</v>
      </c>
      <c r="B39" s="399" t="s">
        <v>64</v>
      </c>
      <c r="C39" s="399" t="s">
        <v>43</v>
      </c>
      <c r="D39" s="399" t="s">
        <v>57</v>
      </c>
      <c r="E39" s="399" t="s">
        <v>58</v>
      </c>
      <c r="F39" s="399" t="s">
        <v>19</v>
      </c>
      <c r="G39" s="399" t="s">
        <v>61</v>
      </c>
      <c r="H39" s="399" t="s">
        <v>26</v>
      </c>
      <c r="I39" s="401" t="s">
        <v>60</v>
      </c>
      <c r="J39" s="163"/>
      <c r="K39" s="163"/>
      <c r="L39" s="163"/>
    </row>
    <row r="40" spans="1:12" s="71" customFormat="1" ht="12" customHeight="1" x14ac:dyDescent="0.25">
      <c r="A40" s="519">
        <v>33</v>
      </c>
      <c r="B40" s="520" t="s">
        <v>64</v>
      </c>
      <c r="C40" s="520" t="s">
        <v>48</v>
      </c>
      <c r="D40" s="520" t="s">
        <v>57</v>
      </c>
      <c r="E40" s="520" t="s">
        <v>62</v>
      </c>
      <c r="F40" s="520" t="s">
        <v>19</v>
      </c>
      <c r="G40" s="520" t="s">
        <v>63</v>
      </c>
      <c r="H40" s="520" t="s">
        <v>21</v>
      </c>
      <c r="I40" s="521" t="s">
        <v>60</v>
      </c>
      <c r="J40" s="522"/>
      <c r="K40" s="522"/>
      <c r="L40" s="522"/>
    </row>
    <row r="41" spans="1:12" s="71" customFormat="1" ht="12" customHeight="1" x14ac:dyDescent="0.25">
      <c r="A41" s="400">
        <v>34</v>
      </c>
      <c r="B41" s="399" t="s">
        <v>65</v>
      </c>
      <c r="C41" s="399" t="s">
        <v>52</v>
      </c>
      <c r="D41" s="399" t="s">
        <v>57</v>
      </c>
      <c r="E41" s="399" t="s">
        <v>58</v>
      </c>
      <c r="F41" s="399" t="s">
        <v>24</v>
      </c>
      <c r="G41" s="399" t="s">
        <v>59</v>
      </c>
      <c r="H41" s="399" t="s">
        <v>26</v>
      </c>
      <c r="I41" s="401" t="s">
        <v>60</v>
      </c>
      <c r="J41" s="163"/>
      <c r="K41" s="163"/>
      <c r="L41" s="163"/>
    </row>
    <row r="42" spans="1:12" s="71" customFormat="1" ht="12" customHeight="1" x14ac:dyDescent="0.25">
      <c r="A42" s="400">
        <v>35</v>
      </c>
      <c r="B42" s="399" t="s">
        <v>65</v>
      </c>
      <c r="C42" s="399" t="s">
        <v>52</v>
      </c>
      <c r="D42" s="399" t="s">
        <v>57</v>
      </c>
      <c r="E42" s="399" t="s">
        <v>58</v>
      </c>
      <c r="F42" s="399" t="s">
        <v>24</v>
      </c>
      <c r="G42" s="399" t="s">
        <v>61</v>
      </c>
      <c r="H42" s="399" t="s">
        <v>26</v>
      </c>
      <c r="I42" s="401" t="s">
        <v>60</v>
      </c>
      <c r="J42" s="163"/>
      <c r="K42" s="163"/>
      <c r="L42" s="163"/>
    </row>
    <row r="43" spans="1:12" s="71" customFormat="1" ht="12" customHeight="1" x14ac:dyDescent="0.25">
      <c r="A43" s="400">
        <v>36</v>
      </c>
      <c r="B43" s="399" t="s">
        <v>65</v>
      </c>
      <c r="C43" s="399" t="s">
        <v>54</v>
      </c>
      <c r="D43" s="399" t="s">
        <v>57</v>
      </c>
      <c r="E43" s="399" t="s">
        <v>62</v>
      </c>
      <c r="F43" s="399" t="s">
        <v>19</v>
      </c>
      <c r="G43" s="399" t="s">
        <v>63</v>
      </c>
      <c r="H43" s="399" t="s">
        <v>21</v>
      </c>
      <c r="I43" s="401" t="s">
        <v>60</v>
      </c>
      <c r="J43" s="163"/>
      <c r="K43" s="163"/>
      <c r="L43" s="163"/>
    </row>
    <row r="44" spans="1:12" s="71" customFormat="1" ht="12" customHeight="1" x14ac:dyDescent="0.25">
      <c r="A44" s="400">
        <v>37</v>
      </c>
      <c r="B44" s="399" t="s">
        <v>66</v>
      </c>
      <c r="C44" s="399" t="s">
        <v>52</v>
      </c>
      <c r="D44" s="399" t="s">
        <v>57</v>
      </c>
      <c r="E44" s="399" t="s">
        <v>58</v>
      </c>
      <c r="F44" s="399" t="s">
        <v>19</v>
      </c>
      <c r="G44" s="399" t="s">
        <v>59</v>
      </c>
      <c r="H44" s="399" t="s">
        <v>26</v>
      </c>
      <c r="I44" s="401" t="s">
        <v>60</v>
      </c>
      <c r="J44" s="163"/>
      <c r="K44" s="163"/>
      <c r="L44" s="163"/>
    </row>
    <row r="45" spans="1:12" s="71" customFormat="1" ht="12" customHeight="1" x14ac:dyDescent="0.25">
      <c r="A45" s="519">
        <v>38</v>
      </c>
      <c r="B45" s="520" t="s">
        <v>66</v>
      </c>
      <c r="C45" s="520" t="s">
        <v>52</v>
      </c>
      <c r="D45" s="520" t="s">
        <v>57</v>
      </c>
      <c r="E45" s="520" t="s">
        <v>58</v>
      </c>
      <c r="F45" s="520" t="s">
        <v>19</v>
      </c>
      <c r="G45" s="520" t="s">
        <v>61</v>
      </c>
      <c r="H45" s="520" t="s">
        <v>26</v>
      </c>
      <c r="I45" s="521" t="s">
        <v>60</v>
      </c>
      <c r="J45" s="522"/>
      <c r="K45" s="522"/>
      <c r="L45" s="522"/>
    </row>
    <row r="46" spans="1:12" s="71" customFormat="1" ht="12" customHeight="1" thickBot="1" x14ac:dyDescent="0.3">
      <c r="A46" s="403">
        <v>39</v>
      </c>
      <c r="B46" s="404" t="s">
        <v>66</v>
      </c>
      <c r="C46" s="404" t="s">
        <v>54</v>
      </c>
      <c r="D46" s="404" t="s">
        <v>57</v>
      </c>
      <c r="E46" s="404" t="s">
        <v>62</v>
      </c>
      <c r="F46" s="404" t="s">
        <v>19</v>
      </c>
      <c r="G46" s="404" t="s">
        <v>63</v>
      </c>
      <c r="H46" s="404" t="s">
        <v>21</v>
      </c>
      <c r="I46" s="405" t="s">
        <v>60</v>
      </c>
      <c r="J46" s="163"/>
      <c r="K46" s="163"/>
      <c r="L46" s="163"/>
    </row>
    <row r="47" spans="1:12" s="71" customFormat="1" ht="12" customHeight="1" x14ac:dyDescent="0.25">
      <c r="A47" s="400">
        <v>40</v>
      </c>
      <c r="B47" s="399" t="s">
        <v>33</v>
      </c>
      <c r="C47" s="406" t="s">
        <v>354</v>
      </c>
      <c r="D47" s="407" t="s">
        <v>353</v>
      </c>
      <c r="E47" s="399" t="s">
        <v>36</v>
      </c>
      <c r="F47" s="399" t="s">
        <v>19</v>
      </c>
      <c r="G47" s="399" t="s">
        <v>23</v>
      </c>
      <c r="H47" s="399" t="s">
        <v>37</v>
      </c>
      <c r="I47" s="401" t="s">
        <v>351</v>
      </c>
      <c r="J47" s="163"/>
      <c r="K47" s="163"/>
      <c r="L47" s="163"/>
    </row>
    <row r="48" spans="1:12" s="71" customFormat="1" ht="12" customHeight="1" thickBot="1" x14ac:dyDescent="0.3">
      <c r="A48" s="403">
        <v>41</v>
      </c>
      <c r="B48" s="408" t="s">
        <v>40</v>
      </c>
      <c r="C48" s="406" t="s">
        <v>352</v>
      </c>
      <c r="D48" s="406"/>
      <c r="E48" s="399" t="s">
        <v>36</v>
      </c>
      <c r="F48" s="399" t="s">
        <v>19</v>
      </c>
      <c r="G48" s="399" t="s">
        <v>23</v>
      </c>
      <c r="H48" s="399" t="s">
        <v>37</v>
      </c>
      <c r="I48" s="401" t="s">
        <v>351</v>
      </c>
      <c r="J48" s="163"/>
      <c r="K48" s="163"/>
      <c r="L48" s="163"/>
    </row>
    <row r="49" spans="1:12" s="71" customFormat="1" ht="12" customHeight="1" x14ac:dyDescent="0.25">
      <c r="A49" s="400">
        <v>42</v>
      </c>
      <c r="B49" s="399" t="s">
        <v>56</v>
      </c>
      <c r="C49" s="399" t="s">
        <v>43</v>
      </c>
      <c r="D49" s="399" t="s">
        <v>57</v>
      </c>
      <c r="E49" s="408" t="s">
        <v>357</v>
      </c>
      <c r="F49" s="399" t="s">
        <v>19</v>
      </c>
      <c r="G49" s="399" t="s">
        <v>63</v>
      </c>
      <c r="H49" s="399" t="s">
        <v>21</v>
      </c>
      <c r="I49" s="409" t="s">
        <v>356</v>
      </c>
      <c r="J49" s="163"/>
      <c r="K49" s="163"/>
      <c r="L49" s="163"/>
    </row>
    <row r="50" spans="1:12" s="71" customFormat="1" ht="12" customHeight="1" thickBot="1" x14ac:dyDescent="0.3">
      <c r="A50" s="403">
        <v>43</v>
      </c>
      <c r="B50" s="408" t="s">
        <v>64</v>
      </c>
      <c r="C50" s="399" t="s">
        <v>43</v>
      </c>
      <c r="D50" s="399" t="s">
        <v>57</v>
      </c>
      <c r="E50" s="408" t="s">
        <v>357</v>
      </c>
      <c r="F50" s="399" t="s">
        <v>19</v>
      </c>
      <c r="G50" s="399" t="s">
        <v>63</v>
      </c>
      <c r="H50" s="399" t="s">
        <v>21</v>
      </c>
      <c r="I50" s="409" t="s">
        <v>356</v>
      </c>
      <c r="J50" s="163"/>
      <c r="K50" s="163"/>
      <c r="L50" s="163"/>
    </row>
    <row r="51" spans="1:12" s="71" customFormat="1" ht="12" customHeight="1" x14ac:dyDescent="0.25">
      <c r="A51" s="400">
        <v>44</v>
      </c>
      <c r="B51" s="399" t="s">
        <v>65</v>
      </c>
      <c r="C51" s="399" t="s">
        <v>52</v>
      </c>
      <c r="D51" s="399" t="s">
        <v>57</v>
      </c>
      <c r="E51" s="408" t="s">
        <v>357</v>
      </c>
      <c r="F51" s="399" t="s">
        <v>19</v>
      </c>
      <c r="G51" s="399" t="s">
        <v>63</v>
      </c>
      <c r="H51" s="399" t="s">
        <v>21</v>
      </c>
      <c r="I51" s="409" t="s">
        <v>356</v>
      </c>
      <c r="J51" s="163"/>
      <c r="K51" s="163"/>
      <c r="L51" s="163"/>
    </row>
    <row r="52" spans="1:12" s="71" customFormat="1" ht="12" customHeight="1" thickBot="1" x14ac:dyDescent="0.3">
      <c r="A52" s="403">
        <v>45</v>
      </c>
      <c r="B52" s="399" t="s">
        <v>66</v>
      </c>
      <c r="C52" s="399" t="s">
        <v>52</v>
      </c>
      <c r="D52" s="399" t="s">
        <v>57</v>
      </c>
      <c r="E52" s="408" t="s">
        <v>357</v>
      </c>
      <c r="F52" s="399" t="s">
        <v>19</v>
      </c>
      <c r="G52" s="399" t="s">
        <v>63</v>
      </c>
      <c r="H52" s="399" t="s">
        <v>21</v>
      </c>
      <c r="I52" s="409" t="s">
        <v>356</v>
      </c>
      <c r="J52" s="163"/>
      <c r="K52" s="163"/>
      <c r="L52" s="163"/>
    </row>
    <row r="53" spans="1:12" s="71" customFormat="1" ht="12" customHeight="1" x14ac:dyDescent="0.25">
      <c r="A53" s="519">
        <v>46</v>
      </c>
      <c r="B53" s="520" t="s">
        <v>56</v>
      </c>
      <c r="C53" s="520" t="s">
        <v>43</v>
      </c>
      <c r="D53" s="520" t="s">
        <v>57</v>
      </c>
      <c r="E53" s="525" t="s">
        <v>357</v>
      </c>
      <c r="F53" s="520" t="s">
        <v>19</v>
      </c>
      <c r="G53" s="520" t="s">
        <v>63</v>
      </c>
      <c r="H53" s="520" t="s">
        <v>21</v>
      </c>
      <c r="I53" s="526" t="s">
        <v>358</v>
      </c>
      <c r="J53" s="522"/>
      <c r="K53" s="522"/>
      <c r="L53" s="522"/>
    </row>
    <row r="54" spans="1:12" s="71" customFormat="1" ht="12" customHeight="1" thickBot="1" x14ac:dyDescent="0.3">
      <c r="A54" s="403">
        <v>47</v>
      </c>
      <c r="B54" s="408" t="s">
        <v>64</v>
      </c>
      <c r="C54" s="399" t="s">
        <v>43</v>
      </c>
      <c r="D54" s="399" t="s">
        <v>57</v>
      </c>
      <c r="E54" s="408" t="s">
        <v>357</v>
      </c>
      <c r="F54" s="399" t="s">
        <v>19</v>
      </c>
      <c r="G54" s="399" t="s">
        <v>63</v>
      </c>
      <c r="H54" s="399" t="s">
        <v>21</v>
      </c>
      <c r="I54" s="409" t="s">
        <v>358</v>
      </c>
      <c r="J54" s="163"/>
      <c r="K54" s="163"/>
      <c r="L54" s="163"/>
    </row>
    <row r="55" spans="1:12" s="71" customFormat="1" ht="12" customHeight="1" x14ac:dyDescent="0.25">
      <c r="A55" s="519">
        <v>48</v>
      </c>
      <c r="B55" s="520" t="s">
        <v>65</v>
      </c>
      <c r="C55" s="520" t="s">
        <v>52</v>
      </c>
      <c r="D55" s="520" t="s">
        <v>57</v>
      </c>
      <c r="E55" s="525" t="s">
        <v>357</v>
      </c>
      <c r="F55" s="520" t="s">
        <v>19</v>
      </c>
      <c r="G55" s="520" t="s">
        <v>63</v>
      </c>
      <c r="H55" s="520" t="s">
        <v>21</v>
      </c>
      <c r="I55" s="526" t="s">
        <v>358</v>
      </c>
      <c r="J55" s="522"/>
      <c r="K55" s="522"/>
      <c r="L55" s="522"/>
    </row>
    <row r="56" spans="1:12" s="71" customFormat="1" ht="12" customHeight="1" thickBot="1" x14ac:dyDescent="0.3">
      <c r="A56" s="403">
        <v>49</v>
      </c>
      <c r="B56" s="399" t="s">
        <v>66</v>
      </c>
      <c r="C56" s="399" t="s">
        <v>52</v>
      </c>
      <c r="D56" s="399" t="s">
        <v>57</v>
      </c>
      <c r="E56" s="408" t="s">
        <v>357</v>
      </c>
      <c r="F56" s="399" t="s">
        <v>19</v>
      </c>
      <c r="G56" s="399" t="s">
        <v>63</v>
      </c>
      <c r="H56" s="399" t="s">
        <v>21</v>
      </c>
      <c r="I56" s="409" t="s">
        <v>358</v>
      </c>
      <c r="J56" s="163"/>
      <c r="K56" s="163"/>
      <c r="L56" s="163"/>
    </row>
    <row r="57" spans="1:12" s="71" customFormat="1" ht="12" customHeight="1" x14ac:dyDescent="0.25">
      <c r="A57" s="164"/>
      <c r="B57" s="250"/>
      <c r="C57" s="250"/>
      <c r="D57" s="250"/>
      <c r="E57" s="250"/>
      <c r="F57" s="250"/>
      <c r="G57" s="250"/>
      <c r="H57" s="250"/>
      <c r="I57" s="250"/>
      <c r="J57" s="251"/>
      <c r="K57" s="251"/>
      <c r="L57" s="251"/>
    </row>
    <row r="58" spans="1:12" s="71" customFormat="1" ht="12" customHeight="1" x14ac:dyDescent="0.25">
      <c r="A58" s="145"/>
      <c r="B58" s="251"/>
      <c r="C58" s="251"/>
      <c r="D58" s="251"/>
      <c r="E58" s="251"/>
      <c r="F58" s="251"/>
      <c r="G58" s="251"/>
      <c r="H58" s="251"/>
      <c r="I58" s="251"/>
      <c r="J58" s="251"/>
      <c r="K58" s="251"/>
      <c r="L58" s="251"/>
    </row>
    <row r="59" spans="1:12" ht="12" customHeight="1" x14ac:dyDescent="0.25">
      <c r="A59" s="252">
        <v>0</v>
      </c>
      <c r="B59" s="163" t="s">
        <v>282</v>
      </c>
      <c r="C59" s="163"/>
      <c r="D59" s="163"/>
      <c r="E59" s="163"/>
      <c r="F59" s="163"/>
      <c r="G59" s="163"/>
      <c r="H59" s="163"/>
      <c r="I59" s="163"/>
      <c r="J59" s="163"/>
      <c r="K59" s="163"/>
      <c r="L59" s="163"/>
    </row>
  </sheetData>
  <customSheetViews>
    <customSheetView guid="{E7571780-ED88-421E-BB12-D2AF189A0D99}" topLeftCell="A28">
      <selection activeCell="A46" sqref="A46:XFD46"/>
      <pageMargins left="0.75" right="0.75" top="1" bottom="1" header="0.5" footer="0.5"/>
      <pageSetup orientation="portrait" r:id="rId1"/>
      <headerFooter alignWithMargins="0"/>
    </customSheetView>
    <customSheetView guid="{609F876C-F41A-43C8-BD3D-0455630C6D86}" topLeftCell="A28">
      <selection activeCell="A46" sqref="A46:XFD46"/>
      <pageMargins left="0.75" right="0.75" top="1" bottom="1" header="0.5" footer="0.5"/>
      <pageSetup orientation="portrait" r:id="rId2"/>
      <headerFooter alignWithMargins="0"/>
    </customSheetView>
    <customSheetView guid="{F5461B2D-C44D-459F-8141-3B434D52A3D6}" topLeftCell="A25">
      <selection activeCell="A46" sqref="A46:XFD46"/>
      <pageMargins left="0.75" right="0.75" top="1" bottom="1" header="0.5" footer="0.5"/>
      <pageSetup orientation="portrait" r:id="rId3"/>
      <headerFooter alignWithMargins="0"/>
    </customSheetView>
    <customSheetView guid="{BF4A82E8-EC44-4B28-ABE7-07086B055DF8}" topLeftCell="A25">
      <selection activeCell="A46" sqref="A46:XFD46"/>
      <pageMargins left="0.75" right="0.75" top="1" bottom="1" header="0.5" footer="0.5"/>
      <pageSetup orientation="portrait" r:id="rId4"/>
      <headerFooter alignWithMargins="0"/>
    </customSheetView>
    <customSheetView guid="{F9953651-D17A-4C02-9483-C34B454389F8}" topLeftCell="A4">
      <selection activeCell="B30" sqref="B30"/>
      <pageMargins left="0.75" right="0.75" top="1" bottom="1" header="0.5" footer="0.5"/>
      <pageSetup orientation="portrait" r:id="rId5"/>
      <headerFooter alignWithMargins="0"/>
    </customSheetView>
    <customSheetView guid="{4081EA0D-9F4E-4F6E-9740-125B98E42AAA}">
      <selection activeCell="D1" sqref="D1"/>
      <pageMargins left="0.75" right="0.75" top="1" bottom="1" header="0.5" footer="0.5"/>
      <pageSetup orientation="portrait" r:id="rId6"/>
      <headerFooter alignWithMargins="0"/>
    </customSheetView>
    <customSheetView guid="{568372EE-5594-48E8-AA4D-B2DFAABD6FBE}">
      <selection activeCell="D47" sqref="D47:D48"/>
      <pageMargins left="0.75" right="0.75" top="1" bottom="1" header="0.5" footer="0.5"/>
      <pageSetup orientation="portrait" r:id="rId7"/>
      <headerFooter alignWithMargins="0"/>
    </customSheetView>
    <customSheetView guid="{0C14E275-67BD-4894-92C8-CC979B55C5D1}">
      <selection activeCell="D1" sqref="D1"/>
      <pageMargins left="0.75" right="0.75" top="1" bottom="1" header="0.5" footer="0.5"/>
      <pageSetup orientation="portrait" r:id="rId8"/>
      <headerFooter alignWithMargins="0"/>
    </customSheetView>
    <customSheetView guid="{E04D4D10-73E7-40D1-833B-CE4AC2EB45A8}">
      <selection activeCell="D1" sqref="D1"/>
      <pageMargins left="0.75" right="0.75" top="1" bottom="1" header="0.5" footer="0.5"/>
      <pageSetup orientation="portrait" r:id="rId9"/>
      <headerFooter alignWithMargins="0"/>
    </customSheetView>
    <customSheetView guid="{E6A6C2C1-501F-4FA5-9A65-F097BADC7A88}" topLeftCell="A40">
      <selection activeCell="G18" sqref="G18"/>
      <pageMargins left="0.75" right="0.75" top="1" bottom="1" header="0.5" footer="0.5"/>
      <pageSetup orientation="portrait" r:id="rId10"/>
      <headerFooter alignWithMargins="0"/>
    </customSheetView>
    <customSheetView guid="{189813C8-BE28-4174-A3B5-1C707449DBD3}" topLeftCell="A25">
      <selection activeCell="E65" sqref="E65"/>
      <pageMargins left="0.75" right="0.75" top="1" bottom="1" header="0.5" footer="0.5"/>
      <pageSetup orientation="portrait" r:id="rId11"/>
      <headerFooter alignWithMargins="0"/>
    </customSheetView>
    <customSheetView guid="{A1D6424A-E1FA-4BDE-9758-50490C40BCC4}" topLeftCell="A25">
      <selection activeCell="E65" sqref="E65"/>
      <pageMargins left="0.75" right="0.75" top="1" bottom="1" header="0.5" footer="0.5"/>
      <pageSetup orientation="portrait" r:id="rId12"/>
      <headerFooter alignWithMargins="0"/>
    </customSheetView>
  </customSheetViews>
  <phoneticPr fontId="17" type="noConversion"/>
  <hyperlinks>
    <hyperlink ref="D1" display="Directory"/>
    <hyperlink ref="E1" display="D9859 Scoreboard"/>
  </hyperlinks>
  <pageMargins left="0.75" right="0.75" top="1" bottom="1" header="0.5" footer="0.5"/>
  <pageSetup orientation="portrait" r:id="rId13"/>
  <headerFooter alignWithMargins="0"/>
  <drawing r:id="rId14"/>
  <legacyDrawing r:id="rId15"/>
  <controls>
    <mc:AlternateContent xmlns:mc="http://schemas.openxmlformats.org/markup-compatibility/2006">
      <mc:Choice Requires="x14">
        <control shapeId="14337" r:id="rId16" name="CommandButton1">
          <controlPr defaultSize="0" autoLine="0" autoPict="0" r:id="rId17">
            <anchor moveWithCells="1">
              <from>
                <xdr:col>7</xdr:col>
                <xdr:colOff>152400</xdr:colOff>
                <xdr:row>1</xdr:row>
                <xdr:rowOff>106680</xdr:rowOff>
              </from>
              <to>
                <xdr:col>9</xdr:col>
                <xdr:colOff>533400</xdr:colOff>
                <xdr:row>5</xdr:row>
                <xdr:rowOff>99060</xdr:rowOff>
              </to>
            </anchor>
          </controlPr>
        </control>
      </mc:Choice>
      <mc:Fallback>
        <control shapeId="14337" r:id="rId16"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R17"/>
  <sheetViews>
    <sheetView workbookViewId="0">
      <selection activeCell="B10" sqref="B10"/>
    </sheetView>
  </sheetViews>
  <sheetFormatPr defaultRowHeight="13.2" x14ac:dyDescent="0.25"/>
  <cols>
    <col min="1" max="1" width="7.88671875" bestFit="1" customWidth="1"/>
    <col min="2" max="2" width="13.88671875" customWidth="1"/>
    <col min="3" max="3" width="14.109375" bestFit="1" customWidth="1"/>
    <col min="4" max="4" width="10.109375" bestFit="1" customWidth="1"/>
    <col min="5" max="5" width="14.6640625" bestFit="1" customWidth="1"/>
    <col min="6" max="6" width="15.6640625" bestFit="1" customWidth="1"/>
    <col min="7" max="7" width="17.5546875" bestFit="1" customWidth="1"/>
    <col min="8" max="8" width="8.6640625" bestFit="1" customWidth="1"/>
    <col min="9" max="9" width="9.6640625" bestFit="1" customWidth="1"/>
    <col min="10" max="10" width="23.88671875" customWidth="1"/>
    <col min="11" max="11" width="23.88671875" bestFit="1" customWidth="1"/>
    <col min="12" max="13" width="6.44140625" bestFit="1" customWidth="1"/>
    <col min="14" max="14" width="4.33203125" bestFit="1" customWidth="1"/>
    <col min="15" max="16" width="7.33203125" bestFit="1" customWidth="1"/>
    <col min="17" max="17" width="11.109375" bestFit="1" customWidth="1"/>
    <col min="18" max="18" width="23.109375" bestFit="1" customWidth="1"/>
  </cols>
  <sheetData>
    <row r="1" spans="1:18" x14ac:dyDescent="0.25">
      <c r="A1" s="14" t="s">
        <v>75</v>
      </c>
      <c r="B1" s="15" t="s">
        <v>77</v>
      </c>
      <c r="C1" s="51" t="s">
        <v>76</v>
      </c>
      <c r="D1" s="110" t="s">
        <v>499</v>
      </c>
      <c r="E1" s="148" t="s">
        <v>606</v>
      </c>
      <c r="F1" s="110"/>
      <c r="G1" s="110"/>
      <c r="H1" s="76"/>
      <c r="I1" s="76"/>
    </row>
    <row r="2" spans="1:18" x14ac:dyDescent="0.25">
      <c r="A2" s="10" t="s">
        <v>78</v>
      </c>
      <c r="B2" s="50" t="s">
        <v>236</v>
      </c>
      <c r="C2" s="52">
        <v>40249</v>
      </c>
    </row>
    <row r="3" spans="1:18" x14ac:dyDescent="0.25">
      <c r="A3" s="10"/>
      <c r="B3" s="117" t="s">
        <v>530</v>
      </c>
      <c r="C3" s="120">
        <v>41345</v>
      </c>
      <c r="D3" s="53"/>
    </row>
    <row r="4" spans="1:18" x14ac:dyDescent="0.25">
      <c r="A4" s="10"/>
      <c r="B4" s="117"/>
      <c r="C4" s="13"/>
      <c r="D4" s="53"/>
    </row>
    <row r="5" spans="1:18" ht="13.8" thickBot="1" x14ac:dyDescent="0.3">
      <c r="A5" s="11"/>
      <c r="B5" s="118"/>
      <c r="C5" s="19"/>
      <c r="D5" s="54"/>
    </row>
    <row r="7" spans="1:18" ht="13.8" thickBot="1" x14ac:dyDescent="0.3"/>
    <row r="8" spans="1:18" ht="24" x14ac:dyDescent="0.25">
      <c r="A8" s="59" t="s">
        <v>122</v>
      </c>
      <c r="B8" s="119" t="s">
        <v>531</v>
      </c>
      <c r="C8" s="60" t="s">
        <v>237</v>
      </c>
      <c r="D8" s="60" t="s">
        <v>239</v>
      </c>
      <c r="E8" s="61" t="s">
        <v>244</v>
      </c>
      <c r="F8" s="188" t="s">
        <v>246</v>
      </c>
      <c r="G8" s="61" t="s">
        <v>249</v>
      </c>
      <c r="H8" s="61" t="s">
        <v>264</v>
      </c>
      <c r="I8" s="61" t="s">
        <v>265</v>
      </c>
      <c r="J8" s="61" t="s">
        <v>266</v>
      </c>
      <c r="K8" s="61" t="s">
        <v>267</v>
      </c>
      <c r="L8" s="61" t="s">
        <v>253</v>
      </c>
      <c r="M8" s="61" t="s">
        <v>255</v>
      </c>
      <c r="N8" s="61" t="s">
        <v>257</v>
      </c>
      <c r="O8" s="61" t="s">
        <v>268</v>
      </c>
      <c r="P8" s="61" t="s">
        <v>269</v>
      </c>
      <c r="Q8" s="61" t="s">
        <v>258</v>
      </c>
      <c r="R8" s="62" t="s">
        <v>259</v>
      </c>
    </row>
    <row r="9" spans="1:18" ht="24" x14ac:dyDescent="0.25">
      <c r="A9" s="453">
        <v>1</v>
      </c>
      <c r="B9" s="454" t="s">
        <v>532</v>
      </c>
      <c r="C9" s="678" t="s">
        <v>68</v>
      </c>
      <c r="D9" s="455" t="s">
        <v>240</v>
      </c>
      <c r="E9" s="456"/>
      <c r="F9" s="456" t="s">
        <v>247</v>
      </c>
      <c r="G9" s="456"/>
      <c r="H9" s="456"/>
      <c r="I9" s="456" t="s">
        <v>252</v>
      </c>
      <c r="J9" s="456"/>
      <c r="K9" s="456"/>
      <c r="L9" s="456" t="s">
        <v>254</v>
      </c>
      <c r="M9" s="456" t="s">
        <v>256</v>
      </c>
      <c r="N9" s="456"/>
      <c r="O9" s="456"/>
      <c r="P9" s="456"/>
      <c r="Q9" s="456"/>
      <c r="R9" s="457" t="s">
        <v>260</v>
      </c>
    </row>
    <row r="10" spans="1:18" ht="24" x14ac:dyDescent="0.25">
      <c r="A10" s="453">
        <v>2</v>
      </c>
      <c r="B10" s="454" t="s">
        <v>533</v>
      </c>
      <c r="C10" s="678"/>
      <c r="D10" s="455" t="s">
        <v>241</v>
      </c>
      <c r="E10" s="456"/>
      <c r="F10" s="456" t="s">
        <v>247</v>
      </c>
      <c r="G10" s="456"/>
      <c r="H10" s="456"/>
      <c r="I10" s="456" t="s">
        <v>252</v>
      </c>
      <c r="J10" s="456"/>
      <c r="K10" s="456"/>
      <c r="L10" s="456" t="s">
        <v>254</v>
      </c>
      <c r="M10" s="456" t="s">
        <v>256</v>
      </c>
      <c r="N10" s="456"/>
      <c r="O10" s="456"/>
      <c r="P10" s="456"/>
      <c r="Q10" s="456"/>
      <c r="R10" s="457" t="s">
        <v>261</v>
      </c>
    </row>
    <row r="11" spans="1:18" ht="24" x14ac:dyDescent="0.25">
      <c r="A11" s="453">
        <v>3</v>
      </c>
      <c r="B11" s="454" t="s">
        <v>532</v>
      </c>
      <c r="C11" s="678"/>
      <c r="D11" s="455" t="s">
        <v>240</v>
      </c>
      <c r="E11" s="456"/>
      <c r="F11" s="456"/>
      <c r="G11" s="456" t="s">
        <v>247</v>
      </c>
      <c r="H11" s="456"/>
      <c r="I11" s="456" t="s">
        <v>252</v>
      </c>
      <c r="J11" s="456"/>
      <c r="K11" s="456"/>
      <c r="L11" s="456" t="s">
        <v>254</v>
      </c>
      <c r="M11" s="456" t="s">
        <v>256</v>
      </c>
      <c r="N11" s="456"/>
      <c r="O11" s="456"/>
      <c r="P11" s="456"/>
      <c r="Q11" s="456"/>
      <c r="R11" s="457" t="s">
        <v>260</v>
      </c>
    </row>
    <row r="12" spans="1:18" ht="24" x14ac:dyDescent="0.25">
      <c r="A12" s="453">
        <v>4</v>
      </c>
      <c r="B12" s="454" t="s">
        <v>533</v>
      </c>
      <c r="C12" s="678"/>
      <c r="D12" s="455" t="s">
        <v>241</v>
      </c>
      <c r="E12" s="456"/>
      <c r="F12" s="456"/>
      <c r="G12" s="456" t="s">
        <v>247</v>
      </c>
      <c r="H12" s="456"/>
      <c r="I12" s="456" t="s">
        <v>252</v>
      </c>
      <c r="J12" s="456"/>
      <c r="K12" s="456"/>
      <c r="L12" s="456" t="s">
        <v>254</v>
      </c>
      <c r="M12" s="456" t="s">
        <v>256</v>
      </c>
      <c r="N12" s="456"/>
      <c r="O12" s="456"/>
      <c r="P12" s="456"/>
      <c r="Q12" s="456"/>
      <c r="R12" s="457" t="s">
        <v>261</v>
      </c>
    </row>
    <row r="13" spans="1:18" ht="24" x14ac:dyDescent="0.25">
      <c r="A13" s="453">
        <v>5</v>
      </c>
      <c r="B13" s="454" t="s">
        <v>534</v>
      </c>
      <c r="C13" s="678" t="s">
        <v>69</v>
      </c>
      <c r="D13" s="455" t="s">
        <v>242</v>
      </c>
      <c r="E13" s="456" t="s">
        <v>245</v>
      </c>
      <c r="F13" s="456"/>
      <c r="G13" s="456"/>
      <c r="H13" s="456" t="s">
        <v>250</v>
      </c>
      <c r="I13" s="456"/>
      <c r="J13" s="456" t="s">
        <v>270</v>
      </c>
      <c r="K13" s="456" t="s">
        <v>271</v>
      </c>
      <c r="L13" s="456"/>
      <c r="M13" s="456"/>
      <c r="N13" s="456"/>
      <c r="O13" s="456"/>
      <c r="P13" s="456"/>
      <c r="Q13" s="456"/>
      <c r="R13" s="457" t="s">
        <v>262</v>
      </c>
    </row>
    <row r="14" spans="1:18" ht="24" x14ac:dyDescent="0.25">
      <c r="A14" s="453">
        <v>6</v>
      </c>
      <c r="B14" s="454" t="s">
        <v>535</v>
      </c>
      <c r="C14" s="678"/>
      <c r="D14" s="455" t="s">
        <v>243</v>
      </c>
      <c r="E14" s="456" t="s">
        <v>245</v>
      </c>
      <c r="F14" s="456"/>
      <c r="G14" s="456"/>
      <c r="H14" s="456" t="s">
        <v>251</v>
      </c>
      <c r="I14" s="456"/>
      <c r="J14" s="456" t="s">
        <v>271</v>
      </c>
      <c r="K14" s="456" t="s">
        <v>272</v>
      </c>
      <c r="L14" s="456"/>
      <c r="M14" s="456"/>
      <c r="N14" s="456"/>
      <c r="O14" s="456"/>
      <c r="P14" s="456"/>
      <c r="Q14" s="456"/>
      <c r="R14" s="457" t="s">
        <v>263</v>
      </c>
    </row>
    <row r="15" spans="1:18" ht="24.6" thickBot="1" x14ac:dyDescent="0.3">
      <c r="A15" s="324" t="s">
        <v>273</v>
      </c>
      <c r="B15" s="325" t="s">
        <v>536</v>
      </c>
      <c r="C15" s="326" t="s">
        <v>238</v>
      </c>
      <c r="D15" s="326" t="s">
        <v>241</v>
      </c>
      <c r="E15" s="327"/>
      <c r="F15" s="327" t="s">
        <v>248</v>
      </c>
      <c r="G15" s="327"/>
      <c r="H15" s="327"/>
      <c r="I15" s="327"/>
      <c r="J15" s="327"/>
      <c r="K15" s="327"/>
      <c r="L15" s="327" t="s">
        <v>254</v>
      </c>
      <c r="M15" s="327" t="s">
        <v>256</v>
      </c>
      <c r="N15" s="327"/>
      <c r="O15" s="327"/>
      <c r="P15" s="327"/>
      <c r="Q15" s="327"/>
      <c r="R15" s="328" t="s">
        <v>261</v>
      </c>
    </row>
    <row r="16" spans="1:18" x14ac:dyDescent="0.25">
      <c r="A16" s="143"/>
      <c r="B16" s="143"/>
      <c r="C16" s="143"/>
      <c r="D16" s="143"/>
      <c r="E16" s="143"/>
      <c r="F16" s="143"/>
      <c r="G16" s="143"/>
      <c r="H16" s="143"/>
      <c r="I16" s="143"/>
      <c r="J16" s="143"/>
      <c r="K16" s="143"/>
      <c r="L16" s="143"/>
      <c r="M16" s="143"/>
      <c r="N16" s="143"/>
      <c r="O16" s="143"/>
      <c r="P16" s="143"/>
      <c r="Q16" s="143"/>
      <c r="R16" s="143"/>
    </row>
    <row r="17" spans="1:18" x14ac:dyDescent="0.25">
      <c r="A17" s="329">
        <v>0</v>
      </c>
      <c r="B17" s="329"/>
      <c r="C17" s="143" t="s">
        <v>276</v>
      </c>
      <c r="D17" s="143"/>
      <c r="E17" s="143"/>
      <c r="F17" s="143"/>
      <c r="G17" s="143"/>
      <c r="H17" s="143"/>
      <c r="I17" s="143"/>
      <c r="J17" s="143"/>
      <c r="K17" s="143"/>
      <c r="L17" s="143"/>
      <c r="M17" s="143"/>
      <c r="N17" s="143"/>
      <c r="O17" s="143"/>
      <c r="P17" s="143"/>
      <c r="Q17" s="143"/>
      <c r="R17" s="143"/>
    </row>
  </sheetData>
  <customSheetViews>
    <customSheetView guid="{E7571780-ED88-421E-BB12-D2AF189A0D99}">
      <selection activeCell="B10" sqref="B10"/>
      <pageMargins left="0.7" right="0.7" top="0.75" bottom="0.75" header="0.3" footer="0.3"/>
    </customSheetView>
    <customSheetView guid="{609F876C-F41A-43C8-BD3D-0455630C6D86}">
      <selection activeCell="B10" sqref="B10"/>
      <pageMargins left="0.7" right="0.7" top="0.75" bottom="0.75" header="0.3" footer="0.3"/>
    </customSheetView>
    <customSheetView guid="{F5461B2D-C44D-459F-8141-3B434D52A3D6}">
      <selection activeCell="B10" sqref="B10"/>
      <pageMargins left="0.7" right="0.7" top="0.75" bottom="0.75" header="0.3" footer="0.3"/>
    </customSheetView>
    <customSheetView guid="{BF4A82E8-EC44-4B28-ABE7-07086B055DF8}">
      <selection activeCell="B10" sqref="B10"/>
      <pageMargins left="0.7" right="0.7" top="0.75" bottom="0.75" header="0.3" footer="0.3"/>
    </customSheetView>
    <customSheetView guid="{F9953651-D17A-4C02-9483-C34B454389F8}">
      <selection activeCell="D1" sqref="D1"/>
      <pageMargins left="0.7" right="0.7" top="0.75" bottom="0.75" header="0.3" footer="0.3"/>
    </customSheetView>
    <customSheetView guid="{4081EA0D-9F4E-4F6E-9740-125B98E42AAA}">
      <selection activeCell="D1" sqref="D1"/>
      <pageMargins left="0.7" right="0.7" top="0.75" bottom="0.75" header="0.3" footer="0.3"/>
    </customSheetView>
    <customSheetView guid="{568372EE-5594-48E8-AA4D-B2DFAABD6FBE}">
      <selection activeCell="E1" sqref="E1"/>
      <pageMargins left="0.7" right="0.7" top="0.75" bottom="0.75" header="0.3" footer="0.3"/>
    </customSheetView>
    <customSheetView guid="{0C14E275-67BD-4894-92C8-CC979B55C5D1}">
      <selection activeCell="D1" sqref="D1"/>
      <pageMargins left="0.7" right="0.7" top="0.75" bottom="0.75" header="0.3" footer="0.3"/>
    </customSheetView>
    <customSheetView guid="{E04D4D10-73E7-40D1-833B-CE4AC2EB45A8}">
      <selection activeCell="D1" sqref="D1"/>
      <pageMargins left="0.7" right="0.7" top="0.75" bottom="0.75" header="0.3" footer="0.3"/>
    </customSheetView>
    <customSheetView guid="{E6A6C2C1-501F-4FA5-9A65-F097BADC7A88}">
      <selection activeCell="D1" sqref="D1"/>
      <pageMargins left="0.7" right="0.7" top="0.75" bottom="0.75" header="0.3" footer="0.3"/>
    </customSheetView>
    <customSheetView guid="{189813C8-BE28-4174-A3B5-1C707449DBD3}">
      <selection activeCell="B10" sqref="B10"/>
      <pageMargins left="0.7" right="0.7" top="0.75" bottom="0.75" header="0.3" footer="0.3"/>
    </customSheetView>
    <customSheetView guid="{A1D6424A-E1FA-4BDE-9758-50490C40BCC4}">
      <selection activeCell="B10" sqref="B10"/>
      <pageMargins left="0.7" right="0.7" top="0.75" bottom="0.75" header="0.3" footer="0.3"/>
    </customSheetView>
  </customSheetViews>
  <mergeCells count="2">
    <mergeCell ref="C9:C12"/>
    <mergeCell ref="C13:C14"/>
  </mergeCells>
  <phoneticPr fontId="26" type="noConversion"/>
  <hyperlinks>
    <hyperlink ref="D1" display="Directory"/>
    <hyperlink ref="E1" display="D9859 Scoreboard"/>
  </hyperlinks>
  <pageMargins left="0.7" right="0.7" top="0.75" bottom="0.75" header="0.3" footer="0.3"/>
  <drawing r:id="rId1"/>
  <legacyDrawing r:id="rId2"/>
  <controls>
    <mc:AlternateContent xmlns:mc="http://schemas.openxmlformats.org/markup-compatibility/2006">
      <mc:Choice Requires="x14">
        <control shapeId="15361" r:id="rId3" name="CommandButton1">
          <controlPr defaultSize="0" autoLine="0" autoPict="0" r:id="rId4">
            <anchor moveWithCells="1">
              <from>
                <xdr:col>6</xdr:col>
                <xdr:colOff>480060</xdr:colOff>
                <xdr:row>1</xdr:row>
                <xdr:rowOff>22860</xdr:rowOff>
              </from>
              <to>
                <xdr:col>9</xdr:col>
                <xdr:colOff>236220</xdr:colOff>
                <xdr:row>4</xdr:row>
                <xdr:rowOff>68580</xdr:rowOff>
              </to>
            </anchor>
          </controlPr>
        </control>
      </mc:Choice>
      <mc:Fallback>
        <control shapeId="15361"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H19"/>
  <sheetViews>
    <sheetView workbookViewId="0">
      <selection activeCell="D21" sqref="D21"/>
    </sheetView>
  </sheetViews>
  <sheetFormatPr defaultRowHeight="13.2" x14ac:dyDescent="0.25"/>
  <cols>
    <col min="1" max="1" width="13.6640625" customWidth="1"/>
    <col min="2" max="2" width="26" bestFit="1" customWidth="1"/>
    <col min="3" max="3" width="16.88671875" bestFit="1" customWidth="1"/>
    <col min="4" max="4" width="47.109375" customWidth="1"/>
    <col min="5" max="5" width="17.6640625" bestFit="1" customWidth="1"/>
  </cols>
  <sheetData>
    <row r="1" spans="1:8" x14ac:dyDescent="0.25">
      <c r="A1" s="14" t="s">
        <v>75</v>
      </c>
      <c r="B1" s="15" t="s">
        <v>77</v>
      </c>
      <c r="C1" s="51" t="s">
        <v>76</v>
      </c>
      <c r="D1" s="110" t="s">
        <v>499</v>
      </c>
      <c r="E1" s="148" t="s">
        <v>606</v>
      </c>
      <c r="F1" s="110"/>
      <c r="G1" s="110"/>
      <c r="H1" s="76"/>
    </row>
    <row r="2" spans="1:8" x14ac:dyDescent="0.25">
      <c r="A2" s="10" t="s">
        <v>78</v>
      </c>
      <c r="B2" s="50" t="s">
        <v>277</v>
      </c>
      <c r="C2" s="52">
        <v>40263</v>
      </c>
    </row>
    <row r="3" spans="1:8" x14ac:dyDescent="0.25">
      <c r="A3" s="10"/>
      <c r="B3" s="1"/>
      <c r="C3" s="53"/>
    </row>
    <row r="4" spans="1:8" x14ac:dyDescent="0.25">
      <c r="A4" s="10"/>
      <c r="B4" s="13"/>
      <c r="C4" s="53"/>
    </row>
    <row r="5" spans="1:8" ht="13.8" thickBot="1" x14ac:dyDescent="0.3">
      <c r="A5" s="11"/>
      <c r="B5" s="19"/>
      <c r="C5" s="54"/>
    </row>
    <row r="8" spans="1:8" ht="13.8" thickBot="1" x14ac:dyDescent="0.3">
      <c r="F8" s="143"/>
    </row>
    <row r="9" spans="1:8" ht="13.8" thickBot="1" x14ac:dyDescent="0.3">
      <c r="A9" s="125" t="s">
        <v>122</v>
      </c>
      <c r="B9" s="125" t="s">
        <v>531</v>
      </c>
      <c r="C9" s="48" t="s">
        <v>280</v>
      </c>
      <c r="D9" s="48" t="s">
        <v>278</v>
      </c>
      <c r="E9" s="49" t="s">
        <v>279</v>
      </c>
    </row>
    <row r="10" spans="1:8" x14ac:dyDescent="0.25">
      <c r="A10" s="458">
        <v>1</v>
      </c>
      <c r="B10" s="458" t="str">
        <f>C10&amp;" - "&amp; D10</f>
        <v>PAL SD - Imitext</v>
      </c>
      <c r="C10" s="459" t="s">
        <v>284</v>
      </c>
      <c r="D10" s="459" t="s">
        <v>288</v>
      </c>
      <c r="E10" s="460"/>
      <c r="F10" s="143"/>
      <c r="G10" s="143"/>
      <c r="H10" s="143"/>
    </row>
    <row r="11" spans="1:8" x14ac:dyDescent="0.25">
      <c r="A11" s="461">
        <v>2</v>
      </c>
      <c r="B11" s="461" t="str">
        <f t="shared" ref="B11:B17" si="0">C11&amp;" - "&amp; D11</f>
        <v>NTSC SD - DVB SD</v>
      </c>
      <c r="C11" s="411" t="s">
        <v>285</v>
      </c>
      <c r="D11" s="411" t="s">
        <v>289</v>
      </c>
      <c r="E11" s="417"/>
      <c r="F11" s="143"/>
      <c r="G11" s="143"/>
      <c r="H11" s="143"/>
    </row>
    <row r="12" spans="1:8" x14ac:dyDescent="0.25">
      <c r="A12" s="461">
        <v>3</v>
      </c>
      <c r="B12" s="461" t="str">
        <f t="shared" si="0"/>
        <v>PAL SD - DVB HD</v>
      </c>
      <c r="C12" s="411" t="s">
        <v>284</v>
      </c>
      <c r="D12" s="411" t="s">
        <v>287</v>
      </c>
      <c r="E12" s="417"/>
      <c r="F12" s="143"/>
      <c r="G12" s="143"/>
      <c r="H12" s="143"/>
    </row>
    <row r="13" spans="1:8" x14ac:dyDescent="0.25">
      <c r="A13" s="461">
        <v>4</v>
      </c>
      <c r="B13" s="461" t="str">
        <f t="shared" si="0"/>
        <v>NTSC SD - DVB HD</v>
      </c>
      <c r="C13" s="411" t="s">
        <v>285</v>
      </c>
      <c r="D13" s="411" t="s">
        <v>287</v>
      </c>
      <c r="E13" s="417"/>
      <c r="F13" s="143"/>
      <c r="G13" s="143"/>
      <c r="H13" s="143"/>
    </row>
    <row r="14" spans="1:8" x14ac:dyDescent="0.25">
      <c r="A14" s="461">
        <v>5</v>
      </c>
      <c r="B14" s="461" t="str">
        <f t="shared" si="0"/>
        <v>HD 25/50 Hz - DVB SD</v>
      </c>
      <c r="C14" s="411" t="s">
        <v>274</v>
      </c>
      <c r="D14" s="411" t="s">
        <v>289</v>
      </c>
      <c r="E14" s="417"/>
      <c r="F14" s="143"/>
      <c r="G14" s="143"/>
      <c r="H14" s="143"/>
    </row>
    <row r="15" spans="1:8" x14ac:dyDescent="0.25">
      <c r="A15" s="461">
        <v>6</v>
      </c>
      <c r="B15" s="461" t="str">
        <f t="shared" si="0"/>
        <v>HD 29.97/59.94 Hz - DVB SD</v>
      </c>
      <c r="C15" s="411" t="s">
        <v>286</v>
      </c>
      <c r="D15" s="411" t="s">
        <v>289</v>
      </c>
      <c r="E15" s="417"/>
      <c r="F15" s="143"/>
      <c r="G15" s="143"/>
      <c r="H15" s="143"/>
    </row>
    <row r="16" spans="1:8" x14ac:dyDescent="0.25">
      <c r="A16" s="461">
        <v>7</v>
      </c>
      <c r="B16" s="461" t="str">
        <f t="shared" si="0"/>
        <v>HD 25/50 Hz - DVB HD</v>
      </c>
      <c r="C16" s="411" t="s">
        <v>274</v>
      </c>
      <c r="D16" s="411" t="s">
        <v>287</v>
      </c>
      <c r="E16" s="417"/>
      <c r="F16" s="143"/>
      <c r="G16" s="143"/>
      <c r="H16" s="143"/>
    </row>
    <row r="17" spans="1:8" ht="13.8" thickBot="1" x14ac:dyDescent="0.3">
      <c r="A17" s="462">
        <v>8</v>
      </c>
      <c r="B17" s="462" t="str">
        <f t="shared" si="0"/>
        <v>HD 29.97/59.94 Hz - DVB HD</v>
      </c>
      <c r="C17" s="418" t="s">
        <v>286</v>
      </c>
      <c r="D17" s="418" t="s">
        <v>287</v>
      </c>
      <c r="E17" s="419"/>
      <c r="F17" s="143"/>
      <c r="G17" s="143"/>
      <c r="H17" s="143"/>
    </row>
    <row r="18" spans="1:8" x14ac:dyDescent="0.25">
      <c r="A18" s="143"/>
      <c r="B18" s="143"/>
      <c r="C18" s="143"/>
      <c r="D18" s="143"/>
      <c r="E18" s="143"/>
      <c r="F18" s="143"/>
      <c r="G18" s="143"/>
      <c r="H18" s="143"/>
    </row>
    <row r="19" spans="1:8" x14ac:dyDescent="0.25">
      <c r="A19" s="143">
        <v>0</v>
      </c>
      <c r="B19" s="143" t="s">
        <v>281</v>
      </c>
      <c r="C19" s="143"/>
      <c r="D19" s="143"/>
      <c r="E19" s="143"/>
      <c r="F19" s="143"/>
      <c r="G19" s="143"/>
      <c r="H19" s="143"/>
    </row>
  </sheetData>
  <customSheetViews>
    <customSheetView guid="{E7571780-ED88-421E-BB12-D2AF189A0D99}">
      <selection activeCell="D21" sqref="D21"/>
      <pageMargins left="0.7" right="0.7" top="0.75" bottom="0.75" header="0.3" footer="0.3"/>
    </customSheetView>
    <customSheetView guid="{609F876C-F41A-43C8-BD3D-0455630C6D86}">
      <selection activeCell="D21" sqref="D21"/>
      <pageMargins left="0.7" right="0.7" top="0.75" bottom="0.75" header="0.3" footer="0.3"/>
    </customSheetView>
    <customSheetView guid="{F5461B2D-C44D-459F-8141-3B434D52A3D6}">
      <selection activeCell="D21" sqref="D21"/>
      <pageMargins left="0.7" right="0.7" top="0.75" bottom="0.75" header="0.3" footer="0.3"/>
    </customSheetView>
    <customSheetView guid="{BF4A82E8-EC44-4B28-ABE7-07086B055DF8}">
      <selection activeCell="D21" sqref="D21"/>
      <pageMargins left="0.7" right="0.7" top="0.75" bottom="0.75" header="0.3" footer="0.3"/>
    </customSheetView>
    <customSheetView guid="{F9953651-D17A-4C02-9483-C34B454389F8}">
      <selection activeCell="D21" sqref="D21"/>
      <pageMargins left="0.7" right="0.7" top="0.75" bottom="0.75" header="0.3" footer="0.3"/>
    </customSheetView>
    <customSheetView guid="{4081EA0D-9F4E-4F6E-9740-125B98E42AAA}">
      <selection activeCell="D21" sqref="D21"/>
      <pageMargins left="0.7" right="0.7" top="0.75" bottom="0.75" header="0.3" footer="0.3"/>
    </customSheetView>
    <customSheetView guid="{568372EE-5594-48E8-AA4D-B2DFAABD6FBE}">
      <selection activeCell="E1" sqref="E1"/>
      <pageMargins left="0.7" right="0.7" top="0.75" bottom="0.75" header="0.3" footer="0.3"/>
    </customSheetView>
    <customSheetView guid="{0C14E275-67BD-4894-92C8-CC979B55C5D1}">
      <selection activeCell="D21" sqref="D21"/>
      <pageMargins left="0.7" right="0.7" top="0.75" bottom="0.75" header="0.3" footer="0.3"/>
    </customSheetView>
    <customSheetView guid="{E04D4D10-73E7-40D1-833B-CE4AC2EB45A8}">
      <selection activeCell="D21" sqref="D21"/>
      <pageMargins left="0.7" right="0.7" top="0.75" bottom="0.75" header="0.3" footer="0.3"/>
    </customSheetView>
    <customSheetView guid="{E6A6C2C1-501F-4FA5-9A65-F097BADC7A88}" topLeftCell="F1">
      <selection activeCell="D21" sqref="D21"/>
      <pageMargins left="0.7" right="0.7" top="0.75" bottom="0.75" header="0.3" footer="0.3"/>
    </customSheetView>
    <customSheetView guid="{189813C8-BE28-4174-A3B5-1C707449DBD3}">
      <selection activeCell="D21" sqref="D21"/>
      <pageMargins left="0.7" right="0.7" top="0.75" bottom="0.75" header="0.3" footer="0.3"/>
    </customSheetView>
    <customSheetView guid="{A1D6424A-E1FA-4BDE-9758-50490C40BCC4}">
      <selection activeCell="D21" sqref="D21"/>
      <pageMargins left="0.7" right="0.7" top="0.75" bottom="0.75" header="0.3" footer="0.3"/>
    </customSheetView>
  </customSheetViews>
  <phoneticPr fontId="26" type="noConversion"/>
  <hyperlinks>
    <hyperlink ref="D1" display="Directory"/>
    <hyperlink ref="E1" display="D9859 Scoreboard"/>
  </hyperlinks>
  <pageMargins left="0.7" right="0.7" top="0.75" bottom="0.75" header="0.3" footer="0.3"/>
  <drawing r:id="rId1"/>
  <legacyDrawing r:id="rId2"/>
  <controls>
    <mc:AlternateContent xmlns:mc="http://schemas.openxmlformats.org/markup-compatibility/2006">
      <mc:Choice Requires="x14">
        <control shapeId="16385" r:id="rId3" name="CommandButton1">
          <controlPr defaultSize="0" autoLine="0" autoPict="0" r:id="rId4">
            <anchor moveWithCells="1">
              <from>
                <xdr:col>7</xdr:col>
                <xdr:colOff>68580</xdr:colOff>
                <xdr:row>2</xdr:row>
                <xdr:rowOff>60960</xdr:rowOff>
              </from>
              <to>
                <xdr:col>11</xdr:col>
                <xdr:colOff>0</xdr:colOff>
                <xdr:row>6</xdr:row>
                <xdr:rowOff>0</xdr:rowOff>
              </to>
            </anchor>
          </controlPr>
        </control>
      </mc:Choice>
      <mc:Fallback>
        <control shapeId="16385" r:id="rId3"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M21"/>
  <sheetViews>
    <sheetView workbookViewId="0">
      <selection activeCell="A15" sqref="A15:XFD15"/>
    </sheetView>
  </sheetViews>
  <sheetFormatPr defaultRowHeight="13.2" x14ac:dyDescent="0.25"/>
  <cols>
    <col min="1" max="1" width="10.109375" customWidth="1"/>
    <col min="2" max="2" width="54.33203125" bestFit="1" customWidth="1"/>
    <col min="3" max="3" width="16.33203125" customWidth="1"/>
    <col min="4" max="4" width="18.109375" style="55" bestFit="1" customWidth="1"/>
    <col min="5" max="5" width="15.88671875" style="55" bestFit="1" customWidth="1"/>
    <col min="6" max="6" width="10.5546875" bestFit="1" customWidth="1"/>
    <col min="7" max="7" width="12.44140625" bestFit="1" customWidth="1"/>
    <col min="9" max="9" width="8.88671875" bestFit="1" customWidth="1"/>
    <col min="10" max="11" width="6.33203125" bestFit="1" customWidth="1"/>
    <col min="12" max="12" width="11.6640625" bestFit="1" customWidth="1"/>
    <col min="13" max="13" width="24.88671875" bestFit="1" customWidth="1"/>
    <col min="15" max="15" width="16.44140625" customWidth="1"/>
  </cols>
  <sheetData>
    <row r="1" spans="1:13" x14ac:dyDescent="0.25">
      <c r="A1" s="14" t="s">
        <v>75</v>
      </c>
      <c r="B1" s="15" t="s">
        <v>77</v>
      </c>
      <c r="C1" s="51" t="s">
        <v>76</v>
      </c>
      <c r="D1" s="114" t="s">
        <v>499</v>
      </c>
      <c r="E1" s="148" t="s">
        <v>606</v>
      </c>
      <c r="F1" s="110"/>
      <c r="G1" s="110"/>
      <c r="H1" s="76"/>
      <c r="I1" s="76"/>
    </row>
    <row r="2" spans="1:13" x14ac:dyDescent="0.25">
      <c r="A2" s="10" t="s">
        <v>78</v>
      </c>
      <c r="B2" s="50" t="s">
        <v>213</v>
      </c>
      <c r="C2" s="52">
        <v>40249</v>
      </c>
    </row>
    <row r="3" spans="1:13" x14ac:dyDescent="0.25">
      <c r="A3" s="10"/>
      <c r="B3" s="1" t="s">
        <v>537</v>
      </c>
      <c r="C3" s="52">
        <v>41345</v>
      </c>
    </row>
    <row r="4" spans="1:13" x14ac:dyDescent="0.25">
      <c r="A4" s="10"/>
      <c r="B4" s="13"/>
      <c r="C4" s="53"/>
    </row>
    <row r="5" spans="1:13" ht="13.8" thickBot="1" x14ac:dyDescent="0.3">
      <c r="A5" s="11"/>
      <c r="B5" s="19"/>
      <c r="C5" s="54"/>
    </row>
    <row r="7" spans="1:13" ht="13.8" thickBot="1" x14ac:dyDescent="0.3"/>
    <row r="8" spans="1:13" ht="12.75" customHeight="1" thickBot="1" x14ac:dyDescent="0.3">
      <c r="C8" s="679" t="s">
        <v>214</v>
      </c>
      <c r="D8" s="679"/>
      <c r="E8" s="679"/>
      <c r="F8" s="680"/>
      <c r="G8" s="679"/>
      <c r="I8" s="681" t="s">
        <v>229</v>
      </c>
      <c r="J8" s="682"/>
      <c r="K8" s="682"/>
      <c r="L8" s="682"/>
      <c r="M8" s="683"/>
    </row>
    <row r="9" spans="1:13" ht="13.8" thickBot="1" x14ac:dyDescent="0.3">
      <c r="A9" s="121" t="s">
        <v>122</v>
      </c>
      <c r="B9" s="122" t="s">
        <v>531</v>
      </c>
      <c r="C9" s="115" t="s">
        <v>215</v>
      </c>
      <c r="D9" s="115" t="s">
        <v>219</v>
      </c>
      <c r="E9" s="115" t="s">
        <v>220</v>
      </c>
      <c r="F9" s="115" t="s">
        <v>216</v>
      </c>
      <c r="G9" s="116" t="s">
        <v>217</v>
      </c>
      <c r="I9" s="56" t="s">
        <v>230</v>
      </c>
      <c r="J9" s="57" t="s">
        <v>231</v>
      </c>
      <c r="K9" s="57" t="s">
        <v>232</v>
      </c>
      <c r="L9" s="57" t="s">
        <v>233</v>
      </c>
      <c r="M9" s="58" t="s">
        <v>234</v>
      </c>
    </row>
    <row r="10" spans="1:13" ht="14.4" x14ac:dyDescent="0.3">
      <c r="A10" s="424">
        <v>1</v>
      </c>
      <c r="B10" s="463" t="str">
        <f>C10&amp;" PID(s) @ "&amp;D10&amp;" Mbps/PID, Frame Size:"&amp; F10&amp;", Constant Flow"</f>
        <v>1 PID(s) @ 5 Mbps/PID, Frame Size:1500, Constant Flow</v>
      </c>
      <c r="C10" s="459">
        <v>1</v>
      </c>
      <c r="D10" s="464">
        <v>5</v>
      </c>
      <c r="E10" s="464">
        <v>5</v>
      </c>
      <c r="F10" s="459">
        <v>1500</v>
      </c>
      <c r="G10" s="465" t="s">
        <v>218</v>
      </c>
      <c r="H10" s="143"/>
      <c r="I10" s="466"/>
      <c r="J10" s="467"/>
      <c r="K10" s="467"/>
      <c r="L10" s="467"/>
      <c r="M10" s="468"/>
    </row>
    <row r="11" spans="1:13" ht="14.4" x14ac:dyDescent="0.3">
      <c r="A11" s="413">
        <v>2</v>
      </c>
      <c r="B11" s="463" t="str">
        <f t="shared" ref="B11:B19" si="0">C11&amp;" PID(s) @ "&amp;D11&amp;" Mbps/PID, Frame Size:"&amp; F11&amp;", Constant Flow"</f>
        <v>1 PID(s) @ 10 Mbps/PID, Frame Size:1500, Constant Flow</v>
      </c>
      <c r="C11" s="411">
        <v>1</v>
      </c>
      <c r="D11" s="469">
        <v>10</v>
      </c>
      <c r="E11" s="469">
        <v>10</v>
      </c>
      <c r="F11" s="411">
        <v>1500</v>
      </c>
      <c r="G11" s="470" t="s">
        <v>218</v>
      </c>
      <c r="H11" s="143"/>
      <c r="I11" s="471"/>
      <c r="J11" s="472"/>
      <c r="K11" s="472"/>
      <c r="L11" s="472"/>
      <c r="M11" s="473"/>
    </row>
    <row r="12" spans="1:13" ht="14.4" x14ac:dyDescent="0.3">
      <c r="A12" s="189">
        <v>3</v>
      </c>
      <c r="B12" s="254" t="str">
        <f t="shared" si="0"/>
        <v>1 PID(s) @ 25 Mbps/PID, Frame Size:1500, Constant Flow</v>
      </c>
      <c r="C12" s="255">
        <v>1</v>
      </c>
      <c r="D12" s="256">
        <v>25</v>
      </c>
      <c r="E12" s="256">
        <v>25</v>
      </c>
      <c r="F12" s="255">
        <v>1500</v>
      </c>
      <c r="G12" s="257" t="s">
        <v>218</v>
      </c>
      <c r="H12" s="258"/>
      <c r="I12" s="259"/>
      <c r="J12" s="260"/>
      <c r="K12" s="261"/>
      <c r="L12" s="261"/>
      <c r="M12" s="262"/>
    </row>
    <row r="13" spans="1:13" ht="14.4" x14ac:dyDescent="0.3">
      <c r="A13" s="189">
        <v>4</v>
      </c>
      <c r="B13" s="254" t="str">
        <f t="shared" si="0"/>
        <v>1 PID(s) @ 45 Mbps/PID, Frame Size:1500, Constant Flow</v>
      </c>
      <c r="C13" s="255">
        <v>1</v>
      </c>
      <c r="D13" s="256">
        <v>45</v>
      </c>
      <c r="E13" s="256">
        <v>45</v>
      </c>
      <c r="F13" s="255">
        <v>1500</v>
      </c>
      <c r="G13" s="257" t="s">
        <v>218</v>
      </c>
      <c r="H13" s="263"/>
      <c r="I13" s="259"/>
      <c r="J13" s="261"/>
      <c r="K13" s="261"/>
      <c r="L13" s="261"/>
      <c r="M13" s="262"/>
    </row>
    <row r="14" spans="1:13" ht="14.4" x14ac:dyDescent="0.3">
      <c r="A14" s="413">
        <v>5</v>
      </c>
      <c r="B14" s="463" t="str">
        <f t="shared" si="0"/>
        <v>5 PID(s) @ 1 Mbps/PID, Frame Size:1500, Constant Flow</v>
      </c>
      <c r="C14" s="411">
        <v>5</v>
      </c>
      <c r="D14" s="469">
        <v>1</v>
      </c>
      <c r="E14" s="469">
        <v>5</v>
      </c>
      <c r="F14" s="411">
        <v>1500</v>
      </c>
      <c r="G14" s="470" t="s">
        <v>218</v>
      </c>
      <c r="H14" s="143"/>
      <c r="I14" s="471"/>
      <c r="J14" s="472"/>
      <c r="K14" s="472"/>
      <c r="L14" s="472"/>
      <c r="M14" s="473"/>
    </row>
    <row r="15" spans="1:13" ht="14.4" x14ac:dyDescent="0.3">
      <c r="A15" s="413">
        <v>6</v>
      </c>
      <c r="B15" s="463" t="str">
        <f t="shared" si="0"/>
        <v>5 PID(s) @ 2 Mbps/PID, Frame Size:1500, Constant Flow</v>
      </c>
      <c r="C15" s="411">
        <v>5</v>
      </c>
      <c r="D15" s="469">
        <v>2</v>
      </c>
      <c r="E15" s="469">
        <v>10</v>
      </c>
      <c r="F15" s="411">
        <v>1500</v>
      </c>
      <c r="G15" s="470" t="s">
        <v>218</v>
      </c>
      <c r="H15" s="143"/>
      <c r="I15" s="471"/>
      <c r="J15" s="472"/>
      <c r="K15" s="472"/>
      <c r="L15" s="472"/>
      <c r="M15" s="473"/>
    </row>
    <row r="16" spans="1:13" ht="14.4" x14ac:dyDescent="0.3">
      <c r="A16" s="189">
        <v>7</v>
      </c>
      <c r="B16" s="254" t="str">
        <f t="shared" si="0"/>
        <v>5 PID(s) @ 5 Mbps/PID, Frame Size:1500, Constant Flow</v>
      </c>
      <c r="C16" s="255">
        <v>5</v>
      </c>
      <c r="D16" s="256">
        <v>5</v>
      </c>
      <c r="E16" s="256">
        <v>25</v>
      </c>
      <c r="F16" s="255">
        <v>1500</v>
      </c>
      <c r="G16" s="257" t="s">
        <v>218</v>
      </c>
      <c r="H16" s="258"/>
      <c r="I16" s="259"/>
      <c r="J16" s="260"/>
      <c r="K16" s="261"/>
      <c r="L16" s="261"/>
      <c r="M16" s="262"/>
    </row>
    <row r="17" spans="1:13" ht="14.4" x14ac:dyDescent="0.3">
      <c r="A17" s="189">
        <v>8</v>
      </c>
      <c r="B17" s="254" t="str">
        <f t="shared" si="0"/>
        <v>5 PID(s) @ 9 Mbps/PID, Frame Size:1500, Constant Flow</v>
      </c>
      <c r="C17" s="255">
        <v>5</v>
      </c>
      <c r="D17" s="256">
        <v>9</v>
      </c>
      <c r="E17" s="256">
        <v>45</v>
      </c>
      <c r="F17" s="255">
        <v>1500</v>
      </c>
      <c r="G17" s="257" t="s">
        <v>218</v>
      </c>
      <c r="H17" s="263"/>
      <c r="I17" s="259"/>
      <c r="J17" s="261"/>
      <c r="K17" s="261"/>
      <c r="L17" s="261"/>
      <c r="M17" s="262"/>
    </row>
    <row r="18" spans="1:13" ht="14.4" x14ac:dyDescent="0.3">
      <c r="A18" s="413">
        <v>9</v>
      </c>
      <c r="B18" s="463" t="str">
        <f t="shared" si="0"/>
        <v>1 PID(s) @ 2 Mbps/PID, Frame Size:500, Constant Flow</v>
      </c>
      <c r="C18" s="411">
        <v>1</v>
      </c>
      <c r="D18" s="469">
        <v>2</v>
      </c>
      <c r="E18" s="469">
        <v>2</v>
      </c>
      <c r="F18" s="411">
        <v>500</v>
      </c>
      <c r="G18" s="470" t="s">
        <v>218</v>
      </c>
      <c r="H18" s="143"/>
      <c r="I18" s="471"/>
      <c r="J18" s="472"/>
      <c r="K18" s="472"/>
      <c r="L18" s="472"/>
      <c r="M18" s="473"/>
    </row>
    <row r="19" spans="1:13" ht="14.4" x14ac:dyDescent="0.3">
      <c r="A19" s="413">
        <v>10</v>
      </c>
      <c r="B19" s="463" t="str">
        <f t="shared" si="0"/>
        <v>5 PID(s) @ 0.5 Mbps/PID, Frame Size:500, Constant Flow</v>
      </c>
      <c r="C19" s="411">
        <v>5</v>
      </c>
      <c r="D19" s="469">
        <v>0.5</v>
      </c>
      <c r="E19" s="469">
        <v>2.5</v>
      </c>
      <c r="F19" s="411">
        <v>500</v>
      </c>
      <c r="G19" s="470" t="s">
        <v>218</v>
      </c>
      <c r="H19" s="143"/>
      <c r="I19" s="471"/>
      <c r="J19" s="472"/>
      <c r="K19" s="472"/>
      <c r="L19" s="472"/>
      <c r="M19" s="473"/>
    </row>
    <row r="20" spans="1:13" ht="14.4" x14ac:dyDescent="0.3">
      <c r="A20" s="413">
        <v>11</v>
      </c>
      <c r="B20" s="463" t="str">
        <f>C20&amp;" PID(s) @ "&amp;D20&amp;" Mbps/PID, Frame Size:"&amp; F20&amp;", Variable Flow"</f>
        <v>5 PID(s) @ 0.1 - 2 Mbps/PID, Frame Size:1500, Variable Flow</v>
      </c>
      <c r="C20" s="411">
        <v>5</v>
      </c>
      <c r="D20" s="474" t="s">
        <v>222</v>
      </c>
      <c r="E20" s="474" t="s">
        <v>223</v>
      </c>
      <c r="F20" s="411">
        <v>1500</v>
      </c>
      <c r="G20" s="470" t="s">
        <v>221</v>
      </c>
      <c r="H20" s="143"/>
      <c r="I20" s="471"/>
      <c r="J20" s="472"/>
      <c r="K20" s="472"/>
      <c r="L20" s="472"/>
      <c r="M20" s="473"/>
    </row>
    <row r="21" spans="1:13" ht="15" thickBot="1" x14ac:dyDescent="0.35">
      <c r="A21" s="416">
        <v>12</v>
      </c>
      <c r="B21" s="463" t="str">
        <f>C21&amp;" PID(s) @ "&amp;D21&amp;" Mbps/PID, Frame Size:"&amp; F21&amp;", Variable Flow"</f>
        <v>5 PID(s) @ 0.5 Mbps/PID, Frame Size:100-1500, Variable Flow</v>
      </c>
      <c r="C21" s="411">
        <v>5</v>
      </c>
      <c r="D21" s="474">
        <v>0.5</v>
      </c>
      <c r="E21" s="474">
        <v>2.5</v>
      </c>
      <c r="F21" s="474" t="s">
        <v>224</v>
      </c>
      <c r="G21" s="470" t="s">
        <v>225</v>
      </c>
      <c r="H21" s="143"/>
      <c r="I21" s="475"/>
      <c r="J21" s="476"/>
      <c r="K21" s="476"/>
      <c r="L21" s="476"/>
      <c r="M21" s="477"/>
    </row>
  </sheetData>
  <customSheetViews>
    <customSheetView guid="{E7571780-ED88-421E-BB12-D2AF189A0D99}">
      <selection activeCell="A20" sqref="A20:XFD20"/>
      <pageMargins left="0.7" right="0.7" top="0.75" bottom="0.75" header="0.3" footer="0.3"/>
      <pageSetup orientation="portrait" r:id="rId1"/>
    </customSheetView>
    <customSheetView guid="{609F876C-F41A-43C8-BD3D-0455630C6D86}">
      <selection activeCell="A20" sqref="A20:XFD20"/>
      <pageMargins left="0.7" right="0.7" top="0.75" bottom="0.75" header="0.3" footer="0.3"/>
      <pageSetup orientation="portrait" r:id="rId2"/>
    </customSheetView>
    <customSheetView guid="{F5461B2D-C44D-459F-8141-3B434D52A3D6}">
      <selection activeCell="A20" sqref="A20:XFD20"/>
      <pageMargins left="0.7" right="0.7" top="0.75" bottom="0.75" header="0.3" footer="0.3"/>
      <pageSetup orientation="portrait" r:id="rId3"/>
    </customSheetView>
    <customSheetView guid="{BF4A82E8-EC44-4B28-ABE7-07086B055DF8}">
      <selection activeCell="A20" sqref="A20:XFD20"/>
      <pageMargins left="0.7" right="0.7" top="0.75" bottom="0.75" header="0.3" footer="0.3"/>
      <pageSetup orientation="portrait" r:id="rId4"/>
    </customSheetView>
    <customSheetView guid="{F9953651-D17A-4C02-9483-C34B454389F8}">
      <selection activeCell="D1" sqref="D1"/>
      <pageMargins left="0.7" right="0.7" top="0.75" bottom="0.75" header="0.3" footer="0.3"/>
      <pageSetup orientation="portrait" r:id="rId5"/>
    </customSheetView>
    <customSheetView guid="{4081EA0D-9F4E-4F6E-9740-125B98E42AAA}">
      <selection activeCell="D1" sqref="D1"/>
      <pageMargins left="0.7" right="0.7" top="0.75" bottom="0.75" header="0.3" footer="0.3"/>
      <pageSetup orientation="portrait" r:id="rId6"/>
    </customSheetView>
    <customSheetView guid="{568372EE-5594-48E8-AA4D-B2DFAABD6FBE}">
      <selection activeCell="E1" sqref="E1"/>
      <pageMargins left="0.7" right="0.7" top="0.75" bottom="0.75" header="0.3" footer="0.3"/>
      <pageSetup orientation="portrait" r:id="rId7"/>
    </customSheetView>
    <customSheetView guid="{0C14E275-67BD-4894-92C8-CC979B55C5D1}">
      <selection activeCell="D1" sqref="D1"/>
      <pageMargins left="0.7" right="0.7" top="0.75" bottom="0.75" header="0.3" footer="0.3"/>
      <pageSetup orientation="portrait" r:id="rId8"/>
    </customSheetView>
    <customSheetView guid="{E04D4D10-73E7-40D1-833B-CE4AC2EB45A8}">
      <selection activeCell="D1" sqref="D1"/>
      <pageMargins left="0.7" right="0.7" top="0.75" bottom="0.75" header="0.3" footer="0.3"/>
      <pageSetup orientation="portrait" r:id="rId9"/>
    </customSheetView>
    <customSheetView guid="{E6A6C2C1-501F-4FA5-9A65-F097BADC7A88}" topLeftCell="F1">
      <selection activeCell="D1" sqref="D1"/>
      <pageMargins left="0.7" right="0.7" top="0.75" bottom="0.75" header="0.3" footer="0.3"/>
      <pageSetup orientation="portrait" r:id="rId10"/>
    </customSheetView>
    <customSheetView guid="{189813C8-BE28-4174-A3B5-1C707449DBD3}">
      <selection activeCell="A11" sqref="A11:XFD11"/>
      <pageMargins left="0.7" right="0.7" top="0.75" bottom="0.75" header="0.3" footer="0.3"/>
      <pageSetup orientation="portrait" r:id="rId11"/>
    </customSheetView>
    <customSheetView guid="{A1D6424A-E1FA-4BDE-9758-50490C40BCC4}">
      <selection activeCell="A11" sqref="A11:XFD11"/>
      <pageMargins left="0.7" right="0.7" top="0.75" bottom="0.75" header="0.3" footer="0.3"/>
      <pageSetup orientation="portrait" r:id="rId12"/>
    </customSheetView>
  </customSheetViews>
  <mergeCells count="2">
    <mergeCell ref="C8:G8"/>
    <mergeCell ref="I8:M8"/>
  </mergeCells>
  <phoneticPr fontId="26" type="noConversion"/>
  <hyperlinks>
    <hyperlink ref="D1" display="Directory"/>
    <hyperlink ref="E1" display="D9859 Scoreboard"/>
  </hyperlinks>
  <pageMargins left="0.7" right="0.7" top="0.75" bottom="0.75" header="0.3" footer="0.3"/>
  <pageSetup orientation="portrait" r:id="rId13"/>
  <drawing r:id="rId14"/>
  <legacyDrawing r:id="rId15"/>
  <controls>
    <mc:AlternateContent xmlns:mc="http://schemas.openxmlformats.org/markup-compatibility/2006">
      <mc:Choice Requires="x14">
        <control shapeId="17409" r:id="rId16" name="CommandButton1">
          <controlPr defaultSize="0" autoLine="0" autoPict="0" r:id="rId17">
            <anchor moveWithCells="1">
              <from>
                <xdr:col>6</xdr:col>
                <xdr:colOff>121920</xdr:colOff>
                <xdr:row>2</xdr:row>
                <xdr:rowOff>22860</xdr:rowOff>
              </from>
              <to>
                <xdr:col>10</xdr:col>
                <xdr:colOff>106680</xdr:colOff>
                <xdr:row>6</xdr:row>
                <xdr:rowOff>83820</xdr:rowOff>
              </to>
            </anchor>
          </controlPr>
        </control>
      </mc:Choice>
      <mc:Fallback>
        <control shapeId="17409" r:id="rId1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14"/>
  <sheetViews>
    <sheetView workbookViewId="0">
      <selection activeCell="D1" sqref="D1"/>
    </sheetView>
  </sheetViews>
  <sheetFormatPr defaultRowHeight="13.2" x14ac:dyDescent="0.25"/>
  <cols>
    <col min="1" max="1" width="10.44140625" bestFit="1" customWidth="1"/>
    <col min="2" max="2" width="11" bestFit="1" customWidth="1"/>
    <col min="3" max="3" width="10.109375" bestFit="1" customWidth="1"/>
  </cols>
  <sheetData>
    <row r="1" spans="1:8" x14ac:dyDescent="0.25">
      <c r="A1" s="14" t="s">
        <v>75</v>
      </c>
      <c r="B1" s="15" t="s">
        <v>77</v>
      </c>
      <c r="C1" s="51" t="s">
        <v>76</v>
      </c>
      <c r="D1" s="110" t="s">
        <v>499</v>
      </c>
      <c r="E1" s="148" t="s">
        <v>606</v>
      </c>
      <c r="F1" s="110"/>
      <c r="G1" s="110"/>
      <c r="H1" s="76"/>
    </row>
    <row r="2" spans="1:8" x14ac:dyDescent="0.25">
      <c r="A2" s="10" t="s">
        <v>78</v>
      </c>
      <c r="B2" s="50" t="s">
        <v>277</v>
      </c>
      <c r="C2" s="52">
        <v>40263</v>
      </c>
    </row>
    <row r="3" spans="1:8" x14ac:dyDescent="0.25">
      <c r="A3" s="10"/>
      <c r="B3" s="1"/>
      <c r="C3" s="53"/>
    </row>
    <row r="4" spans="1:8" x14ac:dyDescent="0.25">
      <c r="A4" s="10"/>
      <c r="B4" s="13"/>
      <c r="C4" s="53"/>
    </row>
    <row r="5" spans="1:8" ht="13.8" thickBot="1" x14ac:dyDescent="0.3">
      <c r="A5" s="11"/>
      <c r="B5" s="19"/>
      <c r="C5" s="54"/>
    </row>
    <row r="7" spans="1:8" ht="13.8" thickBot="1" x14ac:dyDescent="0.3"/>
    <row r="8" spans="1:8" ht="13.8" thickBot="1" x14ac:dyDescent="0.3">
      <c r="A8" s="125" t="s">
        <v>122</v>
      </c>
      <c r="B8" t="s">
        <v>531</v>
      </c>
      <c r="C8" s="49" t="s">
        <v>290</v>
      </c>
      <c r="D8" s="63" t="s">
        <v>292</v>
      </c>
      <c r="E8" s="64" t="s">
        <v>293</v>
      </c>
      <c r="F8" s="143"/>
    </row>
    <row r="9" spans="1:8" x14ac:dyDescent="0.25">
      <c r="A9" s="458">
        <v>1</v>
      </c>
      <c r="B9" s="143" t="str">
        <f>C9&amp;" bps"</f>
        <v>300 bps</v>
      </c>
      <c r="C9" s="460">
        <v>300</v>
      </c>
      <c r="D9" s="143"/>
      <c r="E9" s="143"/>
      <c r="F9" s="143"/>
      <c r="G9" s="143"/>
      <c r="H9" s="143"/>
    </row>
    <row r="10" spans="1:8" x14ac:dyDescent="0.25">
      <c r="A10" s="461">
        <v>2</v>
      </c>
      <c r="B10" s="143" t="str">
        <f t="shared" ref="B10:B12" si="0">C10&amp;" bps"</f>
        <v>9600 bps</v>
      </c>
      <c r="C10" s="417">
        <v>9600</v>
      </c>
      <c r="D10" s="143"/>
      <c r="E10" s="143"/>
      <c r="F10" s="143"/>
      <c r="G10" s="143"/>
      <c r="H10" s="143"/>
    </row>
    <row r="11" spans="1:8" x14ac:dyDescent="0.25">
      <c r="A11" s="461">
        <v>3</v>
      </c>
      <c r="B11" s="143" t="str">
        <f t="shared" si="0"/>
        <v>19200 bps</v>
      </c>
      <c r="C11" s="417">
        <v>19200</v>
      </c>
      <c r="D11" s="143"/>
      <c r="E11" s="143"/>
      <c r="F11" s="143"/>
      <c r="G11" s="143"/>
      <c r="H11" s="143"/>
    </row>
    <row r="12" spans="1:8" ht="13.8" thickBot="1" x14ac:dyDescent="0.3">
      <c r="A12" s="462">
        <v>4</v>
      </c>
      <c r="B12" s="143" t="str">
        <f t="shared" si="0"/>
        <v>38400 bps</v>
      </c>
      <c r="C12" s="419">
        <v>38400</v>
      </c>
      <c r="D12" s="143"/>
      <c r="E12" s="143"/>
      <c r="F12" s="143"/>
      <c r="G12" s="143"/>
      <c r="H12" s="143"/>
    </row>
    <row r="13" spans="1:8" x14ac:dyDescent="0.25">
      <c r="A13" s="143"/>
      <c r="B13" s="143"/>
      <c r="C13" s="143"/>
      <c r="D13" s="143"/>
      <c r="E13" s="143"/>
      <c r="F13" s="143"/>
      <c r="G13" s="143"/>
      <c r="H13" s="143"/>
    </row>
    <row r="14" spans="1:8" x14ac:dyDescent="0.25">
      <c r="A14" s="143">
        <v>0</v>
      </c>
      <c r="B14" s="143" t="s">
        <v>291</v>
      </c>
      <c r="C14" s="143"/>
      <c r="D14" s="143"/>
      <c r="E14" s="143"/>
      <c r="F14" s="143"/>
      <c r="G14" s="143"/>
      <c r="H14" s="143"/>
    </row>
  </sheetData>
  <customSheetViews>
    <customSheetView guid="{E7571780-ED88-421E-BB12-D2AF189A0D99}">
      <selection activeCell="D1" sqref="D1"/>
      <pageMargins left="0.7" right="0.7" top="0.75" bottom="0.75" header="0.3" footer="0.3"/>
      <pageSetup orientation="portrait" r:id="rId1"/>
    </customSheetView>
    <customSheetView guid="{609F876C-F41A-43C8-BD3D-0455630C6D86}">
      <selection activeCell="D1" sqref="D1"/>
      <pageMargins left="0.7" right="0.7" top="0.75" bottom="0.75" header="0.3" footer="0.3"/>
      <pageSetup orientation="portrait" r:id="rId2"/>
    </customSheetView>
    <customSheetView guid="{F5461B2D-C44D-459F-8141-3B434D52A3D6}">
      <selection activeCell="D1" sqref="D1"/>
      <pageMargins left="0.7" right="0.7" top="0.75" bottom="0.75" header="0.3" footer="0.3"/>
      <pageSetup orientation="portrait" r:id="rId3"/>
    </customSheetView>
    <customSheetView guid="{BF4A82E8-EC44-4B28-ABE7-07086B055DF8}">
      <selection activeCell="D1" sqref="D1"/>
      <pageMargins left="0.7" right="0.7" top="0.75" bottom="0.75" header="0.3" footer="0.3"/>
      <pageSetup orientation="portrait" r:id="rId4"/>
    </customSheetView>
    <customSheetView guid="{F9953651-D17A-4C02-9483-C34B454389F8}">
      <selection activeCell="D1" sqref="D1"/>
      <pageMargins left="0.7" right="0.7" top="0.75" bottom="0.75" header="0.3" footer="0.3"/>
      <pageSetup orientation="portrait" r:id="rId5"/>
    </customSheetView>
    <customSheetView guid="{4081EA0D-9F4E-4F6E-9740-125B98E42AAA}">
      <selection activeCell="D1" sqref="D1"/>
      <pageMargins left="0.7" right="0.7" top="0.75" bottom="0.75" header="0.3" footer="0.3"/>
      <pageSetup orientation="portrait" r:id="rId6"/>
    </customSheetView>
    <customSheetView guid="{568372EE-5594-48E8-AA4D-B2DFAABD6FBE}">
      <selection activeCell="E1" sqref="E1"/>
      <pageMargins left="0.7" right="0.7" top="0.75" bottom="0.75" header="0.3" footer="0.3"/>
      <pageSetup orientation="portrait" r:id="rId7"/>
    </customSheetView>
    <customSheetView guid="{0C14E275-67BD-4894-92C8-CC979B55C5D1}">
      <selection activeCell="D1" sqref="D1"/>
      <pageMargins left="0.7" right="0.7" top="0.75" bottom="0.75" header="0.3" footer="0.3"/>
      <pageSetup orientation="portrait" r:id="rId8"/>
    </customSheetView>
    <customSheetView guid="{E04D4D10-73E7-40D1-833B-CE4AC2EB45A8}">
      <selection activeCell="D1" sqref="D1"/>
      <pageMargins left="0.7" right="0.7" top="0.75" bottom="0.75" header="0.3" footer="0.3"/>
      <pageSetup orientation="portrait" r:id="rId9"/>
    </customSheetView>
    <customSheetView guid="{E6A6C2C1-501F-4FA5-9A65-F097BADC7A88}">
      <selection activeCell="D1" sqref="D1"/>
      <pageMargins left="0.7" right="0.7" top="0.75" bottom="0.75" header="0.3" footer="0.3"/>
      <pageSetup orientation="portrait" r:id="rId10"/>
    </customSheetView>
    <customSheetView guid="{189813C8-BE28-4174-A3B5-1C707449DBD3}">
      <selection activeCell="D1" sqref="D1"/>
      <pageMargins left="0.7" right="0.7" top="0.75" bottom="0.75" header="0.3" footer="0.3"/>
      <pageSetup orientation="portrait" r:id="rId11"/>
    </customSheetView>
    <customSheetView guid="{A1D6424A-E1FA-4BDE-9758-50490C40BCC4}">
      <selection activeCell="D1" sqref="D1"/>
      <pageMargins left="0.7" right="0.7" top="0.75" bottom="0.75" header="0.3" footer="0.3"/>
      <pageSetup orientation="portrait" r:id="rId12"/>
    </customSheetView>
  </customSheetViews>
  <phoneticPr fontId="26" type="noConversion"/>
  <hyperlinks>
    <hyperlink ref="D1" display="Directory"/>
    <hyperlink ref="E1" display="D9859 Scoreboard"/>
  </hyperlinks>
  <pageMargins left="0.7" right="0.7" top="0.75" bottom="0.75" header="0.3" footer="0.3"/>
  <pageSetup orientation="portrait" r:id="rId13"/>
  <drawing r:id="rId14"/>
  <legacyDrawing r:id="rId15"/>
  <controls>
    <mc:AlternateContent xmlns:mc="http://schemas.openxmlformats.org/markup-compatibility/2006">
      <mc:Choice Requires="x14">
        <control shapeId="19457" r:id="rId16" name="CommandButton1">
          <controlPr defaultSize="0" autoLine="0" autoPict="0" r:id="rId17">
            <anchor moveWithCells="1">
              <from>
                <xdr:col>7</xdr:col>
                <xdr:colOff>480060</xdr:colOff>
                <xdr:row>1</xdr:row>
                <xdr:rowOff>114300</xdr:rowOff>
              </from>
              <to>
                <xdr:col>11</xdr:col>
                <xdr:colOff>525780</xdr:colOff>
                <xdr:row>5</xdr:row>
                <xdr:rowOff>68580</xdr:rowOff>
              </to>
            </anchor>
          </controlPr>
        </control>
      </mc:Choice>
      <mc:Fallback>
        <control shapeId="19457" r:id="rId1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74"/>
  <sheetViews>
    <sheetView topLeftCell="A8" zoomScale="90" zoomScaleNormal="90" workbookViewId="0">
      <selection activeCell="A36" sqref="A36:XFD37"/>
    </sheetView>
  </sheetViews>
  <sheetFormatPr defaultRowHeight="13.2" x14ac:dyDescent="0.25"/>
  <cols>
    <col min="1" max="1" width="10.88671875" customWidth="1"/>
    <col min="2" max="2" width="16.109375" customWidth="1"/>
    <col min="3" max="3" width="15.44140625" customWidth="1"/>
    <col min="4" max="4" width="14.5546875" customWidth="1"/>
    <col min="5" max="5" width="12" customWidth="1"/>
    <col min="6" max="6" width="11.88671875" customWidth="1"/>
    <col min="7" max="7" width="12.44140625" customWidth="1"/>
    <col min="8" max="8" width="11.88671875" customWidth="1"/>
    <col min="9" max="9" width="11.88671875" bestFit="1" customWidth="1"/>
    <col min="10" max="10" width="11.33203125" bestFit="1" customWidth="1"/>
    <col min="11" max="11" width="5.6640625" bestFit="1" customWidth="1"/>
    <col min="12" max="12" width="11.109375" bestFit="1" customWidth="1"/>
    <col min="13" max="13" width="8.44140625" bestFit="1" customWidth="1"/>
    <col min="14" max="14" width="9.44140625" bestFit="1" customWidth="1"/>
    <col min="15" max="17" width="6.44140625" bestFit="1" customWidth="1"/>
    <col min="18" max="18" width="5.33203125" bestFit="1" customWidth="1"/>
    <col min="19" max="19" width="6.44140625" bestFit="1" customWidth="1"/>
    <col min="20" max="20" width="6.109375" bestFit="1" customWidth="1"/>
    <col min="21" max="21" width="6.44140625" bestFit="1" customWidth="1"/>
    <col min="22" max="23" width="6.109375" bestFit="1" customWidth="1"/>
    <col min="24" max="33" width="5.33203125" bestFit="1" customWidth="1"/>
    <col min="34" max="35" width="4.5546875" bestFit="1" customWidth="1"/>
  </cols>
  <sheetData>
    <row r="1" spans="1:33" x14ac:dyDescent="0.25">
      <c r="A1" s="110" t="s">
        <v>499</v>
      </c>
      <c r="B1" s="14" t="s">
        <v>75</v>
      </c>
      <c r="C1" s="15" t="s">
        <v>77</v>
      </c>
      <c r="D1" s="51" t="s">
        <v>76</v>
      </c>
      <c r="E1" s="148" t="s">
        <v>606</v>
      </c>
      <c r="F1" s="110"/>
      <c r="G1" s="110"/>
      <c r="H1" s="76"/>
    </row>
    <row r="2" spans="1:33" x14ac:dyDescent="0.25">
      <c r="B2" s="10" t="s">
        <v>78</v>
      </c>
      <c r="C2" s="50" t="s">
        <v>277</v>
      </c>
      <c r="D2" s="52">
        <v>40263</v>
      </c>
    </row>
    <row r="3" spans="1:33" x14ac:dyDescent="0.25">
      <c r="B3" s="10" t="s">
        <v>346</v>
      </c>
      <c r="C3" s="1" t="s">
        <v>368</v>
      </c>
      <c r="D3" s="52">
        <v>40589</v>
      </c>
    </row>
    <row r="4" spans="1:33" x14ac:dyDescent="0.25">
      <c r="B4" s="10"/>
      <c r="C4" s="13"/>
      <c r="D4" s="53"/>
    </row>
    <row r="5" spans="1:33" ht="13.8" thickBot="1" x14ac:dyDescent="0.3">
      <c r="B5" s="11"/>
      <c r="C5" s="19"/>
      <c r="D5" s="54"/>
    </row>
    <row r="7" spans="1:33" ht="22.8" x14ac:dyDescent="0.4">
      <c r="B7" s="75" t="s">
        <v>378</v>
      </c>
    </row>
    <row r="8" spans="1:33" x14ac:dyDescent="0.25">
      <c r="F8" s="143"/>
    </row>
    <row r="9" spans="1:33" ht="26.4" x14ac:dyDescent="0.25">
      <c r="A9" s="126" t="s">
        <v>122</v>
      </c>
      <c r="B9" s="136" t="s">
        <v>538</v>
      </c>
      <c r="C9" s="136" t="s">
        <v>381</v>
      </c>
      <c r="D9" s="136" t="s">
        <v>384</v>
      </c>
      <c r="E9" s="136" t="s">
        <v>386</v>
      </c>
      <c r="F9" s="136" t="s">
        <v>390</v>
      </c>
      <c r="G9" s="136" t="s">
        <v>392</v>
      </c>
      <c r="H9" s="136" t="s">
        <v>394</v>
      </c>
      <c r="I9" s="123" t="s">
        <v>395</v>
      </c>
      <c r="J9" s="123" t="s">
        <v>398</v>
      </c>
      <c r="K9" s="123" t="s">
        <v>401</v>
      </c>
      <c r="L9" s="123" t="s">
        <v>402</v>
      </c>
      <c r="M9" s="123" t="s">
        <v>404</v>
      </c>
      <c r="N9" s="123" t="s">
        <v>406</v>
      </c>
      <c r="O9" s="124" t="s">
        <v>408</v>
      </c>
      <c r="P9" s="124" t="s">
        <v>410</v>
      </c>
      <c r="Q9" s="124" t="s">
        <v>411</v>
      </c>
      <c r="R9" s="124" t="s">
        <v>412</v>
      </c>
      <c r="S9" s="124" t="s">
        <v>413</v>
      </c>
      <c r="T9" s="124" t="s">
        <v>414</v>
      </c>
      <c r="U9" s="124" t="s">
        <v>416</v>
      </c>
      <c r="V9" s="124" t="s">
        <v>417</v>
      </c>
      <c r="W9" s="124" t="s">
        <v>418</v>
      </c>
      <c r="X9" s="124" t="s">
        <v>419</v>
      </c>
      <c r="Y9" s="124" t="s">
        <v>420</v>
      </c>
      <c r="Z9" s="124" t="s">
        <v>421</v>
      </c>
      <c r="AA9" s="124" t="s">
        <v>422</v>
      </c>
      <c r="AB9" s="124" t="s">
        <v>423</v>
      </c>
      <c r="AC9" s="124" t="s">
        <v>424</v>
      </c>
      <c r="AD9" s="124" t="s">
        <v>425</v>
      </c>
      <c r="AE9" s="124" t="s">
        <v>426</v>
      </c>
      <c r="AF9" s="124" t="s">
        <v>427</v>
      </c>
      <c r="AG9" s="124" t="s">
        <v>428</v>
      </c>
    </row>
    <row r="10" spans="1:33" ht="26.4" x14ac:dyDescent="0.25">
      <c r="A10" s="144">
        <v>1</v>
      </c>
      <c r="B10" s="478" t="s">
        <v>594</v>
      </c>
      <c r="C10" s="479" t="s">
        <v>373</v>
      </c>
      <c r="D10" s="479" t="s">
        <v>374</v>
      </c>
      <c r="E10" s="480" t="s">
        <v>2</v>
      </c>
      <c r="F10" s="480" t="s">
        <v>387</v>
      </c>
      <c r="G10" s="480" t="s">
        <v>393</v>
      </c>
      <c r="H10" s="480" t="s">
        <v>393</v>
      </c>
      <c r="I10" s="481" t="s">
        <v>396</v>
      </c>
      <c r="J10" s="481" t="s">
        <v>399</v>
      </c>
      <c r="K10" s="481" t="s">
        <v>2</v>
      </c>
      <c r="L10" s="481" t="s">
        <v>403</v>
      </c>
      <c r="M10" s="481" t="s">
        <v>405</v>
      </c>
      <c r="N10" s="481" t="s">
        <v>407</v>
      </c>
      <c r="O10" s="481" t="s">
        <v>2</v>
      </c>
      <c r="P10" s="481" t="s">
        <v>2</v>
      </c>
      <c r="Q10" s="481" t="s">
        <v>2</v>
      </c>
      <c r="R10" s="481" t="s">
        <v>2</v>
      </c>
      <c r="S10" s="481" t="s">
        <v>2</v>
      </c>
      <c r="T10" s="481" t="s">
        <v>2</v>
      </c>
      <c r="U10" s="481" t="s">
        <v>2</v>
      </c>
      <c r="V10" s="481" t="s">
        <v>2</v>
      </c>
      <c r="W10" s="481" t="s">
        <v>2</v>
      </c>
      <c r="X10" s="481" t="s">
        <v>2</v>
      </c>
      <c r="Y10" s="481" t="s">
        <v>2</v>
      </c>
      <c r="Z10" s="481" t="s">
        <v>2</v>
      </c>
      <c r="AA10" s="481" t="s">
        <v>2</v>
      </c>
      <c r="AB10" s="481" t="s">
        <v>2</v>
      </c>
      <c r="AC10" s="481" t="s">
        <v>2</v>
      </c>
      <c r="AD10" s="481" t="s">
        <v>2</v>
      </c>
      <c r="AE10" s="481" t="s">
        <v>2</v>
      </c>
      <c r="AF10" s="481" t="s">
        <v>2</v>
      </c>
      <c r="AG10" s="481" t="s">
        <v>2</v>
      </c>
    </row>
    <row r="11" spans="1:33" ht="26.4" x14ac:dyDescent="0.25">
      <c r="A11" s="144">
        <v>2</v>
      </c>
      <c r="B11" s="478" t="s">
        <v>595</v>
      </c>
      <c r="C11" s="479" t="s">
        <v>373</v>
      </c>
      <c r="D11" s="479" t="s">
        <v>385</v>
      </c>
      <c r="E11" s="480" t="s">
        <v>2</v>
      </c>
      <c r="F11" s="480" t="s">
        <v>387</v>
      </c>
      <c r="G11" s="480" t="s">
        <v>393</v>
      </c>
      <c r="H11" s="480" t="s">
        <v>393</v>
      </c>
      <c r="I11" s="481" t="s">
        <v>396</v>
      </c>
      <c r="J11" s="481" t="s">
        <v>399</v>
      </c>
      <c r="K11" s="481" t="s">
        <v>2</v>
      </c>
      <c r="L11" s="481" t="s">
        <v>403</v>
      </c>
      <c r="M11" s="481" t="s">
        <v>405</v>
      </c>
      <c r="N11" s="481" t="s">
        <v>407</v>
      </c>
      <c r="O11" s="481" t="s">
        <v>2</v>
      </c>
      <c r="P11" s="481" t="s">
        <v>409</v>
      </c>
      <c r="Q11" s="481" t="s">
        <v>409</v>
      </c>
      <c r="R11" s="481" t="s">
        <v>2</v>
      </c>
      <c r="S11" s="481" t="s">
        <v>2</v>
      </c>
      <c r="T11" s="481" t="s">
        <v>2</v>
      </c>
      <c r="U11" s="481" t="s">
        <v>409</v>
      </c>
      <c r="V11" s="481" t="s">
        <v>415</v>
      </c>
      <c r="W11" s="481" t="s">
        <v>415</v>
      </c>
      <c r="X11" s="481" t="s">
        <v>2</v>
      </c>
      <c r="Y11" s="481" t="s">
        <v>2</v>
      </c>
      <c r="Z11" s="481" t="s">
        <v>2</v>
      </c>
      <c r="AA11" s="481" t="s">
        <v>2</v>
      </c>
      <c r="AB11" s="481" t="s">
        <v>2</v>
      </c>
      <c r="AC11" s="481" t="s">
        <v>2</v>
      </c>
      <c r="AD11" s="481" t="s">
        <v>2</v>
      </c>
      <c r="AE11" s="481" t="s">
        <v>2</v>
      </c>
      <c r="AF11" s="481" t="s">
        <v>2</v>
      </c>
      <c r="AG11" s="481" t="s">
        <v>2</v>
      </c>
    </row>
    <row r="12" spans="1:33" ht="26.4" x14ac:dyDescent="0.25">
      <c r="A12" s="144">
        <v>3</v>
      </c>
      <c r="B12" s="479" t="s">
        <v>379</v>
      </c>
      <c r="C12" s="479" t="s">
        <v>382</v>
      </c>
      <c r="D12" s="479" t="s">
        <v>385</v>
      </c>
      <c r="E12" s="480" t="s">
        <v>387</v>
      </c>
      <c r="F12" s="480" t="s">
        <v>387</v>
      </c>
      <c r="G12" s="480" t="s">
        <v>393</v>
      </c>
      <c r="H12" s="480" t="s">
        <v>393</v>
      </c>
      <c r="I12" s="481" t="s">
        <v>397</v>
      </c>
      <c r="J12" s="481" t="s">
        <v>400</v>
      </c>
      <c r="K12" s="481" t="s">
        <v>376</v>
      </c>
      <c r="L12" s="481" t="s">
        <v>403</v>
      </c>
      <c r="M12" s="481" t="s">
        <v>405</v>
      </c>
      <c r="N12" s="481" t="s">
        <v>407</v>
      </c>
      <c r="O12" s="481" t="s">
        <v>409</v>
      </c>
      <c r="P12" s="481" t="s">
        <v>409</v>
      </c>
      <c r="Q12" s="481" t="s">
        <v>409</v>
      </c>
      <c r="R12" s="481" t="s">
        <v>2</v>
      </c>
      <c r="S12" s="481" t="s">
        <v>409</v>
      </c>
      <c r="T12" s="481" t="s">
        <v>415</v>
      </c>
      <c r="U12" s="481" t="s">
        <v>409</v>
      </c>
      <c r="V12" s="481" t="s">
        <v>415</v>
      </c>
      <c r="W12" s="481" t="s">
        <v>415</v>
      </c>
      <c r="X12" s="481" t="s">
        <v>2</v>
      </c>
      <c r="Y12" s="481" t="s">
        <v>2</v>
      </c>
      <c r="Z12" s="481" t="s">
        <v>2</v>
      </c>
      <c r="AA12" s="481" t="s">
        <v>2</v>
      </c>
      <c r="AB12" s="481" t="s">
        <v>2</v>
      </c>
      <c r="AC12" s="481" t="s">
        <v>2</v>
      </c>
      <c r="AD12" s="481" t="s">
        <v>2</v>
      </c>
      <c r="AE12" s="481" t="s">
        <v>2</v>
      </c>
      <c r="AF12" s="481" t="s">
        <v>2</v>
      </c>
      <c r="AG12" s="481" t="s">
        <v>2</v>
      </c>
    </row>
    <row r="13" spans="1:33" ht="26.4" x14ac:dyDescent="0.25">
      <c r="A13" s="144">
        <v>4</v>
      </c>
      <c r="B13" s="479" t="s">
        <v>380</v>
      </c>
      <c r="C13" s="479" t="s">
        <v>382</v>
      </c>
      <c r="D13" s="479" t="s">
        <v>385</v>
      </c>
      <c r="E13" s="482" t="s">
        <v>388</v>
      </c>
      <c r="F13" s="482" t="s">
        <v>391</v>
      </c>
      <c r="G13" s="480" t="s">
        <v>393</v>
      </c>
      <c r="H13" s="480" t="s">
        <v>393</v>
      </c>
      <c r="I13" s="481" t="s">
        <v>397</v>
      </c>
      <c r="J13" s="481" t="s">
        <v>400</v>
      </c>
      <c r="K13" s="481" t="s">
        <v>376</v>
      </c>
      <c r="L13" s="481" t="s">
        <v>403</v>
      </c>
      <c r="M13" s="481" t="s">
        <v>405</v>
      </c>
      <c r="N13" s="481" t="s">
        <v>407</v>
      </c>
      <c r="O13" s="481" t="s">
        <v>409</v>
      </c>
      <c r="P13" s="481" t="s">
        <v>409</v>
      </c>
      <c r="Q13" s="481" t="s">
        <v>409</v>
      </c>
      <c r="R13" s="481" t="s">
        <v>2</v>
      </c>
      <c r="S13" s="481" t="s">
        <v>409</v>
      </c>
      <c r="T13" s="481" t="s">
        <v>415</v>
      </c>
      <c r="U13" s="481" t="s">
        <v>409</v>
      </c>
      <c r="V13" s="481" t="s">
        <v>415</v>
      </c>
      <c r="W13" s="481" t="s">
        <v>415</v>
      </c>
      <c r="X13" s="481" t="s">
        <v>2</v>
      </c>
      <c r="Y13" s="481" t="s">
        <v>2</v>
      </c>
      <c r="Z13" s="481" t="s">
        <v>2</v>
      </c>
      <c r="AA13" s="481" t="s">
        <v>2</v>
      </c>
      <c r="AB13" s="481" t="s">
        <v>2</v>
      </c>
      <c r="AC13" s="481" t="s">
        <v>2</v>
      </c>
      <c r="AD13" s="481" t="s">
        <v>2</v>
      </c>
      <c r="AE13" s="481" t="s">
        <v>2</v>
      </c>
      <c r="AF13" s="481" t="s">
        <v>2</v>
      </c>
      <c r="AG13" s="481" t="s">
        <v>2</v>
      </c>
    </row>
    <row r="14" spans="1:33" ht="26.4" x14ac:dyDescent="0.25">
      <c r="A14" s="144">
        <v>5</v>
      </c>
      <c r="B14" s="478" t="s">
        <v>596</v>
      </c>
      <c r="C14" s="479" t="s">
        <v>383</v>
      </c>
      <c r="D14" s="479" t="s">
        <v>385</v>
      </c>
      <c r="E14" s="480" t="s">
        <v>389</v>
      </c>
      <c r="F14" s="480" t="s">
        <v>387</v>
      </c>
      <c r="G14" s="482" t="s">
        <v>2</v>
      </c>
      <c r="H14" s="482" t="s">
        <v>391</v>
      </c>
      <c r="I14" s="481" t="s">
        <v>397</v>
      </c>
      <c r="J14" s="481" t="s">
        <v>400</v>
      </c>
      <c r="K14" s="481" t="s">
        <v>376</v>
      </c>
      <c r="L14" s="481" t="s">
        <v>403</v>
      </c>
      <c r="M14" s="481" t="s">
        <v>405</v>
      </c>
      <c r="N14" s="481" t="s">
        <v>407</v>
      </c>
      <c r="O14" s="481" t="s">
        <v>409</v>
      </c>
      <c r="P14" s="481" t="s">
        <v>409</v>
      </c>
      <c r="Q14" s="481" t="s">
        <v>409</v>
      </c>
      <c r="R14" s="481" t="s">
        <v>2</v>
      </c>
      <c r="S14" s="481" t="s">
        <v>409</v>
      </c>
      <c r="T14" s="481" t="s">
        <v>376</v>
      </c>
      <c r="U14" s="481" t="s">
        <v>409</v>
      </c>
      <c r="V14" s="481" t="s">
        <v>376</v>
      </c>
      <c r="W14" s="481" t="s">
        <v>376</v>
      </c>
      <c r="X14" s="481" t="s">
        <v>376</v>
      </c>
      <c r="Y14" s="481" t="s">
        <v>2</v>
      </c>
      <c r="Z14" s="481" t="s">
        <v>2</v>
      </c>
      <c r="AA14" s="481" t="s">
        <v>2</v>
      </c>
      <c r="AB14" s="481" t="s">
        <v>2</v>
      </c>
      <c r="AC14" s="481" t="s">
        <v>2</v>
      </c>
      <c r="AD14" s="481" t="s">
        <v>376</v>
      </c>
      <c r="AE14" s="481" t="s">
        <v>376</v>
      </c>
      <c r="AF14" s="481" t="s">
        <v>376</v>
      </c>
      <c r="AG14" s="481" t="s">
        <v>376</v>
      </c>
    </row>
    <row r="15" spans="1:33" x14ac:dyDescent="0.25">
      <c r="A15" s="144">
        <v>6</v>
      </c>
      <c r="B15" s="478" t="s">
        <v>597</v>
      </c>
      <c r="C15" s="479" t="s">
        <v>383</v>
      </c>
      <c r="D15" s="479" t="s">
        <v>385</v>
      </c>
      <c r="E15" s="480" t="s">
        <v>389</v>
      </c>
      <c r="F15" s="480" t="s">
        <v>387</v>
      </c>
      <c r="G15" s="482" t="s">
        <v>387</v>
      </c>
      <c r="H15" s="482" t="s">
        <v>387</v>
      </c>
      <c r="I15" s="481" t="s">
        <v>397</v>
      </c>
      <c r="J15" s="481" t="s">
        <v>400</v>
      </c>
      <c r="K15" s="481" t="s">
        <v>376</v>
      </c>
      <c r="L15" s="481" t="s">
        <v>403</v>
      </c>
      <c r="M15" s="481" t="s">
        <v>405</v>
      </c>
      <c r="N15" s="481" t="s">
        <v>407</v>
      </c>
      <c r="O15" s="481" t="s">
        <v>409</v>
      </c>
      <c r="P15" s="481" t="s">
        <v>409</v>
      </c>
      <c r="Q15" s="481" t="s">
        <v>409</v>
      </c>
      <c r="R15" s="481" t="s">
        <v>2</v>
      </c>
      <c r="S15" s="481" t="s">
        <v>409</v>
      </c>
      <c r="T15" s="481" t="s">
        <v>376</v>
      </c>
      <c r="U15" s="481" t="s">
        <v>409</v>
      </c>
      <c r="V15" s="481" t="s">
        <v>376</v>
      </c>
      <c r="W15" s="481" t="s">
        <v>376</v>
      </c>
      <c r="X15" s="481" t="s">
        <v>376</v>
      </c>
      <c r="Y15" s="481" t="s">
        <v>2</v>
      </c>
      <c r="Z15" s="481" t="s">
        <v>2</v>
      </c>
      <c r="AA15" s="481" t="s">
        <v>2</v>
      </c>
      <c r="AB15" s="481" t="s">
        <v>2</v>
      </c>
      <c r="AC15" s="481" t="s">
        <v>2</v>
      </c>
      <c r="AD15" s="481" t="s">
        <v>376</v>
      </c>
      <c r="AE15" s="481" t="s">
        <v>376</v>
      </c>
      <c r="AF15" s="481" t="s">
        <v>376</v>
      </c>
      <c r="AG15" s="481" t="s">
        <v>376</v>
      </c>
    </row>
    <row r="16" spans="1:33" x14ac:dyDescent="0.25">
      <c r="A16" s="144">
        <v>7</v>
      </c>
      <c r="B16" s="478" t="s">
        <v>598</v>
      </c>
      <c r="C16" s="479" t="s">
        <v>383</v>
      </c>
      <c r="D16" s="479" t="s">
        <v>385</v>
      </c>
      <c r="E16" s="480" t="s">
        <v>389</v>
      </c>
      <c r="F16" s="480" t="s">
        <v>387</v>
      </c>
      <c r="G16" s="482" t="s">
        <v>376</v>
      </c>
      <c r="H16" s="482" t="s">
        <v>375</v>
      </c>
      <c r="I16" s="481" t="s">
        <v>397</v>
      </c>
      <c r="J16" s="481" t="s">
        <v>400</v>
      </c>
      <c r="K16" s="481" t="s">
        <v>376</v>
      </c>
      <c r="L16" s="481" t="s">
        <v>403</v>
      </c>
      <c r="M16" s="481" t="s">
        <v>405</v>
      </c>
      <c r="N16" s="481" t="s">
        <v>407</v>
      </c>
      <c r="O16" s="481" t="s">
        <v>409</v>
      </c>
      <c r="P16" s="481" t="s">
        <v>409</v>
      </c>
      <c r="Q16" s="481" t="s">
        <v>409</v>
      </c>
      <c r="R16" s="481" t="s">
        <v>2</v>
      </c>
      <c r="S16" s="481" t="s">
        <v>409</v>
      </c>
      <c r="T16" s="481" t="s">
        <v>376</v>
      </c>
      <c r="U16" s="481" t="s">
        <v>409</v>
      </c>
      <c r="V16" s="481" t="s">
        <v>376</v>
      </c>
      <c r="W16" s="481" t="s">
        <v>376</v>
      </c>
      <c r="X16" s="481" t="s">
        <v>376</v>
      </c>
      <c r="Y16" s="481" t="s">
        <v>2</v>
      </c>
      <c r="Z16" s="481" t="s">
        <v>2</v>
      </c>
      <c r="AA16" s="481" t="s">
        <v>2</v>
      </c>
      <c r="AB16" s="481" t="s">
        <v>2</v>
      </c>
      <c r="AC16" s="481" t="s">
        <v>2</v>
      </c>
      <c r="AD16" s="481" t="s">
        <v>376</v>
      </c>
      <c r="AE16" s="481" t="s">
        <v>376</v>
      </c>
      <c r="AF16" s="481" t="s">
        <v>376</v>
      </c>
      <c r="AG16" s="481" t="s">
        <v>376</v>
      </c>
    </row>
    <row r="17" spans="1:33" x14ac:dyDescent="0.25">
      <c r="A17" s="143"/>
      <c r="B17" s="143"/>
      <c r="C17" s="143"/>
      <c r="D17" s="143"/>
      <c r="E17" s="143"/>
      <c r="F17" s="143"/>
      <c r="G17" s="143"/>
      <c r="H17" s="143"/>
      <c r="I17" s="143"/>
      <c r="J17" s="143"/>
      <c r="K17" s="143"/>
      <c r="L17" s="143"/>
      <c r="M17" s="330"/>
      <c r="N17" s="143"/>
      <c r="O17" s="330"/>
      <c r="P17" s="330"/>
      <c r="Q17" s="330"/>
      <c r="R17" s="330"/>
      <c r="S17" s="330"/>
      <c r="T17" s="330"/>
      <c r="U17" s="330"/>
      <c r="V17" s="330"/>
      <c r="W17" s="330"/>
      <c r="X17" s="330"/>
      <c r="Y17" s="143"/>
      <c r="Z17" s="143"/>
      <c r="AA17" s="143"/>
      <c r="AB17" s="143"/>
      <c r="AC17" s="143"/>
      <c r="AD17" s="143"/>
      <c r="AE17" s="143"/>
      <c r="AF17" s="143"/>
      <c r="AG17" s="143"/>
    </row>
    <row r="18" spans="1:33" x14ac:dyDescent="0.25">
      <c r="A18" s="143"/>
      <c r="B18" s="331" t="s">
        <v>429</v>
      </c>
      <c r="C18" s="332"/>
      <c r="D18" s="333"/>
      <c r="E18" s="334"/>
      <c r="F18" s="334"/>
      <c r="G18" s="334"/>
      <c r="H18" s="334"/>
      <c r="I18" s="143"/>
      <c r="J18" s="143"/>
      <c r="K18" s="143"/>
      <c r="L18" s="143"/>
      <c r="M18" s="330"/>
      <c r="N18" s="143"/>
      <c r="O18" s="330"/>
      <c r="P18" s="330"/>
      <c r="Q18" s="330"/>
      <c r="R18" s="330"/>
      <c r="S18" s="330"/>
      <c r="T18" s="330"/>
      <c r="U18" s="330"/>
      <c r="V18" s="330"/>
      <c r="W18" s="330"/>
      <c r="X18" s="330"/>
      <c r="Y18" s="143"/>
      <c r="Z18" s="143"/>
      <c r="AA18" s="143"/>
      <c r="AB18" s="143"/>
      <c r="AC18" s="143"/>
      <c r="AD18" s="143"/>
      <c r="AE18" s="143"/>
      <c r="AF18" s="143"/>
      <c r="AG18" s="143"/>
    </row>
    <row r="19" spans="1:33" x14ac:dyDescent="0.25">
      <c r="A19" s="143"/>
      <c r="B19" s="143"/>
      <c r="C19" s="335"/>
      <c r="D19" s="333"/>
      <c r="E19" s="335"/>
      <c r="F19" s="335"/>
      <c r="G19" s="335"/>
      <c r="H19" s="335"/>
      <c r="I19" s="336"/>
      <c r="J19" s="336"/>
      <c r="K19" s="336"/>
      <c r="L19" s="336"/>
      <c r="M19" s="337"/>
      <c r="N19" s="336"/>
      <c r="O19" s="337"/>
      <c r="P19" s="337"/>
      <c r="Q19" s="337"/>
      <c r="R19" s="337"/>
      <c r="S19" s="337"/>
      <c r="T19" s="337"/>
      <c r="U19" s="337"/>
      <c r="V19" s="337"/>
      <c r="W19" s="337"/>
      <c r="X19" s="337"/>
      <c r="Y19" s="336"/>
      <c r="Z19" s="338"/>
      <c r="AA19" s="338"/>
      <c r="AB19" s="338"/>
      <c r="AC19" s="143"/>
      <c r="AD19" s="143"/>
      <c r="AE19" s="143"/>
      <c r="AF19" s="143"/>
      <c r="AG19" s="143"/>
    </row>
    <row r="20" spans="1:33" x14ac:dyDescent="0.25">
      <c r="A20" s="143"/>
      <c r="B20" s="339" t="s">
        <v>430</v>
      </c>
      <c r="C20" s="338"/>
      <c r="D20" s="143"/>
      <c r="E20" s="143"/>
      <c r="F20" s="143"/>
      <c r="G20" s="143"/>
      <c r="H20" s="335"/>
      <c r="I20" s="336"/>
      <c r="J20" s="336"/>
      <c r="K20" s="336"/>
      <c r="L20" s="336"/>
      <c r="M20" s="337"/>
      <c r="N20" s="336"/>
      <c r="O20" s="337"/>
      <c r="P20" s="337"/>
      <c r="Q20" s="337"/>
      <c r="R20" s="337"/>
      <c r="S20" s="337"/>
      <c r="T20" s="337"/>
      <c r="U20" s="337"/>
      <c r="V20" s="337"/>
      <c r="W20" s="337"/>
      <c r="X20" s="337"/>
      <c r="Y20" s="336"/>
      <c r="Z20" s="338"/>
      <c r="AA20" s="338"/>
      <c r="AB20" s="338"/>
      <c r="AC20" s="143"/>
      <c r="AD20" s="143"/>
      <c r="AE20" s="143"/>
      <c r="AF20" s="143"/>
      <c r="AG20" s="143"/>
    </row>
    <row r="21" spans="1:33" x14ac:dyDescent="0.25">
      <c r="A21" s="143"/>
      <c r="B21" s="143"/>
      <c r="C21" s="338"/>
      <c r="D21" s="336"/>
      <c r="E21" s="335"/>
      <c r="F21" s="143"/>
      <c r="G21" s="143"/>
      <c r="H21" s="335"/>
      <c r="I21" s="336"/>
      <c r="J21" s="336"/>
      <c r="K21" s="336"/>
      <c r="L21" s="336"/>
      <c r="M21" s="336"/>
      <c r="N21" s="336"/>
      <c r="O21" s="336"/>
      <c r="P21" s="336"/>
      <c r="Q21" s="336"/>
      <c r="R21" s="336"/>
      <c r="S21" s="336"/>
      <c r="T21" s="336"/>
      <c r="U21" s="336"/>
      <c r="V21" s="336"/>
      <c r="W21" s="336"/>
      <c r="X21" s="336"/>
      <c r="Y21" s="336"/>
      <c r="Z21" s="338"/>
      <c r="AA21" s="338"/>
      <c r="AB21" s="338"/>
      <c r="AC21" s="143"/>
      <c r="AD21" s="143"/>
      <c r="AE21" s="143"/>
      <c r="AF21" s="143"/>
      <c r="AG21" s="143"/>
    </row>
    <row r="22" spans="1:33" x14ac:dyDescent="0.25">
      <c r="A22" s="143"/>
      <c r="B22" s="340" t="s">
        <v>431</v>
      </c>
      <c r="C22" s="340" t="s">
        <v>2</v>
      </c>
      <c r="D22" s="340" t="s">
        <v>387</v>
      </c>
      <c r="E22" s="340" t="s">
        <v>376</v>
      </c>
      <c r="F22" s="340" t="s">
        <v>432</v>
      </c>
      <c r="G22" s="340" t="s">
        <v>388</v>
      </c>
      <c r="H22" s="335"/>
      <c r="I22" s="336"/>
      <c r="J22" s="336"/>
      <c r="K22" s="336"/>
      <c r="L22" s="336"/>
      <c r="M22" s="336"/>
      <c r="N22" s="336"/>
      <c r="O22" s="336"/>
      <c r="P22" s="336"/>
      <c r="Q22" s="336"/>
      <c r="R22" s="336"/>
      <c r="S22" s="336"/>
      <c r="T22" s="336"/>
      <c r="U22" s="336"/>
      <c r="V22" s="336"/>
      <c r="W22" s="336"/>
      <c r="X22" s="336"/>
      <c r="Y22" s="336"/>
      <c r="Z22" s="338"/>
      <c r="AA22" s="338"/>
      <c r="AB22" s="338"/>
      <c r="AC22" s="143"/>
      <c r="AD22" s="143"/>
      <c r="AE22" s="143"/>
      <c r="AF22" s="143"/>
      <c r="AG22" s="143"/>
    </row>
    <row r="23" spans="1:33" ht="13.8" thickBot="1" x14ac:dyDescent="0.3">
      <c r="A23" s="143"/>
      <c r="B23" s="341" t="s">
        <v>433</v>
      </c>
      <c r="C23" s="342" t="s">
        <v>434</v>
      </c>
      <c r="D23" s="342" t="s">
        <v>434</v>
      </c>
      <c r="E23" s="342" t="s">
        <v>434</v>
      </c>
      <c r="F23" s="342" t="s">
        <v>434</v>
      </c>
      <c r="G23" s="343" t="s">
        <v>434</v>
      </c>
      <c r="H23" s="143"/>
      <c r="I23" s="143"/>
      <c r="J23" s="336"/>
      <c r="K23" s="336"/>
      <c r="L23" s="336"/>
      <c r="M23" s="336"/>
      <c r="N23" s="336"/>
      <c r="O23" s="336"/>
      <c r="P23" s="336"/>
      <c r="Q23" s="336"/>
      <c r="R23" s="336"/>
      <c r="S23" s="336"/>
      <c r="T23" s="336"/>
      <c r="U23" s="336"/>
      <c r="V23" s="336"/>
      <c r="W23" s="336"/>
      <c r="X23" s="336"/>
      <c r="Y23" s="336"/>
      <c r="Z23" s="338"/>
      <c r="AA23" s="338"/>
      <c r="AB23" s="338"/>
      <c r="AC23" s="143"/>
      <c r="AD23" s="143"/>
      <c r="AE23" s="143"/>
      <c r="AF23" s="143"/>
      <c r="AG23" s="143"/>
    </row>
    <row r="24" spans="1:33" x14ac:dyDescent="0.25">
      <c r="A24" s="143"/>
      <c r="B24" s="344" t="s">
        <v>435</v>
      </c>
      <c r="C24" s="345" t="s">
        <v>2</v>
      </c>
      <c r="D24" s="345" t="s">
        <v>387</v>
      </c>
      <c r="E24" s="345" t="s">
        <v>376</v>
      </c>
      <c r="F24" s="345" t="s">
        <v>432</v>
      </c>
      <c r="G24" s="346" t="s">
        <v>2</v>
      </c>
      <c r="H24" s="143"/>
      <c r="I24" s="143"/>
      <c r="J24" s="336"/>
      <c r="K24" s="336"/>
      <c r="L24" s="336"/>
      <c r="M24" s="336"/>
      <c r="N24" s="336"/>
      <c r="O24" s="336"/>
      <c r="P24" s="336"/>
      <c r="Q24" s="336"/>
      <c r="R24" s="336"/>
      <c r="S24" s="336"/>
      <c r="T24" s="336"/>
      <c r="U24" s="336"/>
      <c r="V24" s="336"/>
      <c r="W24" s="336"/>
      <c r="X24" s="336"/>
      <c r="Y24" s="336"/>
      <c r="Z24" s="338"/>
      <c r="AA24" s="338"/>
      <c r="AB24" s="338"/>
      <c r="AC24" s="143"/>
      <c r="AD24" s="143"/>
      <c r="AE24" s="143"/>
      <c r="AF24" s="143"/>
      <c r="AG24" s="143"/>
    </row>
    <row r="25" spans="1:33" x14ac:dyDescent="0.25">
      <c r="A25" s="143"/>
      <c r="B25" s="344" t="s">
        <v>436</v>
      </c>
      <c r="C25" s="345" t="s">
        <v>2</v>
      </c>
      <c r="D25" s="345" t="s">
        <v>387</v>
      </c>
      <c r="E25" s="345" t="s">
        <v>376</v>
      </c>
      <c r="F25" s="345" t="s">
        <v>432</v>
      </c>
      <c r="G25" s="346" t="s">
        <v>387</v>
      </c>
      <c r="H25" s="143"/>
      <c r="I25" s="143"/>
      <c r="J25" s="336"/>
      <c r="K25" s="336"/>
      <c r="L25" s="336"/>
      <c r="M25" s="336"/>
      <c r="N25" s="336"/>
      <c r="O25" s="336"/>
      <c r="P25" s="336"/>
      <c r="Q25" s="336"/>
      <c r="R25" s="336"/>
      <c r="S25" s="336"/>
      <c r="T25" s="336"/>
      <c r="U25" s="336"/>
      <c r="V25" s="336"/>
      <c r="W25" s="336"/>
      <c r="X25" s="336"/>
      <c r="Y25" s="336"/>
      <c r="Z25" s="338"/>
      <c r="AA25" s="338"/>
      <c r="AB25" s="338"/>
      <c r="AC25" s="143"/>
      <c r="AD25" s="143"/>
      <c r="AE25" s="143"/>
      <c r="AF25" s="143"/>
      <c r="AG25" s="143"/>
    </row>
    <row r="26" spans="1:33" x14ac:dyDescent="0.25">
      <c r="A26" s="143"/>
      <c r="B26" s="344" t="s">
        <v>437</v>
      </c>
      <c r="C26" s="345" t="s">
        <v>2</v>
      </c>
      <c r="D26" s="345" t="s">
        <v>387</v>
      </c>
      <c r="E26" s="345" t="s">
        <v>376</v>
      </c>
      <c r="F26" s="345" t="s">
        <v>432</v>
      </c>
      <c r="G26" s="346" t="s">
        <v>376</v>
      </c>
      <c r="H26" s="143"/>
      <c r="I26" s="143"/>
      <c r="J26" s="143"/>
      <c r="K26" s="336"/>
      <c r="L26" s="336"/>
      <c r="M26" s="336"/>
      <c r="N26" s="336"/>
      <c r="O26" s="336"/>
      <c r="P26" s="336"/>
      <c r="Q26" s="336"/>
      <c r="R26" s="336"/>
      <c r="S26" s="336"/>
      <c r="T26" s="336"/>
      <c r="U26" s="336"/>
      <c r="V26" s="336"/>
      <c r="W26" s="336"/>
      <c r="X26" s="336"/>
      <c r="Y26" s="336"/>
      <c r="Z26" s="338"/>
      <c r="AA26" s="338"/>
      <c r="AB26" s="338"/>
      <c r="AC26" s="143"/>
      <c r="AD26" s="143"/>
      <c r="AE26" s="143"/>
      <c r="AF26" s="143"/>
      <c r="AG26" s="143"/>
    </row>
    <row r="27" spans="1:33" x14ac:dyDescent="0.25">
      <c r="A27" s="143"/>
      <c r="B27" s="347" t="s">
        <v>438</v>
      </c>
      <c r="C27" s="348" t="s">
        <v>2</v>
      </c>
      <c r="D27" s="349" t="s">
        <v>387</v>
      </c>
      <c r="E27" s="349" t="s">
        <v>376</v>
      </c>
      <c r="F27" s="350" t="s">
        <v>432</v>
      </c>
      <c r="G27" s="351" t="s">
        <v>387</v>
      </c>
      <c r="H27" s="143"/>
      <c r="I27" s="143"/>
      <c r="J27" s="143"/>
      <c r="K27" s="336"/>
      <c r="L27" s="336"/>
      <c r="M27" s="336"/>
      <c r="N27" s="336"/>
      <c r="O27" s="336"/>
      <c r="P27" s="336"/>
      <c r="Q27" s="336"/>
      <c r="R27" s="336"/>
      <c r="S27" s="336"/>
      <c r="T27" s="336"/>
      <c r="U27" s="336"/>
      <c r="V27" s="336"/>
      <c r="W27" s="336"/>
      <c r="X27" s="336"/>
      <c r="Y27" s="336"/>
      <c r="Z27" s="338"/>
      <c r="AA27" s="338"/>
      <c r="AB27" s="338"/>
      <c r="AC27" s="143"/>
      <c r="AD27" s="143"/>
      <c r="AE27" s="143"/>
      <c r="AF27" s="143"/>
      <c r="AG27" s="143"/>
    </row>
    <row r="28" spans="1:33" x14ac:dyDescent="0.25">
      <c r="A28" s="143"/>
      <c r="B28" s="143"/>
      <c r="C28" s="336"/>
      <c r="D28" s="143"/>
      <c r="E28" s="143"/>
      <c r="F28" s="145"/>
      <c r="G28" s="143"/>
      <c r="H28" s="143"/>
      <c r="I28" s="143"/>
      <c r="J28" s="143"/>
      <c r="K28" s="336"/>
      <c r="L28" s="336"/>
      <c r="M28" s="336"/>
      <c r="N28" s="336"/>
      <c r="O28" s="336"/>
      <c r="P28" s="336"/>
      <c r="Q28" s="336"/>
      <c r="R28" s="336"/>
      <c r="S28" s="336"/>
      <c r="T28" s="336"/>
      <c r="U28" s="336"/>
      <c r="V28" s="336"/>
      <c r="W28" s="336"/>
      <c r="X28" s="336"/>
      <c r="Y28" s="336"/>
      <c r="Z28" s="338"/>
      <c r="AA28" s="338"/>
      <c r="AB28" s="338"/>
      <c r="AC28" s="143"/>
      <c r="AD28" s="143"/>
      <c r="AE28" s="143"/>
      <c r="AF28" s="143"/>
      <c r="AG28" s="143"/>
    </row>
    <row r="29" spans="1:33" x14ac:dyDescent="0.25">
      <c r="A29" s="143"/>
      <c r="B29" s="143"/>
      <c r="C29" s="338"/>
      <c r="D29" s="143"/>
      <c r="E29" s="143"/>
      <c r="F29" s="145"/>
      <c r="G29" s="143"/>
      <c r="H29" s="145"/>
      <c r="I29" s="143"/>
      <c r="J29" s="143"/>
      <c r="K29" s="336"/>
      <c r="L29" s="336"/>
      <c r="M29" s="336"/>
      <c r="N29" s="336"/>
      <c r="O29" s="336"/>
      <c r="P29" s="336"/>
      <c r="Q29" s="336"/>
      <c r="R29" s="336"/>
      <c r="S29" s="336"/>
      <c r="T29" s="336"/>
      <c r="U29" s="336"/>
      <c r="V29" s="336"/>
      <c r="W29" s="336"/>
      <c r="X29" s="336"/>
      <c r="Y29" s="336"/>
      <c r="Z29" s="338"/>
      <c r="AA29" s="338"/>
      <c r="AB29" s="338"/>
      <c r="AC29" s="143"/>
      <c r="AD29" s="143"/>
      <c r="AE29" s="143"/>
      <c r="AF29" s="143"/>
      <c r="AG29" s="143"/>
    </row>
    <row r="30" spans="1:33" x14ac:dyDescent="0.25">
      <c r="A30" s="143"/>
      <c r="B30" s="339" t="s">
        <v>439</v>
      </c>
      <c r="C30" s="338"/>
      <c r="D30" s="143"/>
      <c r="E30" s="143"/>
      <c r="F30" s="143"/>
      <c r="G30" s="143"/>
      <c r="H30" s="143"/>
      <c r="I30" s="143"/>
      <c r="J30" s="143"/>
      <c r="K30" s="336"/>
      <c r="L30" s="336"/>
      <c r="M30" s="336"/>
      <c r="N30" s="336"/>
      <c r="O30" s="336"/>
      <c r="P30" s="336"/>
      <c r="Q30" s="336"/>
      <c r="R30" s="336"/>
      <c r="S30" s="336"/>
      <c r="T30" s="336"/>
      <c r="U30" s="336"/>
      <c r="V30" s="336"/>
      <c r="W30" s="336"/>
      <c r="X30" s="336"/>
      <c r="Y30" s="336"/>
      <c r="Z30" s="338"/>
      <c r="AA30" s="338"/>
      <c r="AB30" s="338"/>
      <c r="AC30" s="143"/>
      <c r="AD30" s="143"/>
      <c r="AE30" s="143"/>
      <c r="AF30" s="143"/>
      <c r="AG30" s="143"/>
    </row>
    <row r="31" spans="1:33" x14ac:dyDescent="0.25">
      <c r="A31" s="143"/>
      <c r="B31" s="143"/>
      <c r="C31" s="338"/>
      <c r="D31" s="336"/>
      <c r="E31" s="145"/>
      <c r="F31" s="143"/>
      <c r="G31" s="143"/>
      <c r="H31" s="143"/>
      <c r="I31" s="143"/>
      <c r="J31" s="143"/>
      <c r="K31" s="336"/>
      <c r="L31" s="336"/>
      <c r="M31" s="336"/>
      <c r="N31" s="336"/>
      <c r="O31" s="336"/>
      <c r="P31" s="336"/>
      <c r="Q31" s="336"/>
      <c r="R31" s="336"/>
      <c r="S31" s="336"/>
      <c r="T31" s="336"/>
      <c r="U31" s="336"/>
      <c r="V31" s="336"/>
      <c r="W31" s="336"/>
      <c r="X31" s="336"/>
      <c r="Y31" s="336"/>
      <c r="Z31" s="338"/>
      <c r="AA31" s="338"/>
      <c r="AB31" s="338"/>
      <c r="AC31" s="143"/>
      <c r="AD31" s="143"/>
      <c r="AE31" s="143"/>
      <c r="AF31" s="143"/>
      <c r="AG31" s="143"/>
    </row>
    <row r="32" spans="1:33" x14ac:dyDescent="0.25">
      <c r="A32" s="143"/>
      <c r="B32" s="340" t="s">
        <v>440</v>
      </c>
      <c r="C32" s="340" t="s">
        <v>387</v>
      </c>
      <c r="D32" s="340" t="s">
        <v>391</v>
      </c>
      <c r="E32" s="143"/>
      <c r="F32" s="352" t="s">
        <v>441</v>
      </c>
      <c r="G32" s="143"/>
      <c r="H32" s="143"/>
      <c r="I32" s="143"/>
      <c r="J32" s="143"/>
      <c r="K32" s="338"/>
      <c r="L32" s="338"/>
      <c r="M32" s="338"/>
      <c r="N32" s="338"/>
      <c r="O32" s="338"/>
      <c r="P32" s="338"/>
      <c r="Q32" s="338"/>
      <c r="R32" s="338"/>
      <c r="S32" s="338"/>
      <c r="T32" s="338"/>
      <c r="U32" s="338"/>
      <c r="V32" s="338"/>
      <c r="W32" s="338"/>
      <c r="X32" s="338"/>
      <c r="Y32" s="338"/>
      <c r="Z32" s="338"/>
      <c r="AA32" s="338"/>
      <c r="AB32" s="338"/>
      <c r="AC32" s="143"/>
      <c r="AD32" s="143"/>
      <c r="AE32" s="143"/>
      <c r="AF32" s="143"/>
      <c r="AG32" s="143"/>
    </row>
    <row r="33" spans="1:33" ht="13.8" thickBot="1" x14ac:dyDescent="0.3">
      <c r="A33" s="143"/>
      <c r="B33" s="341" t="s">
        <v>442</v>
      </c>
      <c r="C33" s="342" t="s">
        <v>434</v>
      </c>
      <c r="D33" s="343" t="s">
        <v>434</v>
      </c>
      <c r="E33" s="143"/>
      <c r="F33" s="336"/>
      <c r="G33" s="143"/>
      <c r="H33" s="143"/>
      <c r="I33" s="143"/>
      <c r="J33" s="143"/>
      <c r="K33" s="338"/>
      <c r="L33" s="338"/>
      <c r="M33" s="338"/>
      <c r="N33" s="338"/>
      <c r="O33" s="338"/>
      <c r="P33" s="338"/>
      <c r="Q33" s="338"/>
      <c r="R33" s="338"/>
      <c r="S33" s="338"/>
      <c r="T33" s="338"/>
      <c r="U33" s="338"/>
      <c r="V33" s="338"/>
      <c r="W33" s="338"/>
      <c r="X33" s="338"/>
      <c r="Y33" s="338"/>
      <c r="Z33" s="338"/>
      <c r="AA33" s="338"/>
      <c r="AB33" s="338"/>
      <c r="AC33" s="143"/>
      <c r="AD33" s="143"/>
      <c r="AE33" s="143"/>
      <c r="AF33" s="143"/>
      <c r="AG33" s="143"/>
    </row>
    <row r="34" spans="1:33" ht="13.8" thickBot="1" x14ac:dyDescent="0.3">
      <c r="A34" s="143"/>
      <c r="B34" s="344" t="s">
        <v>443</v>
      </c>
      <c r="C34" s="345" t="s">
        <v>387</v>
      </c>
      <c r="D34" s="346" t="s">
        <v>387</v>
      </c>
      <c r="E34" s="143"/>
      <c r="F34" s="353" t="s">
        <v>444</v>
      </c>
      <c r="G34" s="353" t="s">
        <v>411</v>
      </c>
      <c r="H34" s="143"/>
      <c r="I34" s="143"/>
      <c r="J34" s="143"/>
      <c r="K34" s="338"/>
      <c r="L34" s="338"/>
      <c r="M34" s="338"/>
      <c r="N34" s="338"/>
      <c r="O34" s="338"/>
      <c r="P34" s="338"/>
      <c r="Q34" s="338"/>
      <c r="R34" s="338"/>
      <c r="S34" s="338"/>
      <c r="T34" s="338"/>
      <c r="U34" s="338"/>
      <c r="V34" s="338"/>
      <c r="W34" s="338"/>
      <c r="X34" s="338"/>
      <c r="Y34" s="338"/>
      <c r="Z34" s="338"/>
      <c r="AA34" s="338"/>
      <c r="AB34" s="338"/>
      <c r="AC34" s="143"/>
      <c r="AD34" s="143"/>
      <c r="AE34" s="143"/>
      <c r="AF34" s="143"/>
      <c r="AG34" s="143"/>
    </row>
    <row r="35" spans="1:33" x14ac:dyDescent="0.25">
      <c r="A35" s="143"/>
      <c r="B35" s="344" t="s">
        <v>445</v>
      </c>
      <c r="C35" s="345" t="s">
        <v>387</v>
      </c>
      <c r="D35" s="346" t="s">
        <v>387</v>
      </c>
      <c r="E35" s="143"/>
      <c r="F35" s="354" t="s">
        <v>433</v>
      </c>
      <c r="G35" s="354" t="s">
        <v>446</v>
      </c>
      <c r="H35" s="143"/>
      <c r="I35" s="143"/>
      <c r="J35" s="143"/>
      <c r="K35" s="338"/>
      <c r="L35" s="338"/>
      <c r="M35" s="338"/>
      <c r="N35" s="338"/>
      <c r="O35" s="338"/>
      <c r="P35" s="338"/>
      <c r="Q35" s="338"/>
      <c r="R35" s="338"/>
      <c r="S35" s="338"/>
      <c r="T35" s="338"/>
      <c r="U35" s="338"/>
      <c r="V35" s="338"/>
      <c r="W35" s="338"/>
      <c r="X35" s="338"/>
      <c r="Y35" s="338"/>
      <c r="Z35" s="338"/>
      <c r="AA35" s="338"/>
      <c r="AB35" s="338"/>
      <c r="AC35" s="143"/>
      <c r="AD35" s="143"/>
      <c r="AE35" s="143"/>
      <c r="AF35" s="143"/>
      <c r="AG35" s="143"/>
    </row>
    <row r="36" spans="1:33" x14ac:dyDescent="0.25">
      <c r="A36" s="143"/>
      <c r="B36" s="344" t="s">
        <v>447</v>
      </c>
      <c r="C36" s="345" t="s">
        <v>387</v>
      </c>
      <c r="D36" s="346" t="s">
        <v>376</v>
      </c>
      <c r="E36" s="143"/>
      <c r="F36" s="143"/>
      <c r="G36" s="143"/>
      <c r="H36" s="143"/>
      <c r="I36" s="143"/>
      <c r="J36" s="143"/>
      <c r="K36" s="338"/>
      <c r="L36" s="338"/>
      <c r="M36" s="338"/>
      <c r="N36" s="338"/>
      <c r="O36" s="338"/>
      <c r="P36" s="338"/>
      <c r="Q36" s="338"/>
      <c r="R36" s="338"/>
      <c r="S36" s="338"/>
      <c r="T36" s="338"/>
      <c r="U36" s="338"/>
      <c r="V36" s="338"/>
      <c r="W36" s="338"/>
      <c r="X36" s="338"/>
      <c r="Y36" s="338"/>
      <c r="Z36" s="338"/>
      <c r="AA36" s="338"/>
      <c r="AB36" s="338"/>
      <c r="AC36" s="143"/>
      <c r="AD36" s="143"/>
      <c r="AE36" s="143"/>
      <c r="AF36" s="143"/>
      <c r="AG36" s="143"/>
    </row>
    <row r="37" spans="1:33" x14ac:dyDescent="0.25">
      <c r="A37" s="143"/>
      <c r="B37" s="344" t="s">
        <v>448</v>
      </c>
      <c r="C37" s="345" t="s">
        <v>387</v>
      </c>
      <c r="D37" s="346" t="s">
        <v>387</v>
      </c>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row>
    <row r="38" spans="1:33" x14ac:dyDescent="0.25">
      <c r="A38" s="143"/>
      <c r="B38" s="344" t="s">
        <v>449</v>
      </c>
      <c r="C38" s="345" t="s">
        <v>387</v>
      </c>
      <c r="D38" s="346" t="s">
        <v>376</v>
      </c>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row>
    <row r="39" spans="1:33" x14ac:dyDescent="0.25">
      <c r="A39" s="143"/>
      <c r="B39" s="344" t="s">
        <v>450</v>
      </c>
      <c r="C39" s="345" t="s">
        <v>387</v>
      </c>
      <c r="D39" s="346" t="s">
        <v>376</v>
      </c>
      <c r="E39" s="143"/>
      <c r="F39" s="352" t="s">
        <v>451</v>
      </c>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row>
    <row r="40" spans="1:33" x14ac:dyDescent="0.25">
      <c r="A40" s="143"/>
      <c r="B40" s="344" t="s">
        <v>452</v>
      </c>
      <c r="C40" s="345" t="s">
        <v>387</v>
      </c>
      <c r="D40" s="346" t="s">
        <v>387</v>
      </c>
      <c r="E40" s="143"/>
      <c r="F40" s="145"/>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row>
    <row r="41" spans="1:33" ht="13.8" thickBot="1" x14ac:dyDescent="0.3">
      <c r="A41" s="143"/>
      <c r="B41" s="344" t="s">
        <v>453</v>
      </c>
      <c r="C41" s="345" t="s">
        <v>387</v>
      </c>
      <c r="D41" s="346" t="s">
        <v>376</v>
      </c>
      <c r="E41" s="143"/>
      <c r="F41" s="355" t="s">
        <v>454</v>
      </c>
      <c r="G41" s="356" t="s">
        <v>455</v>
      </c>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row>
    <row r="42" spans="1:33" x14ac:dyDescent="0.25">
      <c r="A42" s="143"/>
      <c r="B42" s="344" t="s">
        <v>456</v>
      </c>
      <c r="C42" s="345" t="s">
        <v>387</v>
      </c>
      <c r="D42" s="346" t="s">
        <v>376</v>
      </c>
      <c r="E42" s="143"/>
      <c r="F42" s="357" t="s">
        <v>457</v>
      </c>
      <c r="G42" s="358" t="s">
        <v>458</v>
      </c>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row>
    <row r="43" spans="1:33" x14ac:dyDescent="0.25">
      <c r="A43" s="143"/>
      <c r="B43" s="344" t="s">
        <v>459</v>
      </c>
      <c r="C43" s="345" t="s">
        <v>387</v>
      </c>
      <c r="D43" s="346" t="s">
        <v>376</v>
      </c>
      <c r="E43" s="143"/>
      <c r="F43" s="357" t="s">
        <v>460</v>
      </c>
      <c r="G43" s="358" t="s">
        <v>458</v>
      </c>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row>
    <row r="44" spans="1:33" x14ac:dyDescent="0.25">
      <c r="A44" s="143"/>
      <c r="B44" s="344" t="s">
        <v>461</v>
      </c>
      <c r="C44" s="345" t="s">
        <v>387</v>
      </c>
      <c r="D44" s="346" t="s">
        <v>387</v>
      </c>
      <c r="E44" s="143"/>
      <c r="F44" s="357" t="s">
        <v>462</v>
      </c>
      <c r="G44" s="358" t="s">
        <v>463</v>
      </c>
      <c r="H44" s="143"/>
      <c r="I44" s="143"/>
      <c r="J44" s="143"/>
      <c r="K44" s="143"/>
      <c r="L44" s="143"/>
      <c r="M44" s="143"/>
      <c r="N44" s="143"/>
      <c r="O44" s="143"/>
      <c r="P44" s="143"/>
      <c r="Q44" s="143"/>
      <c r="R44" s="143"/>
      <c r="S44" s="143"/>
      <c r="T44" s="143"/>
      <c r="U44" s="143"/>
      <c r="V44" s="143"/>
      <c r="W44" s="143"/>
      <c r="X44" s="143"/>
      <c r="Y44" s="143"/>
      <c r="Z44" s="143"/>
      <c r="AA44" s="143"/>
      <c r="AB44" s="143"/>
      <c r="AC44" s="143"/>
      <c r="AD44" s="143"/>
      <c r="AE44" s="143"/>
      <c r="AF44" s="143"/>
      <c r="AG44" s="143"/>
    </row>
    <row r="45" spans="1:33" x14ac:dyDescent="0.25">
      <c r="A45" s="143"/>
      <c r="B45" s="344" t="s">
        <v>464</v>
      </c>
      <c r="C45" s="345" t="s">
        <v>387</v>
      </c>
      <c r="D45" s="346" t="s">
        <v>376</v>
      </c>
      <c r="E45" s="143"/>
      <c r="F45" s="357" t="s">
        <v>465</v>
      </c>
      <c r="G45" s="358" t="s">
        <v>466</v>
      </c>
      <c r="H45" s="143"/>
      <c r="I45" s="143"/>
      <c r="J45" s="143"/>
      <c r="K45" s="143"/>
      <c r="L45" s="143"/>
      <c r="M45" s="143"/>
      <c r="N45" s="143"/>
      <c r="O45" s="143"/>
      <c r="P45" s="143"/>
      <c r="Q45" s="143"/>
      <c r="R45" s="143"/>
      <c r="S45" s="143"/>
      <c r="T45" s="143"/>
      <c r="U45" s="143"/>
      <c r="V45" s="143"/>
      <c r="W45" s="143"/>
      <c r="X45" s="143"/>
      <c r="Y45" s="143"/>
      <c r="Z45" s="143"/>
      <c r="AA45" s="143"/>
      <c r="AB45" s="143"/>
      <c r="AC45" s="143"/>
      <c r="AD45" s="143"/>
      <c r="AE45" s="143"/>
      <c r="AF45" s="143"/>
      <c r="AG45" s="143"/>
    </row>
    <row r="46" spans="1:33" x14ac:dyDescent="0.25">
      <c r="A46" s="143"/>
      <c r="B46" s="344" t="s">
        <v>467</v>
      </c>
      <c r="C46" s="345" t="s">
        <v>387</v>
      </c>
      <c r="D46" s="346" t="s">
        <v>376</v>
      </c>
      <c r="E46" s="143"/>
      <c r="F46" s="357" t="s">
        <v>210</v>
      </c>
      <c r="G46" s="358" t="s">
        <v>468</v>
      </c>
      <c r="H46" s="143"/>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row>
    <row r="47" spans="1:33" x14ac:dyDescent="0.25">
      <c r="A47" s="143"/>
      <c r="B47" s="344" t="s">
        <v>469</v>
      </c>
      <c r="C47" s="345" t="s">
        <v>387</v>
      </c>
      <c r="D47" s="346" t="s">
        <v>376</v>
      </c>
      <c r="E47" s="143"/>
      <c r="F47" s="357" t="s">
        <v>470</v>
      </c>
      <c r="G47" s="358" t="s">
        <v>471</v>
      </c>
      <c r="H47" s="143"/>
      <c r="I47" s="143"/>
      <c r="J47" s="143"/>
      <c r="K47" s="143"/>
      <c r="L47" s="143"/>
      <c r="M47" s="143"/>
      <c r="N47" s="143"/>
      <c r="O47" s="143"/>
      <c r="P47" s="143"/>
      <c r="Q47" s="143"/>
      <c r="R47" s="143"/>
      <c r="S47" s="143"/>
      <c r="T47" s="143"/>
      <c r="U47" s="143"/>
      <c r="V47" s="143"/>
      <c r="W47" s="143"/>
      <c r="X47" s="143"/>
      <c r="Y47" s="143"/>
      <c r="Z47" s="143"/>
      <c r="AA47" s="143"/>
      <c r="AB47" s="143"/>
      <c r="AC47" s="143"/>
      <c r="AD47" s="143"/>
      <c r="AE47" s="143"/>
      <c r="AF47" s="143"/>
      <c r="AG47" s="143"/>
    </row>
    <row r="48" spans="1:33" x14ac:dyDescent="0.25">
      <c r="A48" s="143"/>
      <c r="B48" s="347" t="s">
        <v>472</v>
      </c>
      <c r="C48" s="350" t="s">
        <v>387</v>
      </c>
      <c r="D48" s="359" t="s">
        <v>376</v>
      </c>
      <c r="E48" s="143"/>
      <c r="F48" s="360" t="s">
        <v>212</v>
      </c>
      <c r="G48" s="316" t="s">
        <v>473</v>
      </c>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row>
    <row r="49" spans="1:33" x14ac:dyDescent="0.25">
      <c r="A49" s="143"/>
      <c r="B49" s="143"/>
      <c r="C49" s="143"/>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row>
    <row r="50" spans="1:33" x14ac:dyDescent="0.25">
      <c r="A50" s="143"/>
      <c r="B50" s="143"/>
      <c r="C50" s="143"/>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row>
    <row r="51" spans="1:33" x14ac:dyDescent="0.25">
      <c r="A51" s="143"/>
      <c r="B51" s="339" t="s">
        <v>474</v>
      </c>
      <c r="C51" s="338"/>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row>
    <row r="52" spans="1:33" x14ac:dyDescent="0.25">
      <c r="A52" s="143"/>
      <c r="B52" s="339"/>
      <c r="C52" s="338"/>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row>
    <row r="53" spans="1:33" x14ac:dyDescent="0.25">
      <c r="A53" s="143"/>
      <c r="B53" s="361" t="s">
        <v>475</v>
      </c>
      <c r="C53" s="338"/>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row>
    <row r="54" spans="1:33" x14ac:dyDescent="0.25">
      <c r="A54" s="143"/>
      <c r="B54" s="143"/>
      <c r="C54" s="338"/>
      <c r="D54" s="336"/>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row>
    <row r="55" spans="1:33" ht="13.8" thickBot="1" x14ac:dyDescent="0.3">
      <c r="A55" s="143"/>
      <c r="B55" s="362" t="s">
        <v>476</v>
      </c>
      <c r="C55" s="363" t="s">
        <v>477</v>
      </c>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row>
    <row r="56" spans="1:33" x14ac:dyDescent="0.25">
      <c r="A56" s="143"/>
      <c r="B56" s="344" t="s">
        <v>478</v>
      </c>
      <c r="C56" s="346" t="s">
        <v>479</v>
      </c>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row>
    <row r="57" spans="1:33" x14ac:dyDescent="0.25">
      <c r="A57" s="143"/>
      <c r="B57" s="347" t="s">
        <v>480</v>
      </c>
      <c r="C57" s="359" t="s">
        <v>481</v>
      </c>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row>
    <row r="58" spans="1:33" x14ac:dyDescent="0.25">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row>
    <row r="59" spans="1:33" x14ac:dyDescent="0.25">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row>
    <row r="60" spans="1:33" x14ac:dyDescent="0.25">
      <c r="A60" s="143"/>
      <c r="B60" s="143"/>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row>
    <row r="61" spans="1:33" x14ac:dyDescent="0.25">
      <c r="A61" s="143"/>
      <c r="B61" s="339" t="s">
        <v>482</v>
      </c>
      <c r="C61" s="339"/>
      <c r="D61" s="339"/>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row>
    <row r="62" spans="1:33" ht="13.8" thickBo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row>
    <row r="63" spans="1:33" ht="27" thickBot="1" x14ac:dyDescent="0.3">
      <c r="A63" s="143"/>
      <c r="B63" s="177" t="s">
        <v>377</v>
      </c>
      <c r="C63" s="178" t="s">
        <v>2</v>
      </c>
      <c r="D63" s="364" t="s">
        <v>387</v>
      </c>
      <c r="E63" s="365" t="s">
        <v>483</v>
      </c>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row>
    <row r="64" spans="1:33" x14ac:dyDescent="0.25">
      <c r="A64" s="143"/>
      <c r="B64" s="488" t="s">
        <v>374</v>
      </c>
      <c r="C64" s="366">
        <v>1</v>
      </c>
      <c r="D64" s="367"/>
      <c r="E64" s="368"/>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row>
    <row r="65" spans="1:33" x14ac:dyDescent="0.25">
      <c r="A65" s="143"/>
      <c r="B65" s="171" t="s">
        <v>385</v>
      </c>
      <c r="C65" s="369">
        <v>2</v>
      </c>
      <c r="D65" s="370">
        <v>3</v>
      </c>
      <c r="E65" s="371">
        <v>4</v>
      </c>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row>
    <row r="66" spans="1:33" ht="27" thickBot="1" x14ac:dyDescent="0.3">
      <c r="A66" s="143"/>
      <c r="B66" s="372" t="s">
        <v>484</v>
      </c>
      <c r="C66" s="373">
        <v>5</v>
      </c>
      <c r="D66" s="374">
        <v>6</v>
      </c>
      <c r="E66" s="375">
        <v>7</v>
      </c>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row>
    <row r="67" spans="1:33" x14ac:dyDescent="0.2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row>
    <row r="68" spans="1:33" x14ac:dyDescent="0.2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row>
    <row r="69" spans="1:33" x14ac:dyDescent="0.25">
      <c r="A69" s="143"/>
      <c r="B69" s="339" t="s">
        <v>485</v>
      </c>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row>
    <row r="70" spans="1:33" ht="13.8" thickBo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row>
    <row r="71" spans="1:33" ht="27" thickBot="1" x14ac:dyDescent="0.3">
      <c r="A71" s="143"/>
      <c r="B71" s="177" t="s">
        <v>377</v>
      </c>
      <c r="C71" s="178" t="s">
        <v>2</v>
      </c>
      <c r="D71" s="364" t="s">
        <v>387</v>
      </c>
      <c r="E71" s="365" t="s">
        <v>483</v>
      </c>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row>
    <row r="72" spans="1:33" x14ac:dyDescent="0.25">
      <c r="A72" s="143"/>
      <c r="B72" s="488" t="s">
        <v>374</v>
      </c>
      <c r="C72" s="366">
        <v>1</v>
      </c>
      <c r="D72" s="367"/>
      <c r="E72" s="368"/>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row>
    <row r="73" spans="1:33" x14ac:dyDescent="0.25">
      <c r="A73" s="143"/>
      <c r="B73" s="171" t="s">
        <v>385</v>
      </c>
      <c r="C73" s="369">
        <v>2</v>
      </c>
      <c r="D73" s="370">
        <v>3</v>
      </c>
      <c r="E73" s="371">
        <v>4</v>
      </c>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row>
    <row r="74" spans="1:33" ht="27" thickBot="1" x14ac:dyDescent="0.3">
      <c r="A74" s="143"/>
      <c r="B74" s="372" t="s">
        <v>484</v>
      </c>
      <c r="C74" s="373">
        <v>5</v>
      </c>
      <c r="D74" s="374">
        <v>6</v>
      </c>
      <c r="E74" s="375">
        <v>7</v>
      </c>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row>
  </sheetData>
  <customSheetViews>
    <customSheetView guid="{E7571780-ED88-421E-BB12-D2AF189A0D99}" scale="90" topLeftCell="A8">
      <selection activeCell="A36" sqref="A36:XFD37"/>
      <pageMargins left="0.75" right="0.75" top="1" bottom="1" header="0.5" footer="0.5"/>
      <pageSetup orientation="portrait" r:id="rId1"/>
      <headerFooter alignWithMargins="0"/>
    </customSheetView>
    <customSheetView guid="{609F876C-F41A-43C8-BD3D-0455630C6D86}" scale="90" topLeftCell="A8">
      <selection activeCell="A36" sqref="A36:XFD37"/>
      <pageMargins left="0.75" right="0.75" top="1" bottom="1" header="0.5" footer="0.5"/>
      <pageSetup orientation="portrait" r:id="rId2"/>
      <headerFooter alignWithMargins="0"/>
    </customSheetView>
    <customSheetView guid="{F5461B2D-C44D-459F-8141-3B434D52A3D6}" scale="90" topLeftCell="A8">
      <selection activeCell="A36" sqref="A36:XFD37"/>
      <pageMargins left="0.75" right="0.75" top="1" bottom="1" header="0.5" footer="0.5"/>
      <pageSetup orientation="portrait" r:id="rId3"/>
      <headerFooter alignWithMargins="0"/>
    </customSheetView>
    <customSheetView guid="{BF4A82E8-EC44-4B28-ABE7-07086B055DF8}" scale="90" topLeftCell="A8">
      <selection activeCell="A36" sqref="A36:XFD37"/>
      <pageMargins left="0.75" right="0.75" top="1" bottom="1" header="0.5" footer="0.5"/>
      <pageSetup orientation="portrait" r:id="rId4"/>
      <headerFooter alignWithMargins="0"/>
    </customSheetView>
    <customSheetView guid="{F9953651-D17A-4C02-9483-C34B454389F8}" scale="85">
      <selection activeCell="E1" sqref="E1"/>
      <pageMargins left="0.75" right="0.75" top="1" bottom="1" header="0.5" footer="0.5"/>
      <pageSetup orientation="portrait" r:id="rId5"/>
      <headerFooter alignWithMargins="0"/>
    </customSheetView>
    <customSheetView guid="{4081EA0D-9F4E-4F6E-9740-125B98E42AAA}" scale="85">
      <selection activeCell="E1" sqref="E1"/>
      <pageMargins left="0.75" right="0.75" top="1" bottom="1" header="0.5" footer="0.5"/>
      <pageSetup orientation="portrait" r:id="rId6"/>
      <headerFooter alignWithMargins="0"/>
    </customSheetView>
    <customSheetView guid="{568372EE-5594-48E8-AA4D-B2DFAABD6FBE}" scale="85">
      <selection activeCell="E1" sqref="E1"/>
      <pageMargins left="0.75" right="0.75" top="1" bottom="1" header="0.5" footer="0.5"/>
      <pageSetup orientation="portrait" r:id="rId7"/>
      <headerFooter alignWithMargins="0"/>
    </customSheetView>
    <customSheetView guid="{0C14E275-67BD-4894-92C8-CC979B55C5D1}" scale="85">
      <pageMargins left="0.75" right="0.75" top="1" bottom="1" header="0.5" footer="0.5"/>
      <pageSetup orientation="portrait" r:id="rId8"/>
      <headerFooter alignWithMargins="0"/>
    </customSheetView>
    <customSheetView guid="{E04D4D10-73E7-40D1-833B-CE4AC2EB45A8}" scale="85">
      <pageMargins left="0.75" right="0.75" top="1" bottom="1" header="0.5" footer="0.5"/>
      <pageSetup orientation="portrait" r:id="rId9"/>
      <headerFooter alignWithMargins="0"/>
    </customSheetView>
    <customSheetView guid="{E6A6C2C1-501F-4FA5-9A65-F097BADC7A88}" scale="85">
      <selection activeCell="E1" sqref="E1"/>
      <pageMargins left="0.75" right="0.75" top="1" bottom="1" header="0.5" footer="0.5"/>
      <pageSetup orientation="portrait" r:id="rId10"/>
      <headerFooter alignWithMargins="0"/>
    </customSheetView>
    <customSheetView guid="{189813C8-BE28-4174-A3B5-1C707449DBD3}" scale="90" topLeftCell="A8">
      <selection activeCell="A36" sqref="A36:XFD37"/>
      <pageMargins left="0.75" right="0.75" top="1" bottom="1" header="0.5" footer="0.5"/>
      <pageSetup orientation="portrait" r:id="rId11"/>
      <headerFooter alignWithMargins="0"/>
    </customSheetView>
    <customSheetView guid="{A1D6424A-E1FA-4BDE-9758-50490C40BCC4}" scale="90" topLeftCell="A8">
      <selection activeCell="A36" sqref="A36:XFD37"/>
      <pageMargins left="0.75" right="0.75" top="1" bottom="1" header="0.5" footer="0.5"/>
      <pageSetup orientation="portrait" r:id="rId12"/>
      <headerFooter alignWithMargins="0"/>
    </customSheetView>
  </customSheetViews>
  <phoneticPr fontId="26" type="noConversion"/>
  <hyperlinks>
    <hyperlink ref="A1" display="Directory"/>
    <hyperlink ref="E1" display="D9859 Scoreboard"/>
  </hyperlinks>
  <pageMargins left="0.75" right="0.75" top="1" bottom="1" header="0.5" footer="0.5"/>
  <pageSetup orientation="portrait" r:id="rId13"/>
  <headerFooter alignWithMargins="0"/>
  <drawing r:id="rId14"/>
  <legacyDrawing r:id="rId15"/>
  <controls>
    <mc:AlternateContent xmlns:mc="http://schemas.openxmlformats.org/markup-compatibility/2006">
      <mc:Choice Requires="x14">
        <control shapeId="21505" r:id="rId16" name="CommandButton1">
          <controlPr defaultSize="0" autoLine="0" autoPict="0" r:id="rId17">
            <anchor moveWithCells="1">
              <from>
                <xdr:col>6</xdr:col>
                <xdr:colOff>617220</xdr:colOff>
                <xdr:row>1</xdr:row>
                <xdr:rowOff>106680</xdr:rowOff>
              </from>
              <to>
                <xdr:col>12</xdr:col>
                <xdr:colOff>83820</xdr:colOff>
                <xdr:row>6</xdr:row>
                <xdr:rowOff>236220</xdr:rowOff>
              </to>
            </anchor>
          </controlPr>
        </control>
      </mc:Choice>
      <mc:Fallback>
        <control shapeId="21505" r:id="rId1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P48"/>
  <sheetViews>
    <sheetView topLeftCell="A13" zoomScale="90" zoomScaleNormal="90" workbookViewId="0">
      <selection activeCell="F42" sqref="F42"/>
    </sheetView>
  </sheetViews>
  <sheetFormatPr defaultRowHeight="13.2" x14ac:dyDescent="0.25"/>
  <cols>
    <col min="2" max="2" width="71.33203125" customWidth="1"/>
    <col min="3" max="3" width="12.33203125" style="21" bestFit="1" customWidth="1"/>
    <col min="4" max="4" width="9" customWidth="1"/>
    <col min="5" max="5" width="28.33203125" customWidth="1"/>
    <col min="6" max="6" width="15.88671875" customWidth="1"/>
    <col min="7" max="8" width="9.109375" style="21"/>
    <col min="9" max="9" width="11.33203125" style="21" customWidth="1"/>
    <col min="10" max="11" width="9.109375" style="21"/>
    <col min="12" max="12" width="10.5546875" style="21" bestFit="1" customWidth="1"/>
    <col min="13" max="13" width="9.109375" style="21"/>
    <col min="14" max="14" width="12.44140625" style="21" bestFit="1" customWidth="1"/>
    <col min="15" max="15" width="17.88671875" style="21" customWidth="1"/>
    <col min="16" max="16" width="37.6640625" customWidth="1"/>
  </cols>
  <sheetData>
    <row r="1" spans="1:16" x14ac:dyDescent="0.25">
      <c r="A1" s="14" t="s">
        <v>75</v>
      </c>
      <c r="B1" s="15" t="s">
        <v>77</v>
      </c>
      <c r="C1" s="8" t="s">
        <v>76</v>
      </c>
      <c r="D1" s="110" t="s">
        <v>499</v>
      </c>
      <c r="E1" s="148" t="s">
        <v>606</v>
      </c>
      <c r="F1" s="138"/>
      <c r="G1" s="79"/>
      <c r="H1" s="79"/>
      <c r="I1" s="78"/>
      <c r="J1" s="149" t="s">
        <v>2</v>
      </c>
      <c r="K1" s="104" t="s">
        <v>4</v>
      </c>
    </row>
    <row r="2" spans="1:16" x14ac:dyDescent="0.25">
      <c r="A2" s="10" t="s">
        <v>78</v>
      </c>
      <c r="B2" s="50" t="s">
        <v>277</v>
      </c>
      <c r="C2" s="141">
        <v>40309</v>
      </c>
      <c r="E2" s="148"/>
      <c r="F2" s="70"/>
      <c r="J2" s="105" t="s">
        <v>509</v>
      </c>
      <c r="K2" s="106" t="s">
        <v>3</v>
      </c>
    </row>
    <row r="3" spans="1:16" x14ac:dyDescent="0.25">
      <c r="A3" s="72" t="s">
        <v>346</v>
      </c>
      <c r="B3" s="73" t="s">
        <v>213</v>
      </c>
      <c r="C3" s="141">
        <v>40399</v>
      </c>
      <c r="E3" s="74"/>
      <c r="J3" s="150" t="s">
        <v>526</v>
      </c>
      <c r="K3" s="107"/>
    </row>
    <row r="4" spans="1:16" x14ac:dyDescent="0.25">
      <c r="A4" s="10" t="s">
        <v>611</v>
      </c>
      <c r="B4" s="13" t="s">
        <v>612</v>
      </c>
      <c r="C4" s="141">
        <v>41379</v>
      </c>
      <c r="F4" s="69"/>
      <c r="J4" s="108" t="s">
        <v>487</v>
      </c>
      <c r="K4" s="109"/>
    </row>
    <row r="5" spans="1:16" ht="13.8" thickBot="1" x14ac:dyDescent="0.3">
      <c r="A5" s="11"/>
      <c r="B5" s="19"/>
      <c r="C5" s="142"/>
      <c r="J5" s="95" t="s">
        <v>486</v>
      </c>
      <c r="K5" s="90"/>
    </row>
    <row r="7" spans="1:16" ht="13.8" thickBot="1" x14ac:dyDescent="0.3">
      <c r="B7" s="68" t="s">
        <v>312</v>
      </c>
    </row>
    <row r="8" spans="1:16" ht="13.8" thickBot="1" x14ac:dyDescent="0.3">
      <c r="E8" s="146" t="s">
        <v>620</v>
      </c>
      <c r="F8" s="147">
        <v>6</v>
      </c>
    </row>
    <row r="9" spans="1:16" x14ac:dyDescent="0.25">
      <c r="A9" s="154"/>
      <c r="B9" s="191"/>
      <c r="C9" s="191" t="s">
        <v>619</v>
      </c>
      <c r="D9" s="689" t="s">
        <v>301</v>
      </c>
      <c r="E9" s="690"/>
      <c r="F9" s="691"/>
      <c r="G9" s="684" t="s">
        <v>304</v>
      </c>
      <c r="H9" s="685"/>
      <c r="I9" s="685"/>
      <c r="J9" s="685"/>
      <c r="K9" s="685"/>
      <c r="L9" s="685"/>
      <c r="M9" s="686"/>
      <c r="N9" s="155"/>
      <c r="O9" s="687" t="s">
        <v>330</v>
      </c>
      <c r="P9" s="33"/>
    </row>
    <row r="10" spans="1:16" ht="13.8" thickBot="1" x14ac:dyDescent="0.3">
      <c r="A10" s="156" t="s">
        <v>122</v>
      </c>
      <c r="B10" s="157" t="s">
        <v>531</v>
      </c>
      <c r="C10" s="157" t="s">
        <v>617</v>
      </c>
      <c r="D10" s="158" t="s">
        <v>302</v>
      </c>
      <c r="E10" s="159" t="s">
        <v>303</v>
      </c>
      <c r="F10" s="160" t="s">
        <v>333</v>
      </c>
      <c r="G10" s="161" t="s">
        <v>307</v>
      </c>
      <c r="H10" s="57" t="s">
        <v>308</v>
      </c>
      <c r="I10" s="57" t="s">
        <v>305</v>
      </c>
      <c r="J10" s="57" t="s">
        <v>309</v>
      </c>
      <c r="K10" s="57" t="s">
        <v>306</v>
      </c>
      <c r="L10" s="57" t="s">
        <v>310</v>
      </c>
      <c r="M10" s="162" t="s">
        <v>311</v>
      </c>
      <c r="N10" s="152" t="s">
        <v>613</v>
      </c>
      <c r="O10" s="688"/>
      <c r="P10" s="140" t="s">
        <v>608</v>
      </c>
    </row>
    <row r="11" spans="1:16" s="33" customFormat="1" x14ac:dyDescent="0.25">
      <c r="A11" s="491">
        <v>1</v>
      </c>
      <c r="B11" s="491" t="str">
        <f>D11&amp;"-"&amp;E11&amp;" to "&amp; P11</f>
        <v>H.264-HD 1080i @ 29.97FPS(30FPS) to MPEG2-HD 1080i @ 29.97FPS(30FPS)</v>
      </c>
      <c r="C11" s="492" t="s">
        <v>618</v>
      </c>
      <c r="D11" s="493" t="s">
        <v>74</v>
      </c>
      <c r="E11" s="494" t="s">
        <v>313</v>
      </c>
      <c r="F11" s="495" t="s">
        <v>621</v>
      </c>
      <c r="G11" s="496" t="s">
        <v>317</v>
      </c>
      <c r="H11" s="497" t="s">
        <v>318</v>
      </c>
      <c r="I11" s="497" t="s">
        <v>21</v>
      </c>
      <c r="J11" s="498">
        <v>25</v>
      </c>
      <c r="K11" s="497" t="s">
        <v>320</v>
      </c>
      <c r="L11" s="499" t="s">
        <v>322</v>
      </c>
      <c r="M11" s="500" t="s">
        <v>323</v>
      </c>
      <c r="N11" s="501" t="s">
        <v>614</v>
      </c>
      <c r="O11" s="502">
        <v>17</v>
      </c>
      <c r="P11" s="503" t="str">
        <f>VLOOKUP(O11,'Video Test Cases'!$A$8:$B$56,2,FALSE)</f>
        <v>MPEG2-HD 1080i @ 29.97FPS(30FPS)</v>
      </c>
    </row>
    <row r="12" spans="1:16" s="33" customFormat="1" x14ac:dyDescent="0.25">
      <c r="A12" s="309">
        <v>2</v>
      </c>
      <c r="B12" s="309" t="str">
        <f t="shared" ref="B12:B46" si="0">D12&amp;"-"&amp;E12&amp;" to "&amp; P12</f>
        <v>H.264-HD 1080i @ 25FPS to MPEG2-HD 1080i @ 25FPS</v>
      </c>
      <c r="C12" s="310" t="s">
        <v>618</v>
      </c>
      <c r="D12" s="311" t="s">
        <v>74</v>
      </c>
      <c r="E12" s="312" t="s">
        <v>314</v>
      </c>
      <c r="F12" s="313" t="s">
        <v>363</v>
      </c>
      <c r="G12" s="314" t="s">
        <v>317</v>
      </c>
      <c r="H12" s="315" t="s">
        <v>319</v>
      </c>
      <c r="I12" s="315" t="s">
        <v>26</v>
      </c>
      <c r="J12" s="316">
        <v>15</v>
      </c>
      <c r="K12" s="315" t="s">
        <v>321</v>
      </c>
      <c r="L12" s="317" t="s">
        <v>322</v>
      </c>
      <c r="M12" s="318" t="s">
        <v>323</v>
      </c>
      <c r="N12" s="144" t="s">
        <v>614</v>
      </c>
      <c r="O12" s="145">
        <v>21</v>
      </c>
      <c r="P12" s="143" t="str">
        <f>VLOOKUP(O12,'Video Test Cases'!$A$8:$B$56,2,FALSE)</f>
        <v>MPEG2-HD 1080i @ 25FPS</v>
      </c>
    </row>
    <row r="13" spans="1:16" s="33" customFormat="1" x14ac:dyDescent="0.25">
      <c r="A13" s="309">
        <v>3</v>
      </c>
      <c r="B13" s="309" t="str">
        <f t="shared" si="0"/>
        <v>H.264-HD 720P @ 59.94FPS(60FPS) to MPEG2-HD 720P @ 59.94FPS(60FPS)</v>
      </c>
      <c r="C13" s="310" t="s">
        <v>618</v>
      </c>
      <c r="D13" s="311" t="s">
        <v>74</v>
      </c>
      <c r="E13" s="312" t="s">
        <v>315</v>
      </c>
      <c r="F13" s="313" t="s">
        <v>364</v>
      </c>
      <c r="G13" s="314" t="s">
        <v>317</v>
      </c>
      <c r="H13" s="315" t="s">
        <v>319</v>
      </c>
      <c r="I13" s="315" t="s">
        <v>26</v>
      </c>
      <c r="J13" s="316">
        <v>15</v>
      </c>
      <c r="K13" s="315" t="s">
        <v>321</v>
      </c>
      <c r="L13" s="317" t="s">
        <v>322</v>
      </c>
      <c r="M13" s="318" t="s">
        <v>323</v>
      </c>
      <c r="N13" s="144" t="s">
        <v>614</v>
      </c>
      <c r="O13" s="145">
        <v>24</v>
      </c>
      <c r="P13" s="143" t="str">
        <f>VLOOKUP(O13,'Video Test Cases'!$A$8:$B$56,2,FALSE)</f>
        <v>MPEG2-HD 720P @ 59.94FPS(60FPS)</v>
      </c>
    </row>
    <row r="14" spans="1:16" s="33" customFormat="1" x14ac:dyDescent="0.25">
      <c r="A14" s="309">
        <v>4</v>
      </c>
      <c r="B14" s="309" t="str">
        <f t="shared" si="0"/>
        <v>H.264-HD 720P @ 50FPS to MPEG2-HD 720P @ 50FPS</v>
      </c>
      <c r="C14" s="310" t="s">
        <v>518</v>
      </c>
      <c r="D14" s="311" t="s">
        <v>74</v>
      </c>
      <c r="E14" s="312" t="s">
        <v>316</v>
      </c>
      <c r="F14" s="313" t="s">
        <v>365</v>
      </c>
      <c r="G14" s="314" t="s">
        <v>317</v>
      </c>
      <c r="H14" s="315" t="s">
        <v>318</v>
      </c>
      <c r="I14" s="315" t="s">
        <v>26</v>
      </c>
      <c r="J14" s="316">
        <v>10</v>
      </c>
      <c r="K14" s="315" t="s">
        <v>320</v>
      </c>
      <c r="L14" s="317" t="s">
        <v>322</v>
      </c>
      <c r="M14" s="318" t="s">
        <v>323</v>
      </c>
      <c r="N14" s="144" t="s">
        <v>614</v>
      </c>
      <c r="O14" s="145">
        <v>25</v>
      </c>
      <c r="P14" s="143" t="str">
        <f>VLOOKUP(O14,'Video Test Cases'!$A$8:$B$56,2,FALSE)</f>
        <v>MPEG2-HD 720P @ 50FPS</v>
      </c>
    </row>
    <row r="15" spans="1:16" s="33" customFormat="1" x14ac:dyDescent="0.25">
      <c r="A15" s="527">
        <v>5</v>
      </c>
      <c r="B15" s="527" t="str">
        <f t="shared" si="0"/>
        <v>H.264-HD 1080i @ 29.97FPS(30FPS) to MPEG2-SD NTSC</v>
      </c>
      <c r="C15" s="528" t="s">
        <v>618</v>
      </c>
      <c r="D15" s="529" t="s">
        <v>74</v>
      </c>
      <c r="E15" s="530" t="s">
        <v>313</v>
      </c>
      <c r="F15" s="531" t="s">
        <v>362</v>
      </c>
      <c r="G15" s="532" t="s">
        <v>297</v>
      </c>
      <c r="H15" s="533">
        <v>720</v>
      </c>
      <c r="I15" s="533" t="s">
        <v>26</v>
      </c>
      <c r="J15" s="534">
        <v>15</v>
      </c>
      <c r="K15" s="533" t="s">
        <v>320</v>
      </c>
      <c r="L15" s="535" t="s">
        <v>327</v>
      </c>
      <c r="M15" s="536" t="s">
        <v>328</v>
      </c>
      <c r="N15" s="537" t="s">
        <v>614</v>
      </c>
      <c r="O15" s="538">
        <v>5</v>
      </c>
      <c r="P15" s="539" t="str">
        <f>VLOOKUP(O15,'Video Test Cases'!$A$8:$B$56,2,FALSE)</f>
        <v>MPEG2-SD NTSC</v>
      </c>
    </row>
    <row r="16" spans="1:16" s="33" customFormat="1" x14ac:dyDescent="0.25">
      <c r="A16" s="540">
        <v>6</v>
      </c>
      <c r="B16" s="540" t="str">
        <f t="shared" si="0"/>
        <v>H.264-HD 1080i @ 25FPS to MPEG2-SD PAL</v>
      </c>
      <c r="C16" s="541" t="s">
        <v>618</v>
      </c>
      <c r="D16" s="542" t="s">
        <v>74</v>
      </c>
      <c r="E16" s="543" t="s">
        <v>314</v>
      </c>
      <c r="F16" s="544" t="s">
        <v>363</v>
      </c>
      <c r="G16" s="545" t="s">
        <v>297</v>
      </c>
      <c r="H16" s="546">
        <v>720</v>
      </c>
      <c r="I16" s="546" t="s">
        <v>26</v>
      </c>
      <c r="J16" s="547">
        <v>15</v>
      </c>
      <c r="K16" s="546" t="s">
        <v>320</v>
      </c>
      <c r="L16" s="548" t="s">
        <v>322</v>
      </c>
      <c r="M16" s="549" t="s">
        <v>323</v>
      </c>
      <c r="N16" s="550" t="s">
        <v>614</v>
      </c>
      <c r="O16" s="551">
        <v>8</v>
      </c>
      <c r="P16" s="552" t="str">
        <f>VLOOKUP(O16,'Video Test Cases'!$A$8:$B$56,2,FALSE)</f>
        <v>MPEG2-SD PAL</v>
      </c>
    </row>
    <row r="17" spans="1:16" s="33" customFormat="1" x14ac:dyDescent="0.25">
      <c r="A17" s="309">
        <v>7</v>
      </c>
      <c r="B17" s="309" t="str">
        <f t="shared" si="0"/>
        <v>H.264-HD 720P @ 59.94FPS(60FPS) to MPEG2-SD NTSC</v>
      </c>
      <c r="C17" s="310" t="s">
        <v>618</v>
      </c>
      <c r="D17" s="311" t="s">
        <v>74</v>
      </c>
      <c r="E17" s="312" t="s">
        <v>315</v>
      </c>
      <c r="F17" s="313" t="s">
        <v>364</v>
      </c>
      <c r="G17" s="314" t="s">
        <v>297</v>
      </c>
      <c r="H17" s="315">
        <v>720</v>
      </c>
      <c r="I17" s="315" t="s">
        <v>21</v>
      </c>
      <c r="J17" s="316">
        <v>10</v>
      </c>
      <c r="K17" s="315" t="s">
        <v>321</v>
      </c>
      <c r="L17" s="317" t="s">
        <v>322</v>
      </c>
      <c r="M17" s="318" t="s">
        <v>323</v>
      </c>
      <c r="N17" s="144" t="s">
        <v>614</v>
      </c>
      <c r="O17" s="145">
        <v>6</v>
      </c>
      <c r="P17" s="143" t="str">
        <f>VLOOKUP(O17,'Video Test Cases'!$A$8:$B$56,2,FALSE)</f>
        <v>MPEG2-SD NTSC</v>
      </c>
    </row>
    <row r="18" spans="1:16" s="33" customFormat="1" x14ac:dyDescent="0.25">
      <c r="A18" s="309">
        <v>8</v>
      </c>
      <c r="B18" s="309" t="str">
        <f t="shared" si="0"/>
        <v>H.264-HD 720P @ 50FPS to MPEG2-SD PAL</v>
      </c>
      <c r="C18" s="310" t="s">
        <v>618</v>
      </c>
      <c r="D18" s="311" t="s">
        <v>74</v>
      </c>
      <c r="E18" s="312" t="s">
        <v>316</v>
      </c>
      <c r="F18" s="313" t="s">
        <v>365</v>
      </c>
      <c r="G18" s="314" t="s">
        <v>297</v>
      </c>
      <c r="H18" s="315">
        <v>720</v>
      </c>
      <c r="I18" s="315" t="s">
        <v>21</v>
      </c>
      <c r="J18" s="316">
        <v>10</v>
      </c>
      <c r="K18" s="315" t="s">
        <v>321</v>
      </c>
      <c r="L18" s="317" t="s">
        <v>327</v>
      </c>
      <c r="M18" s="318" t="s">
        <v>328</v>
      </c>
      <c r="N18" s="144" t="s">
        <v>614</v>
      </c>
      <c r="O18" s="145">
        <v>9</v>
      </c>
      <c r="P18" s="143" t="str">
        <f>VLOOKUP(O18,'Video Test Cases'!$A$8:$B$56,2,FALSE)</f>
        <v>MPEG2-SD PAL</v>
      </c>
    </row>
    <row r="19" spans="1:16" s="33" customFormat="1" x14ac:dyDescent="0.25">
      <c r="A19" s="309">
        <v>9</v>
      </c>
      <c r="B19" s="309" t="str">
        <f t="shared" si="0"/>
        <v>H.264-SD NTSC to MPEG2-SD NTSC</v>
      </c>
      <c r="C19" s="310" t="s">
        <v>618</v>
      </c>
      <c r="D19" s="311" t="s">
        <v>74</v>
      </c>
      <c r="E19" s="312" t="s">
        <v>324</v>
      </c>
      <c r="F19" s="313" t="s">
        <v>355</v>
      </c>
      <c r="G19" s="314" t="s">
        <v>297</v>
      </c>
      <c r="H19" s="315">
        <v>704</v>
      </c>
      <c r="I19" s="315" t="s">
        <v>26</v>
      </c>
      <c r="J19" s="316">
        <v>2</v>
      </c>
      <c r="K19" s="315" t="s">
        <v>321</v>
      </c>
      <c r="L19" s="317" t="s">
        <v>327</v>
      </c>
      <c r="M19" s="318" t="s">
        <v>328</v>
      </c>
      <c r="N19" s="144" t="s">
        <v>614</v>
      </c>
      <c r="O19" s="145">
        <v>4</v>
      </c>
      <c r="P19" s="143" t="str">
        <f>VLOOKUP(O19,'Video Test Cases'!$A$8:$B$56,2,FALSE)</f>
        <v>MPEG2-SD NTSC</v>
      </c>
    </row>
    <row r="20" spans="1:16" s="33" customFormat="1" x14ac:dyDescent="0.25">
      <c r="A20" s="309">
        <v>10</v>
      </c>
      <c r="B20" s="309" t="str">
        <f t="shared" si="0"/>
        <v>H.264-SD NTSC to MPEG2-SD NTSC</v>
      </c>
      <c r="C20" s="310" t="s">
        <v>618</v>
      </c>
      <c r="D20" s="311" t="s">
        <v>74</v>
      </c>
      <c r="E20" s="312" t="s">
        <v>324</v>
      </c>
      <c r="F20" s="313" t="s">
        <v>355</v>
      </c>
      <c r="G20" s="314" t="s">
        <v>297</v>
      </c>
      <c r="H20" s="315">
        <v>544</v>
      </c>
      <c r="I20" s="315" t="s">
        <v>21</v>
      </c>
      <c r="J20" s="316">
        <v>10</v>
      </c>
      <c r="K20" s="315" t="s">
        <v>320</v>
      </c>
      <c r="L20" s="317" t="s">
        <v>327</v>
      </c>
      <c r="M20" s="318" t="s">
        <v>328</v>
      </c>
      <c r="N20" s="144" t="s">
        <v>614</v>
      </c>
      <c r="O20" s="145">
        <v>6</v>
      </c>
      <c r="P20" s="143" t="str">
        <f>VLOOKUP(O20,'Video Test Cases'!$A$8:$B$56,2,FALSE)</f>
        <v>MPEG2-SD NTSC</v>
      </c>
    </row>
    <row r="21" spans="1:16" s="33" customFormat="1" x14ac:dyDescent="0.25">
      <c r="A21" s="491">
        <v>11</v>
      </c>
      <c r="B21" s="491" t="str">
        <f t="shared" si="0"/>
        <v>H.264-SD PAL to MPEG2-SD PAL</v>
      </c>
      <c r="C21" s="492" t="s">
        <v>618</v>
      </c>
      <c r="D21" s="493" t="s">
        <v>74</v>
      </c>
      <c r="E21" s="494" t="s">
        <v>325</v>
      </c>
      <c r="F21" s="495" t="s">
        <v>361</v>
      </c>
      <c r="G21" s="496" t="s">
        <v>297</v>
      </c>
      <c r="H21" s="497">
        <v>480</v>
      </c>
      <c r="I21" s="497" t="s">
        <v>26</v>
      </c>
      <c r="J21" s="498">
        <v>2</v>
      </c>
      <c r="K21" s="497" t="s">
        <v>320</v>
      </c>
      <c r="L21" s="499" t="s">
        <v>327</v>
      </c>
      <c r="M21" s="500" t="s">
        <v>328</v>
      </c>
      <c r="N21" s="501" t="s">
        <v>614</v>
      </c>
      <c r="O21" s="502">
        <v>7</v>
      </c>
      <c r="P21" s="503" t="str">
        <f>VLOOKUP(O21,'Video Test Cases'!$A$8:$B$56,2,FALSE)</f>
        <v>MPEG2-SD PAL</v>
      </c>
    </row>
    <row r="22" spans="1:16" s="33" customFormat="1" ht="13.5" customHeight="1" x14ac:dyDescent="0.25">
      <c r="A22" s="491">
        <v>12</v>
      </c>
      <c r="B22" s="491" t="str">
        <f t="shared" si="0"/>
        <v>H.264-SD PAL to MPEG2-SD PAL</v>
      </c>
      <c r="C22" s="492" t="s">
        <v>618</v>
      </c>
      <c r="D22" s="493" t="s">
        <v>74</v>
      </c>
      <c r="E22" s="494" t="s">
        <v>325</v>
      </c>
      <c r="F22" s="495" t="s">
        <v>361</v>
      </c>
      <c r="G22" s="496" t="s">
        <v>297</v>
      </c>
      <c r="H22" s="497">
        <v>352</v>
      </c>
      <c r="I22" s="497" t="s">
        <v>21</v>
      </c>
      <c r="J22" s="498">
        <v>10</v>
      </c>
      <c r="K22" s="497" t="s">
        <v>321</v>
      </c>
      <c r="L22" s="499" t="s">
        <v>327</v>
      </c>
      <c r="M22" s="500" t="s">
        <v>328</v>
      </c>
      <c r="N22" s="501" t="s">
        <v>614</v>
      </c>
      <c r="O22" s="502">
        <v>9</v>
      </c>
      <c r="P22" s="503" t="str">
        <f>VLOOKUP(O22,'Video Test Cases'!$A$8:$B$56,2,FALSE)</f>
        <v>MPEG2-SD PAL</v>
      </c>
    </row>
    <row r="23" spans="1:16" s="33" customFormat="1" x14ac:dyDescent="0.25">
      <c r="A23" s="491">
        <v>13</v>
      </c>
      <c r="B23" s="491" t="str">
        <f t="shared" si="0"/>
        <v>MPEG 2-HD 1080i @ 29.97FPS(30FPS) to MPEG2-HD 1080i @ 29.97FPS(30FPS)</v>
      </c>
      <c r="C23" s="492" t="s">
        <v>618</v>
      </c>
      <c r="D23" s="493" t="s">
        <v>326</v>
      </c>
      <c r="E23" s="494" t="s">
        <v>313</v>
      </c>
      <c r="F23" s="495" t="s">
        <v>335</v>
      </c>
      <c r="G23" s="496" t="s">
        <v>317</v>
      </c>
      <c r="H23" s="497" t="s">
        <v>319</v>
      </c>
      <c r="I23" s="497" t="s">
        <v>26</v>
      </c>
      <c r="J23" s="498">
        <v>15</v>
      </c>
      <c r="K23" s="497" t="s">
        <v>321</v>
      </c>
      <c r="L23" s="499" t="s">
        <v>322</v>
      </c>
      <c r="M23" s="500" t="s">
        <v>323</v>
      </c>
      <c r="N23" s="501" t="s">
        <v>614</v>
      </c>
      <c r="O23" s="502">
        <v>18</v>
      </c>
      <c r="P23" s="503" t="str">
        <f>VLOOKUP(O23,'Video Test Cases'!$A$8:$B$56,2,FALSE)</f>
        <v>MPEG2-HD 1080i @ 29.97FPS(30FPS)</v>
      </c>
    </row>
    <row r="24" spans="1:16" s="33" customFormat="1" x14ac:dyDescent="0.25">
      <c r="A24" s="540">
        <v>14</v>
      </c>
      <c r="B24" s="540" t="str">
        <f t="shared" si="0"/>
        <v>MPEG 2-HD 1080i @ 25FPS to MPEG2-HD 1080i @ 25FPS</v>
      </c>
      <c r="C24" s="541" t="s">
        <v>618</v>
      </c>
      <c r="D24" s="542" t="s">
        <v>326</v>
      </c>
      <c r="E24" s="543" t="s">
        <v>314</v>
      </c>
      <c r="F24" s="544" t="s">
        <v>336</v>
      </c>
      <c r="G24" s="545" t="s">
        <v>317</v>
      </c>
      <c r="H24" s="546" t="s">
        <v>318</v>
      </c>
      <c r="I24" s="546" t="s">
        <v>21</v>
      </c>
      <c r="J24" s="547">
        <v>10</v>
      </c>
      <c r="K24" s="546" t="s">
        <v>320</v>
      </c>
      <c r="L24" s="548" t="s">
        <v>322</v>
      </c>
      <c r="M24" s="549" t="s">
        <v>323</v>
      </c>
      <c r="N24" s="550" t="s">
        <v>614</v>
      </c>
      <c r="O24" s="551">
        <v>19</v>
      </c>
      <c r="P24" s="552" t="str">
        <f>VLOOKUP(O24,'Video Test Cases'!$A$8:$B$56,2,FALSE)</f>
        <v>MPEG2-HD 1080i @ 25FPS</v>
      </c>
    </row>
    <row r="25" spans="1:16" s="33" customFormat="1" x14ac:dyDescent="0.25">
      <c r="A25" s="491">
        <v>15</v>
      </c>
      <c r="B25" s="491" t="str">
        <f t="shared" si="0"/>
        <v>MPEG 2-HD 720P @ 59.94FPS(60FPS) to MPEG2-HD 720P @ 59.94FPS(60FPS)</v>
      </c>
      <c r="C25" s="492" t="s">
        <v>618</v>
      </c>
      <c r="D25" s="493" t="s">
        <v>326</v>
      </c>
      <c r="E25" s="494" t="s">
        <v>315</v>
      </c>
      <c r="F25" s="495" t="s">
        <v>337</v>
      </c>
      <c r="G25" s="496" t="s">
        <v>317</v>
      </c>
      <c r="H25" s="497" t="s">
        <v>318</v>
      </c>
      <c r="I25" s="497" t="s">
        <v>21</v>
      </c>
      <c r="J25" s="498">
        <v>25</v>
      </c>
      <c r="K25" s="497" t="s">
        <v>320</v>
      </c>
      <c r="L25" s="499" t="s">
        <v>322</v>
      </c>
      <c r="M25" s="500" t="s">
        <v>323</v>
      </c>
      <c r="N25" s="501" t="s">
        <v>614</v>
      </c>
      <c r="O25" s="502">
        <v>23</v>
      </c>
      <c r="P25" s="503" t="str">
        <f>VLOOKUP(O25,'Video Test Cases'!$A$8:$B$56,2,FALSE)</f>
        <v>MPEG2-HD 720P @ 59.94FPS(60FPS)</v>
      </c>
    </row>
    <row r="26" spans="1:16" s="33" customFormat="1" x14ac:dyDescent="0.25">
      <c r="A26" s="491">
        <v>16</v>
      </c>
      <c r="B26" s="491" t="str">
        <f t="shared" si="0"/>
        <v>MPEG 2-HD 720P @ 50FPS to MPEG2-HD 720P @ 50FPS</v>
      </c>
      <c r="C26" s="492" t="s">
        <v>618</v>
      </c>
      <c r="D26" s="493" t="s">
        <v>326</v>
      </c>
      <c r="E26" s="494" t="s">
        <v>316</v>
      </c>
      <c r="F26" s="495" t="s">
        <v>338</v>
      </c>
      <c r="G26" s="496" t="s">
        <v>317</v>
      </c>
      <c r="H26" s="497" t="s">
        <v>319</v>
      </c>
      <c r="I26" s="497" t="s">
        <v>26</v>
      </c>
      <c r="J26" s="498">
        <v>15</v>
      </c>
      <c r="K26" s="497" t="s">
        <v>329</v>
      </c>
      <c r="L26" s="499" t="s">
        <v>322</v>
      </c>
      <c r="M26" s="500" t="s">
        <v>323</v>
      </c>
      <c r="N26" s="501" t="s">
        <v>614</v>
      </c>
      <c r="O26" s="502">
        <v>27</v>
      </c>
      <c r="P26" s="503" t="str">
        <f>VLOOKUP(O26,'Video Test Cases'!$A$8:$B$56,2,FALSE)</f>
        <v>MPEG2-HD 720P @ 50FPS</v>
      </c>
    </row>
    <row r="27" spans="1:16" s="33" customFormat="1" x14ac:dyDescent="0.25">
      <c r="A27" s="491">
        <v>17</v>
      </c>
      <c r="B27" s="491" t="str">
        <f t="shared" si="0"/>
        <v>MPEG 2-HD 1080i @ 29.97FPS(30FPS) to MPEG2-SD NTSC</v>
      </c>
      <c r="C27" s="492" t="s">
        <v>618</v>
      </c>
      <c r="D27" s="493" t="s">
        <v>326</v>
      </c>
      <c r="E27" s="494" t="s">
        <v>313</v>
      </c>
      <c r="F27" s="495" t="s">
        <v>335</v>
      </c>
      <c r="G27" s="496" t="s">
        <v>297</v>
      </c>
      <c r="H27" s="497">
        <v>720</v>
      </c>
      <c r="I27" s="497" t="s">
        <v>21</v>
      </c>
      <c r="J27" s="498">
        <v>10</v>
      </c>
      <c r="K27" s="497" t="s">
        <v>321</v>
      </c>
      <c r="L27" s="499" t="s">
        <v>322</v>
      </c>
      <c r="M27" s="500" t="s">
        <v>323</v>
      </c>
      <c r="N27" s="501" t="s">
        <v>614</v>
      </c>
      <c r="O27" s="502">
        <v>6</v>
      </c>
      <c r="P27" s="503" t="str">
        <f>VLOOKUP(O27,'Video Test Cases'!$A$8:$B$56,2,FALSE)</f>
        <v>MPEG2-SD NTSC</v>
      </c>
    </row>
    <row r="28" spans="1:16" s="33" customFormat="1" x14ac:dyDescent="0.25">
      <c r="A28" s="309">
        <v>18</v>
      </c>
      <c r="B28" s="309" t="str">
        <f t="shared" si="0"/>
        <v>MPEG 2-HD 1080i @ 25FPS to MPEG2-SD PAL</v>
      </c>
      <c r="C28" s="310" t="s">
        <v>618</v>
      </c>
      <c r="D28" s="311" t="s">
        <v>326</v>
      </c>
      <c r="E28" s="312" t="s">
        <v>314</v>
      </c>
      <c r="F28" s="313" t="s">
        <v>336</v>
      </c>
      <c r="G28" s="314" t="s">
        <v>297</v>
      </c>
      <c r="H28" s="315">
        <v>720</v>
      </c>
      <c r="I28" s="315" t="s">
        <v>21</v>
      </c>
      <c r="J28" s="316">
        <v>10</v>
      </c>
      <c r="K28" s="315" t="s">
        <v>321</v>
      </c>
      <c r="L28" s="317" t="s">
        <v>327</v>
      </c>
      <c r="M28" s="318" t="s">
        <v>328</v>
      </c>
      <c r="N28" s="144" t="s">
        <v>614</v>
      </c>
      <c r="O28" s="145">
        <v>9</v>
      </c>
      <c r="P28" s="143" t="str">
        <f>VLOOKUP(O28,'Video Test Cases'!$A$8:$B$56,2,FALSE)</f>
        <v>MPEG2-SD PAL</v>
      </c>
    </row>
    <row r="29" spans="1:16" s="33" customFormat="1" x14ac:dyDescent="0.25">
      <c r="A29" s="491">
        <v>19</v>
      </c>
      <c r="B29" s="491" t="str">
        <f t="shared" si="0"/>
        <v>MPEG 2-HD 720P @ 59.94FPS(60FPS) to MPEG2-SD NTSC</v>
      </c>
      <c r="C29" s="492" t="s">
        <v>618</v>
      </c>
      <c r="D29" s="493" t="s">
        <v>326</v>
      </c>
      <c r="E29" s="494" t="s">
        <v>315</v>
      </c>
      <c r="F29" s="495" t="s">
        <v>337</v>
      </c>
      <c r="G29" s="496" t="s">
        <v>297</v>
      </c>
      <c r="H29" s="497">
        <v>720</v>
      </c>
      <c r="I29" s="497" t="s">
        <v>26</v>
      </c>
      <c r="J29" s="498">
        <v>15</v>
      </c>
      <c r="K29" s="497" t="s">
        <v>320</v>
      </c>
      <c r="L29" s="499" t="s">
        <v>327</v>
      </c>
      <c r="M29" s="500" t="s">
        <v>328</v>
      </c>
      <c r="N29" s="501" t="s">
        <v>614</v>
      </c>
      <c r="O29" s="502">
        <v>5</v>
      </c>
      <c r="P29" s="503" t="str">
        <f>VLOOKUP(O29,'Video Test Cases'!$A$8:$B$56,2,FALSE)</f>
        <v>MPEG2-SD NTSC</v>
      </c>
    </row>
    <row r="30" spans="1:16" s="33" customFormat="1" x14ac:dyDescent="0.25">
      <c r="A30" s="491">
        <v>20</v>
      </c>
      <c r="B30" s="491" t="str">
        <f t="shared" si="0"/>
        <v>MPEG 2-HD 720P @ 50FPS to MPEG2-SD PAL</v>
      </c>
      <c r="C30" s="492" t="s">
        <v>618</v>
      </c>
      <c r="D30" s="493" t="s">
        <v>326</v>
      </c>
      <c r="E30" s="494" t="s">
        <v>316</v>
      </c>
      <c r="F30" s="495" t="s">
        <v>338</v>
      </c>
      <c r="G30" s="496" t="s">
        <v>297</v>
      </c>
      <c r="H30" s="497">
        <v>720</v>
      </c>
      <c r="I30" s="497" t="s">
        <v>26</v>
      </c>
      <c r="J30" s="498">
        <v>15</v>
      </c>
      <c r="K30" s="497" t="s">
        <v>320</v>
      </c>
      <c r="L30" s="499" t="s">
        <v>322</v>
      </c>
      <c r="M30" s="500" t="s">
        <v>323</v>
      </c>
      <c r="N30" s="501" t="s">
        <v>614</v>
      </c>
      <c r="O30" s="502">
        <v>8</v>
      </c>
      <c r="P30" s="503" t="str">
        <f>VLOOKUP(O30,'Video Test Cases'!$A$8:$B$56,2,FALSE)</f>
        <v>MPEG2-SD PAL</v>
      </c>
    </row>
    <row r="31" spans="1:16" s="33" customFormat="1" x14ac:dyDescent="0.25">
      <c r="A31" s="309">
        <v>21</v>
      </c>
      <c r="B31" s="309" t="str">
        <f t="shared" si="0"/>
        <v>MPEG 2-SD NTSC to MPEG2-SD NTSC</v>
      </c>
      <c r="C31" s="310" t="s">
        <v>618</v>
      </c>
      <c r="D31" s="311" t="s">
        <v>326</v>
      </c>
      <c r="E31" s="312" t="s">
        <v>324</v>
      </c>
      <c r="F31" s="313" t="s">
        <v>334</v>
      </c>
      <c r="G31" s="314" t="s">
        <v>297</v>
      </c>
      <c r="H31" s="315">
        <v>352</v>
      </c>
      <c r="I31" s="315" t="s">
        <v>26</v>
      </c>
      <c r="J31" s="316">
        <v>2</v>
      </c>
      <c r="K31" s="315" t="s">
        <v>321</v>
      </c>
      <c r="L31" s="317" t="s">
        <v>327</v>
      </c>
      <c r="M31" s="318" t="s">
        <v>328</v>
      </c>
      <c r="N31" s="144" t="s">
        <v>614</v>
      </c>
      <c r="O31" s="145">
        <v>4</v>
      </c>
      <c r="P31" s="143" t="str">
        <f>VLOOKUP(O31,'Video Test Cases'!$A$8:$B$56,2,FALSE)</f>
        <v>MPEG2-SD NTSC</v>
      </c>
    </row>
    <row r="32" spans="1:16" s="33" customFormat="1" x14ac:dyDescent="0.25">
      <c r="A32" s="309">
        <v>22</v>
      </c>
      <c r="B32" s="309" t="str">
        <f t="shared" si="0"/>
        <v>MPEG 2-SD NTSC to MPEG2-SD NTSC</v>
      </c>
      <c r="C32" s="310" t="s">
        <v>618</v>
      </c>
      <c r="D32" s="311" t="s">
        <v>326</v>
      </c>
      <c r="E32" s="312" t="s">
        <v>324</v>
      </c>
      <c r="F32" s="313" t="s">
        <v>334</v>
      </c>
      <c r="G32" s="314" t="s">
        <v>297</v>
      </c>
      <c r="H32" s="315">
        <v>480</v>
      </c>
      <c r="I32" s="315" t="s">
        <v>26</v>
      </c>
      <c r="J32" s="316">
        <v>15</v>
      </c>
      <c r="K32" s="315" t="s">
        <v>320</v>
      </c>
      <c r="L32" s="317" t="s">
        <v>327</v>
      </c>
      <c r="M32" s="318" t="s">
        <v>328</v>
      </c>
      <c r="N32" s="144" t="s">
        <v>614</v>
      </c>
      <c r="O32" s="145">
        <v>5</v>
      </c>
      <c r="P32" s="143" t="str">
        <f>VLOOKUP(O32,'Video Test Cases'!$A$8:$B$56,2,FALSE)</f>
        <v>MPEG2-SD NTSC</v>
      </c>
    </row>
    <row r="33" spans="1:16" s="33" customFormat="1" x14ac:dyDescent="0.25">
      <c r="A33" s="309">
        <v>23</v>
      </c>
      <c r="B33" s="309" t="str">
        <f t="shared" si="0"/>
        <v>MPEG 2-SD PAL to MPEG2-SD PAL</v>
      </c>
      <c r="C33" s="310" t="s">
        <v>618</v>
      </c>
      <c r="D33" s="311" t="s">
        <v>326</v>
      </c>
      <c r="E33" s="312" t="s">
        <v>325</v>
      </c>
      <c r="F33" s="313" t="s">
        <v>339</v>
      </c>
      <c r="G33" s="314" t="s">
        <v>297</v>
      </c>
      <c r="H33" s="315">
        <v>544</v>
      </c>
      <c r="I33" s="315" t="s">
        <v>26</v>
      </c>
      <c r="J33" s="316">
        <v>2</v>
      </c>
      <c r="K33" s="315" t="s">
        <v>320</v>
      </c>
      <c r="L33" s="317" t="s">
        <v>327</v>
      </c>
      <c r="M33" s="318" t="s">
        <v>328</v>
      </c>
      <c r="N33" s="144" t="s">
        <v>614</v>
      </c>
      <c r="O33" s="145">
        <v>7</v>
      </c>
      <c r="P33" s="143" t="str">
        <f>VLOOKUP(O33,'Video Test Cases'!$A$8:$B$56,2,FALSE)</f>
        <v>MPEG2-SD PAL</v>
      </c>
    </row>
    <row r="34" spans="1:16" s="33" customFormat="1" x14ac:dyDescent="0.25">
      <c r="A34" s="309">
        <v>24</v>
      </c>
      <c r="B34" s="309" t="str">
        <f t="shared" si="0"/>
        <v>MPEG 2-SD PAL to MPEG2-SD PAL</v>
      </c>
      <c r="C34" s="310" t="s">
        <v>618</v>
      </c>
      <c r="D34" s="311" t="s">
        <v>326</v>
      </c>
      <c r="E34" s="312" t="s">
        <v>325</v>
      </c>
      <c r="F34" s="313" t="s">
        <v>339</v>
      </c>
      <c r="G34" s="314" t="s">
        <v>297</v>
      </c>
      <c r="H34" s="315">
        <v>704</v>
      </c>
      <c r="I34" s="315" t="s">
        <v>26</v>
      </c>
      <c r="J34" s="316">
        <v>15</v>
      </c>
      <c r="K34" s="315" t="s">
        <v>320</v>
      </c>
      <c r="L34" s="317" t="s">
        <v>327</v>
      </c>
      <c r="M34" s="318" t="s">
        <v>328</v>
      </c>
      <c r="N34" s="144" t="s">
        <v>614</v>
      </c>
      <c r="O34" s="145">
        <v>8</v>
      </c>
      <c r="P34" s="143" t="str">
        <f>VLOOKUP(O34,'Video Test Cases'!$A$8:$B$56,2,FALSE)</f>
        <v>MPEG2-SD PAL</v>
      </c>
    </row>
    <row r="35" spans="1:16" s="33" customFormat="1" x14ac:dyDescent="0.25">
      <c r="A35" s="491">
        <v>25</v>
      </c>
      <c r="B35" s="491" t="str">
        <f t="shared" si="0"/>
        <v>H.264-HD 1080i @ 29.97FPS(30FPS) to MPEG2-HD 1080i @ 29.97FPS(30FPS)</v>
      </c>
      <c r="C35" s="492" t="s">
        <v>618</v>
      </c>
      <c r="D35" s="493" t="s">
        <v>74</v>
      </c>
      <c r="E35" s="494" t="s">
        <v>313</v>
      </c>
      <c r="F35" s="495" t="s">
        <v>362</v>
      </c>
      <c r="G35" s="496" t="s">
        <v>317</v>
      </c>
      <c r="H35" s="497" t="s">
        <v>318</v>
      </c>
      <c r="I35" s="497" t="s">
        <v>21</v>
      </c>
      <c r="J35" s="498">
        <v>25</v>
      </c>
      <c r="K35" s="497" t="s">
        <v>320</v>
      </c>
      <c r="L35" s="499" t="s">
        <v>322</v>
      </c>
      <c r="M35" s="500" t="s">
        <v>323</v>
      </c>
      <c r="N35" s="501" t="s">
        <v>615</v>
      </c>
      <c r="O35" s="504">
        <v>17</v>
      </c>
      <c r="P35" s="503" t="str">
        <f>VLOOKUP(O35,'Video Test Cases'!$A$8:$B$56,2,FALSE)</f>
        <v>MPEG2-HD 1080i @ 29.97FPS(30FPS)</v>
      </c>
    </row>
    <row r="36" spans="1:16" s="33" customFormat="1" x14ac:dyDescent="0.25">
      <c r="A36" s="309">
        <v>26</v>
      </c>
      <c r="B36" s="309" t="str">
        <f t="shared" si="0"/>
        <v>H.264-HD 720P @ 59.94FPS(60FPS) to MPEG2-HD 720P @ 59.94FPS(60FPS)</v>
      </c>
      <c r="C36" s="310" t="s">
        <v>618</v>
      </c>
      <c r="D36" s="311" t="s">
        <v>74</v>
      </c>
      <c r="E36" s="312" t="s">
        <v>315</v>
      </c>
      <c r="F36" s="313" t="s">
        <v>364</v>
      </c>
      <c r="G36" s="314" t="s">
        <v>317</v>
      </c>
      <c r="H36" s="315" t="s">
        <v>319</v>
      </c>
      <c r="I36" s="315" t="s">
        <v>26</v>
      </c>
      <c r="J36" s="316">
        <v>15</v>
      </c>
      <c r="K36" s="315" t="s">
        <v>321</v>
      </c>
      <c r="L36" s="317" t="s">
        <v>322</v>
      </c>
      <c r="M36" s="318" t="s">
        <v>323</v>
      </c>
      <c r="N36" s="144" t="s">
        <v>615</v>
      </c>
      <c r="O36" s="483">
        <v>24</v>
      </c>
      <c r="P36" s="143" t="str">
        <f>VLOOKUP(O36,'Video Test Cases'!$A$8:$B$56,2,FALSE)</f>
        <v>MPEG2-HD 720P @ 59.94FPS(60FPS)</v>
      </c>
    </row>
    <row r="37" spans="1:16" s="33" customFormat="1" x14ac:dyDescent="0.25">
      <c r="A37" s="309">
        <v>27</v>
      </c>
      <c r="B37" s="309" t="str">
        <f t="shared" si="0"/>
        <v>H.264-HD 1080i @ 29.97FPS(30FPS) to MPEG2-SD NTSC</v>
      </c>
      <c r="C37" s="310" t="s">
        <v>618</v>
      </c>
      <c r="D37" s="311" t="s">
        <v>74</v>
      </c>
      <c r="E37" s="312" t="s">
        <v>313</v>
      </c>
      <c r="F37" s="313" t="s">
        <v>362</v>
      </c>
      <c r="G37" s="314" t="s">
        <v>297</v>
      </c>
      <c r="H37" s="315">
        <v>720</v>
      </c>
      <c r="I37" s="315" t="s">
        <v>26</v>
      </c>
      <c r="J37" s="316">
        <v>15</v>
      </c>
      <c r="K37" s="315" t="s">
        <v>320</v>
      </c>
      <c r="L37" s="317" t="s">
        <v>327</v>
      </c>
      <c r="M37" s="318" t="s">
        <v>328</v>
      </c>
      <c r="N37" s="144" t="s">
        <v>615</v>
      </c>
      <c r="O37" s="483">
        <v>5</v>
      </c>
      <c r="P37" s="143" t="str">
        <f>VLOOKUP(O37,'Video Test Cases'!$A$8:$B$56,2,FALSE)</f>
        <v>MPEG2-SD NTSC</v>
      </c>
    </row>
    <row r="38" spans="1:16" s="33" customFormat="1" x14ac:dyDescent="0.25">
      <c r="A38" s="540">
        <v>28</v>
      </c>
      <c r="B38" s="540" t="str">
        <f t="shared" si="0"/>
        <v>H.264-HD 720P @ 59.94FPS(60FPS) to MPEG2-SD NTSC</v>
      </c>
      <c r="C38" s="541" t="s">
        <v>618</v>
      </c>
      <c r="D38" s="542" t="s">
        <v>74</v>
      </c>
      <c r="E38" s="543" t="s">
        <v>315</v>
      </c>
      <c r="F38" s="544" t="s">
        <v>364</v>
      </c>
      <c r="G38" s="545" t="s">
        <v>297</v>
      </c>
      <c r="H38" s="546">
        <v>720</v>
      </c>
      <c r="I38" s="546" t="s">
        <v>21</v>
      </c>
      <c r="J38" s="547">
        <v>10</v>
      </c>
      <c r="K38" s="546" t="s">
        <v>321</v>
      </c>
      <c r="L38" s="548" t="s">
        <v>322</v>
      </c>
      <c r="M38" s="549" t="s">
        <v>323</v>
      </c>
      <c r="N38" s="550" t="s">
        <v>615</v>
      </c>
      <c r="O38" s="553">
        <v>6</v>
      </c>
      <c r="P38" s="552" t="str">
        <f>VLOOKUP(O38,'Video Test Cases'!$A$8:$B$56,2,FALSE)</f>
        <v>MPEG2-SD NTSC</v>
      </c>
    </row>
    <row r="39" spans="1:16" s="33" customFormat="1" x14ac:dyDescent="0.25">
      <c r="A39" s="309">
        <v>29</v>
      </c>
      <c r="B39" s="309" t="str">
        <f t="shared" si="0"/>
        <v>H.264-SD NTSC to MPEG2-SD NTSC</v>
      </c>
      <c r="C39" s="310" t="s">
        <v>618</v>
      </c>
      <c r="D39" s="311" t="s">
        <v>74</v>
      </c>
      <c r="E39" s="312" t="s">
        <v>324</v>
      </c>
      <c r="F39" s="313" t="s">
        <v>355</v>
      </c>
      <c r="G39" s="314" t="s">
        <v>297</v>
      </c>
      <c r="H39" s="315">
        <v>704</v>
      </c>
      <c r="I39" s="315" t="s">
        <v>26</v>
      </c>
      <c r="J39" s="316">
        <v>2</v>
      </c>
      <c r="K39" s="315" t="s">
        <v>321</v>
      </c>
      <c r="L39" s="317" t="s">
        <v>327</v>
      </c>
      <c r="M39" s="318" t="s">
        <v>328</v>
      </c>
      <c r="N39" s="144" t="s">
        <v>615</v>
      </c>
      <c r="O39" s="483">
        <v>4</v>
      </c>
      <c r="P39" s="143" t="str">
        <f>VLOOKUP(O39,'Video Test Cases'!$A$8:$B$56,2,FALSE)</f>
        <v>MPEG2-SD NTSC</v>
      </c>
    </row>
    <row r="40" spans="1:16" s="33" customFormat="1" x14ac:dyDescent="0.25">
      <c r="A40" s="309">
        <v>30</v>
      </c>
      <c r="B40" s="309" t="str">
        <f t="shared" si="0"/>
        <v>H.264-SD NTSC to MPEG2-SD NTSC</v>
      </c>
      <c r="C40" s="310" t="s">
        <v>618</v>
      </c>
      <c r="D40" s="311" t="s">
        <v>74</v>
      </c>
      <c r="E40" s="312" t="s">
        <v>324</v>
      </c>
      <c r="F40" s="313" t="s">
        <v>355</v>
      </c>
      <c r="G40" s="314" t="s">
        <v>297</v>
      </c>
      <c r="H40" s="315">
        <v>544</v>
      </c>
      <c r="I40" s="315" t="s">
        <v>21</v>
      </c>
      <c r="J40" s="316">
        <v>10</v>
      </c>
      <c r="K40" s="315" t="s">
        <v>320</v>
      </c>
      <c r="L40" s="317" t="s">
        <v>327</v>
      </c>
      <c r="M40" s="318" t="s">
        <v>328</v>
      </c>
      <c r="N40" s="144" t="s">
        <v>615</v>
      </c>
      <c r="O40" s="483">
        <v>6</v>
      </c>
      <c r="P40" s="143" t="str">
        <f>VLOOKUP(O40,'Video Test Cases'!$A$8:$B$56,2,FALSE)</f>
        <v>MPEG2-SD NTSC</v>
      </c>
    </row>
    <row r="41" spans="1:16" s="33" customFormat="1" x14ac:dyDescent="0.25">
      <c r="A41" s="309">
        <v>31</v>
      </c>
      <c r="B41" s="309" t="str">
        <f t="shared" si="0"/>
        <v>MPEG 2-HD 1080i @ 29.97FPS(30FPS) to MPEG2-HD 1080i @ 29.97FPS(30FPS)</v>
      </c>
      <c r="C41" s="310" t="s">
        <v>618</v>
      </c>
      <c r="D41" s="311" t="s">
        <v>326</v>
      </c>
      <c r="E41" s="312" t="s">
        <v>313</v>
      </c>
      <c r="F41" s="313" t="s">
        <v>335</v>
      </c>
      <c r="G41" s="314" t="s">
        <v>317</v>
      </c>
      <c r="H41" s="315" t="s">
        <v>319</v>
      </c>
      <c r="I41" s="315" t="s">
        <v>26</v>
      </c>
      <c r="J41" s="316">
        <v>15</v>
      </c>
      <c r="K41" s="315" t="s">
        <v>321</v>
      </c>
      <c r="L41" s="317" t="s">
        <v>322</v>
      </c>
      <c r="M41" s="318" t="s">
        <v>323</v>
      </c>
      <c r="N41" s="144" t="s">
        <v>615</v>
      </c>
      <c r="O41" s="483">
        <v>18</v>
      </c>
      <c r="P41" s="143" t="str">
        <f>VLOOKUP(O41,'Video Test Cases'!$A$8:$B$56,2,FALSE)</f>
        <v>MPEG2-HD 1080i @ 29.97FPS(30FPS)</v>
      </c>
    </row>
    <row r="42" spans="1:16" s="33" customFormat="1" x14ac:dyDescent="0.25">
      <c r="A42" s="309">
        <v>32</v>
      </c>
      <c r="B42" s="309" t="str">
        <f t="shared" si="0"/>
        <v>MPEG 2-HD 720P @ 59.94FPS(60FPS) to MPEG2-HD 720P @ 59.94FPS(60FPS)</v>
      </c>
      <c r="C42" s="310" t="s">
        <v>618</v>
      </c>
      <c r="D42" s="311" t="s">
        <v>326</v>
      </c>
      <c r="E42" s="312" t="s">
        <v>315</v>
      </c>
      <c r="F42" s="313" t="s">
        <v>337</v>
      </c>
      <c r="G42" s="314" t="s">
        <v>317</v>
      </c>
      <c r="H42" s="315" t="s">
        <v>318</v>
      </c>
      <c r="I42" s="315" t="s">
        <v>21</v>
      </c>
      <c r="J42" s="316">
        <v>25</v>
      </c>
      <c r="K42" s="315" t="s">
        <v>320</v>
      </c>
      <c r="L42" s="317" t="s">
        <v>322</v>
      </c>
      <c r="M42" s="318" t="s">
        <v>323</v>
      </c>
      <c r="N42" s="144" t="s">
        <v>615</v>
      </c>
      <c r="O42" s="483">
        <v>23</v>
      </c>
      <c r="P42" s="143" t="str">
        <f>VLOOKUP(O42,'Video Test Cases'!$A$8:$B$56,2,FALSE)</f>
        <v>MPEG2-HD 720P @ 59.94FPS(60FPS)</v>
      </c>
    </row>
    <row r="43" spans="1:16" s="33" customFormat="1" x14ac:dyDescent="0.25">
      <c r="A43" s="491">
        <v>33</v>
      </c>
      <c r="B43" s="491" t="str">
        <f t="shared" si="0"/>
        <v>MPEG 2-HD 1080i @ 29.97FPS(30FPS) to MPEG2-SD NTSC</v>
      </c>
      <c r="C43" s="492" t="s">
        <v>618</v>
      </c>
      <c r="D43" s="493" t="s">
        <v>326</v>
      </c>
      <c r="E43" s="494" t="s">
        <v>313</v>
      </c>
      <c r="F43" s="495" t="s">
        <v>335</v>
      </c>
      <c r="G43" s="496" t="s">
        <v>297</v>
      </c>
      <c r="H43" s="497">
        <v>720</v>
      </c>
      <c r="I43" s="497" t="s">
        <v>21</v>
      </c>
      <c r="J43" s="498">
        <v>10</v>
      </c>
      <c r="K43" s="497" t="s">
        <v>321</v>
      </c>
      <c r="L43" s="499" t="s">
        <v>322</v>
      </c>
      <c r="M43" s="500" t="s">
        <v>323</v>
      </c>
      <c r="N43" s="501" t="s">
        <v>615</v>
      </c>
      <c r="O43" s="504">
        <v>6</v>
      </c>
      <c r="P43" s="503" t="str">
        <f>VLOOKUP(O43,'Video Test Cases'!$A$8:$B$56,2,FALSE)</f>
        <v>MPEG2-SD NTSC</v>
      </c>
    </row>
    <row r="44" spans="1:16" s="33" customFormat="1" x14ac:dyDescent="0.25">
      <c r="A44" s="309">
        <v>34</v>
      </c>
      <c r="B44" s="309" t="str">
        <f t="shared" si="0"/>
        <v>MPEG 2-HD 720P @ 59.94FPS(60FPS) to MPEG2-SD NTSC</v>
      </c>
      <c r="C44" s="310" t="s">
        <v>618</v>
      </c>
      <c r="D44" s="311" t="s">
        <v>326</v>
      </c>
      <c r="E44" s="312" t="s">
        <v>315</v>
      </c>
      <c r="F44" s="313" t="s">
        <v>337</v>
      </c>
      <c r="G44" s="314" t="s">
        <v>297</v>
      </c>
      <c r="H44" s="315">
        <v>720</v>
      </c>
      <c r="I44" s="315" t="s">
        <v>26</v>
      </c>
      <c r="J44" s="316">
        <v>15</v>
      </c>
      <c r="K44" s="315" t="s">
        <v>320</v>
      </c>
      <c r="L44" s="317" t="s">
        <v>327</v>
      </c>
      <c r="M44" s="318" t="s">
        <v>328</v>
      </c>
      <c r="N44" s="144" t="s">
        <v>615</v>
      </c>
      <c r="O44" s="483">
        <v>5</v>
      </c>
      <c r="P44" s="143" t="str">
        <f>VLOOKUP(O44,'Video Test Cases'!$A$8:$B$56,2,FALSE)</f>
        <v>MPEG2-SD NTSC</v>
      </c>
    </row>
    <row r="45" spans="1:16" s="33" customFormat="1" x14ac:dyDescent="0.25">
      <c r="A45" s="309">
        <v>35</v>
      </c>
      <c r="B45" s="309" t="str">
        <f t="shared" si="0"/>
        <v>MPEG 2-SD NTSC to MPEG2-SD NTSC</v>
      </c>
      <c r="C45" s="310" t="s">
        <v>618</v>
      </c>
      <c r="D45" s="311" t="s">
        <v>326</v>
      </c>
      <c r="E45" s="312" t="s">
        <v>324</v>
      </c>
      <c r="F45" s="313" t="s">
        <v>334</v>
      </c>
      <c r="G45" s="314" t="s">
        <v>297</v>
      </c>
      <c r="H45" s="315">
        <v>352</v>
      </c>
      <c r="I45" s="315" t="s">
        <v>26</v>
      </c>
      <c r="J45" s="316">
        <v>2</v>
      </c>
      <c r="K45" s="315" t="s">
        <v>321</v>
      </c>
      <c r="L45" s="317" t="s">
        <v>327</v>
      </c>
      <c r="M45" s="318" t="s">
        <v>328</v>
      </c>
      <c r="N45" s="144" t="s">
        <v>615</v>
      </c>
      <c r="O45" s="483">
        <v>4</v>
      </c>
      <c r="P45" s="143" t="str">
        <f>VLOOKUP(O45,'Video Test Cases'!$A$8:$B$56,2,FALSE)</f>
        <v>MPEG2-SD NTSC</v>
      </c>
    </row>
    <row r="46" spans="1:16" s="33" customFormat="1" x14ac:dyDescent="0.25">
      <c r="A46" s="309">
        <v>36</v>
      </c>
      <c r="B46" s="309" t="str">
        <f t="shared" si="0"/>
        <v>MPEG 2-SD NTSC to MPEG2-SD NTSC</v>
      </c>
      <c r="C46" s="310" t="s">
        <v>618</v>
      </c>
      <c r="D46" s="311" t="s">
        <v>326</v>
      </c>
      <c r="E46" s="312" t="s">
        <v>324</v>
      </c>
      <c r="F46" s="313" t="s">
        <v>334</v>
      </c>
      <c r="G46" s="314" t="s">
        <v>297</v>
      </c>
      <c r="H46" s="315">
        <v>480</v>
      </c>
      <c r="I46" s="315" t="s">
        <v>26</v>
      </c>
      <c r="J46" s="316">
        <v>15</v>
      </c>
      <c r="K46" s="315" t="s">
        <v>320</v>
      </c>
      <c r="L46" s="317" t="s">
        <v>327</v>
      </c>
      <c r="M46" s="318" t="s">
        <v>328</v>
      </c>
      <c r="N46" s="144" t="s">
        <v>615</v>
      </c>
      <c r="O46" s="483">
        <v>5</v>
      </c>
      <c r="P46" s="143" t="str">
        <f>VLOOKUP(O46,'Video Test Cases'!$A$8:$B$56,2,FALSE)</f>
        <v>MPEG2-SD NTSC</v>
      </c>
    </row>
    <row r="47" spans="1:16" s="33" customFormat="1" x14ac:dyDescent="0.25">
      <c r="A47" s="527">
        <v>37</v>
      </c>
      <c r="B47" s="527" t="s">
        <v>566</v>
      </c>
      <c r="C47" s="528" t="s">
        <v>529</v>
      </c>
      <c r="D47" s="529" t="s">
        <v>74</v>
      </c>
      <c r="E47" s="530" t="s">
        <v>316</v>
      </c>
      <c r="F47" s="531" t="s">
        <v>365</v>
      </c>
      <c r="G47" s="532" t="s">
        <v>317</v>
      </c>
      <c r="H47" s="533" t="s">
        <v>318</v>
      </c>
      <c r="I47" s="533" t="s">
        <v>26</v>
      </c>
      <c r="J47" s="534">
        <v>8</v>
      </c>
      <c r="K47" s="533" t="s">
        <v>320</v>
      </c>
      <c r="L47" s="535" t="s">
        <v>322</v>
      </c>
      <c r="M47" s="536" t="s">
        <v>323</v>
      </c>
      <c r="N47" s="537" t="s">
        <v>614</v>
      </c>
      <c r="O47" s="538">
        <v>25</v>
      </c>
      <c r="P47" s="539" t="s">
        <v>55</v>
      </c>
    </row>
    <row r="48" spans="1:16" x14ac:dyDescent="0.25">
      <c r="A48" s="143"/>
      <c r="B48" s="143"/>
      <c r="C48" s="145"/>
      <c r="D48" s="143"/>
      <c r="E48" s="143"/>
      <c r="F48" s="143"/>
      <c r="G48" s="145"/>
      <c r="H48" s="145"/>
      <c r="I48" s="145"/>
      <c r="J48" s="145"/>
      <c r="K48" s="145"/>
      <c r="L48" s="145"/>
      <c r="M48" s="145"/>
      <c r="N48" s="145"/>
      <c r="O48" s="145"/>
      <c r="P48" s="143"/>
    </row>
  </sheetData>
  <customSheetViews>
    <customSheetView guid="{E7571780-ED88-421E-BB12-D2AF189A0D99}" scale="90" topLeftCell="A4">
      <selection activeCell="A16" sqref="A16:XFD16"/>
      <pageMargins left="0.25" right="0.25" top="0.75" bottom="0.75" header="0.3" footer="0.3"/>
      <pageSetup paperSize="5" orientation="landscape" r:id="rId1"/>
    </customSheetView>
    <customSheetView guid="{609F876C-F41A-43C8-BD3D-0455630C6D86}" scale="90" topLeftCell="A4">
      <selection activeCell="A16" sqref="A16:XFD16"/>
      <pageMargins left="0.25" right="0.25" top="0.75" bottom="0.75" header="0.3" footer="0.3"/>
      <pageSetup paperSize="5" orientation="landscape" r:id="rId2"/>
    </customSheetView>
    <customSheetView guid="{F5461B2D-C44D-459F-8141-3B434D52A3D6}" scale="90" topLeftCell="A31">
      <selection activeCell="A36" sqref="A36:XFD36"/>
      <pageMargins left="0.25" right="0.25" top="0.75" bottom="0.75" header="0.3" footer="0.3"/>
      <pageSetup paperSize="5" orientation="landscape" r:id="rId3"/>
    </customSheetView>
    <customSheetView guid="{BF4A82E8-EC44-4B28-ABE7-07086B055DF8}" scale="90" topLeftCell="A31">
      <selection activeCell="A36" sqref="A36:XFD36"/>
      <pageMargins left="0.25" right="0.25" top="0.75" bottom="0.75" header="0.3" footer="0.3"/>
      <pageSetup paperSize="5" orientation="landscape" r:id="rId4"/>
    </customSheetView>
    <customSheetView guid="{F9953651-D17A-4C02-9483-C34B454389F8}" scale="90">
      <selection activeCell="E1" sqref="E1"/>
      <pageMargins left="0.7" right="0.7" top="0.75" bottom="0.75" header="0.3" footer="0.3"/>
      <pageSetup orientation="portrait" r:id="rId5"/>
    </customSheetView>
    <customSheetView guid="{4081EA0D-9F4E-4F6E-9740-125B98E42AAA}" scale="90">
      <selection activeCell="E1" sqref="E1"/>
      <pageMargins left="0.7" right="0.7" top="0.75" bottom="0.75" header="0.3" footer="0.3"/>
      <pageSetup orientation="portrait" r:id="rId6"/>
    </customSheetView>
    <customSheetView guid="{568372EE-5594-48E8-AA4D-B2DFAABD6FBE}" scale="85">
      <selection activeCell="E1" sqref="E1"/>
      <pageMargins left="0.7" right="0.7" top="0.75" bottom="0.75" header="0.3" footer="0.3"/>
      <pageSetup orientation="portrait" r:id="rId7"/>
    </customSheetView>
    <customSheetView guid="{0C14E275-67BD-4894-92C8-CC979B55C5D1}" scale="90" topLeftCell="A16">
      <pageMargins left="0.7" right="0.7" top="0.75" bottom="0.75" header="0.3" footer="0.3"/>
      <pageSetup orientation="portrait" r:id="rId8"/>
    </customSheetView>
    <customSheetView guid="{E04D4D10-73E7-40D1-833B-CE4AC2EB45A8}" scale="90" topLeftCell="A16">
      <selection activeCell="D9" sqref="D9:F9"/>
      <pageMargins left="0.7" right="0.7" top="0.75" bottom="0.75" header="0.3" footer="0.3"/>
      <pageSetup orientation="portrait" r:id="rId9"/>
    </customSheetView>
    <customSheetView guid="{E6A6C2C1-501F-4FA5-9A65-F097BADC7A88}" scale="90">
      <selection activeCell="E1" sqref="E1"/>
      <pageMargins left="0.7" right="0.7" top="0.75" bottom="0.75" header="0.3" footer="0.3"/>
      <pageSetup orientation="portrait" r:id="rId10"/>
    </customSheetView>
    <customSheetView guid="{189813C8-BE28-4174-A3B5-1C707449DBD3}" scale="90" showPageBreaks="1" topLeftCell="A31">
      <selection activeCell="A36" sqref="A36:XFD36"/>
      <pageMargins left="0.25" right="0.25" top="0.75" bottom="0.75" header="0.3" footer="0.3"/>
      <pageSetup paperSize="5" orientation="landscape" r:id="rId11"/>
    </customSheetView>
    <customSheetView guid="{A1D6424A-E1FA-4BDE-9758-50490C40BCC4}" scale="90" topLeftCell="A31">
      <selection activeCell="A36" sqref="A36:XFD36"/>
      <pageMargins left="0.25" right="0.25" top="0.75" bottom="0.75" header="0.3" footer="0.3"/>
      <pageSetup paperSize="5" orientation="landscape" r:id="rId12"/>
    </customSheetView>
  </customSheetViews>
  <mergeCells count="3">
    <mergeCell ref="G9:M9"/>
    <mergeCell ref="O9:O10"/>
    <mergeCell ref="D9:F9"/>
  </mergeCells>
  <phoneticPr fontId="26" type="noConversion"/>
  <hyperlinks>
    <hyperlink ref="D1" display="Directory"/>
    <hyperlink ref="E1" display="D9859 Scoreboard"/>
  </hyperlinks>
  <pageMargins left="0.25" right="0.25" top="0.75" bottom="0.75" header="0.3" footer="0.3"/>
  <pageSetup paperSize="5" orientation="landscape" r:id="rId13"/>
  <drawing r:id="rId14"/>
  <legacyDrawing r:id="rId15"/>
  <controls>
    <mc:AlternateContent xmlns:mc="http://schemas.openxmlformats.org/markup-compatibility/2006">
      <mc:Choice Requires="x14">
        <control shapeId="9217" r:id="rId16" name="CommandButton1">
          <controlPr defaultSize="0" autoLine="0" autoPict="0" r:id="rId17">
            <anchor moveWithCells="1">
              <from>
                <xdr:col>4</xdr:col>
                <xdr:colOff>1242060</xdr:colOff>
                <xdr:row>2</xdr:row>
                <xdr:rowOff>68580</xdr:rowOff>
              </from>
              <to>
                <xdr:col>6</xdr:col>
                <xdr:colOff>236220</xdr:colOff>
                <xdr:row>5</xdr:row>
                <xdr:rowOff>144780</xdr:rowOff>
              </to>
            </anchor>
          </controlPr>
        </control>
      </mc:Choice>
      <mc:Fallback>
        <control shapeId="9217" r:id="rId16"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Directory</vt:lpstr>
      <vt:lpstr>Basic Combinations</vt:lpstr>
      <vt:lpstr>D9859 Grid</vt:lpstr>
      <vt:lpstr>D9859 Scoreboard</vt:lpstr>
      <vt:lpstr>Input Test Cases</vt:lpstr>
      <vt:lpstr>Conditional Access Test Cases</vt:lpstr>
      <vt:lpstr>Audio Test Cases</vt:lpstr>
      <vt:lpstr>Video Test Cases</vt:lpstr>
      <vt:lpstr>VBI Test Cases</vt:lpstr>
      <vt:lpstr>Subtitle Test Cases</vt:lpstr>
      <vt:lpstr>MPE Test Cases</vt:lpstr>
      <vt:lpstr>LSD Test Cases</vt:lpstr>
      <vt:lpstr>DPM Test Cases</vt:lpstr>
      <vt:lpstr>Transcode Test Cases</vt:lpstr>
    </vt:vector>
  </TitlesOfParts>
  <Company>Cisco Systems,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stollk</dc:creator>
  <cp:lastModifiedBy>Slava Abramov</cp:lastModifiedBy>
  <cp:lastPrinted>2014-01-17T18:58:38Z</cp:lastPrinted>
  <dcterms:created xsi:type="dcterms:W3CDTF">2009-12-22T15:11:09Z</dcterms:created>
  <dcterms:modified xsi:type="dcterms:W3CDTF">2014-06-23T17:47:45Z</dcterms:modified>
</cp:coreProperties>
</file>